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15f6a5b2a04e09" /></Relationships>
</file>

<file path=xl/workbook.xml><?xml version="1.0" encoding="utf-8"?>
<x:workbook xmlns:x="http://schemas.openxmlformats.org/spreadsheetml/2006/main">
  <x:sheets>
    <x:sheet xmlns:r="http://schemas.openxmlformats.org/officeDocument/2006/relationships" name="Summary" sheetId="1" r:id="R00c722086c7e42ba"/>
    <x:sheet xmlns:r="http://schemas.openxmlformats.org/officeDocument/2006/relationships" name="Action_Item_Overlap" sheetId="2" r:id="Re87fede5dcd74c88"/>
    <x:sheet xmlns:r="http://schemas.openxmlformats.org/officeDocument/2006/relationships" name="Normalized_Tuples" sheetId="3" r:id="Ra4bd7c60c62a4b9a"/>
    <x:sheet xmlns:r="http://schemas.openxmlformats.org/officeDocument/2006/relationships" name="Pair_Summary" sheetId="4" r:id="Rbafc504e7fad43d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4"/>
      <x:color rgb="00FFFFFF"/>
    </x:font>
    <x:font>
      <x:b/>
      <x:sz val="11"/>
      <x:color rgb="001F4E78"/>
    </x:font>
    <x:font>
      <x:sz val="10"/>
      <x:color rgb="00000000"/>
    </x:font>
    <x:font>
      <x:i/>
      <x:sz val="10"/>
      <x:color rgb="00333333"/>
    </x:font>
    <x:font>
      <x:b/>
      <x:sz val="10"/>
      <x:color rgb="001F4E78"/>
    </x:font>
    <x:font>
      <x:b/>
      <x:sz val="11"/>
      <x:color rgb="00FFFFFF"/>
    </x:font>
  </x:fonts>
  <x:fills count="9">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F3F6F9"/>
      </x:patternFill>
    </x:fill>
    <x:fill>
      <x:patternFill patternType="solid">
        <x:fgColor rgb="00EAF4FB"/>
      </x:patternFill>
    </x:fill>
    <x:fill>
      <x:patternFill patternType="solid">
        <x:fgColor rgb="00E4DFEC"/>
      </x:patternFill>
    </x:fill>
    <x:fill>
      <x:patternFill patternType="solid">
        <x:fgColor rgb="00FCE4D6"/>
      </x:patternFill>
    </x:fill>
    <x:fill>
      <x:patternFill patternType="solid">
        <x:fgColor rgb="00E2F0D9"/>
      </x:patternFill>
    </x:fill>
  </x:fills>
  <x:borders count="5">
    <x:border>
      <x:left/>
      <x:right/>
      <x:top/>
      <x:bottom/>
      <x:diagonal/>
    </x:border>
    <x:border>
      <x:bottom style="medium">
        <x:color rgb="001F4E78"/>
      </x:bottom>
    </x:border>
    <x:border>
      <x:bottom style="thin">
        <x:color rgb="00C7D1DB"/>
      </x:bottom>
    </x:border>
    <x:border>
      <x:left/>
      <x:right/>
      <x:top/>
      <x:bottom style="thin">
        <x:color rgb="00C7D1DB"/>
      </x:bottom>
      <x:diagonal/>
    </x:border>
    <x:border>
      <x:right/>
      <x:bottom style="thin">
        <x:color rgb="00C7D1DB"/>
      </x:bottom>
    </x:border>
  </x:borders>
  <x:cellStyleXfs count="1">
    <x:xf numFmtId="0" fontId="0" fillId="0" borderId="0"/>
  </x:cellStyleXfs>
  <x:cellXfs count="22">
    <x:xf numFmtId="0" fontId="0" fillId="0" borderId="0" xfId="0"/>
    <x:xf numFmtId="0" fontId="1" fillId="2" borderId="0" xfId="0" applyAlignment="1">
      <x:alignment horizontal="center" vertical="center"/>
    </x:xf>
    <x:xf numFmtId="0" fontId="2" fillId="3" borderId="1" xfId="0"/>
    <x:xf numFmtId="0" fontId="2" fillId="3" borderId="1" xfId="0" applyAlignment="1">
      <x:alignment horizontal="center" vertical="center"/>
    </x:xf>
    <x:xf numFmtId="0" fontId="3" fillId="0" borderId="0" xfId="0"/>
    <x:xf numFmtId="0" fontId="3" fillId="0" borderId="2" xfId="0" applyAlignment="1">
      <x:alignment horizontal="left" vertical="top" wrapText="1"/>
    </x:xf>
    <x:xf numFmtId="0" fontId="3" fillId="0" borderId="2" xfId="0" applyAlignment="1">
      <x:alignment horizontal="center" vertical="center"/>
    </x:xf>
    <x:xf numFmtId="0" fontId="5" fillId="3" borderId="2" xfId="0" applyAlignment="1">
      <x:alignment horizontal="center" vertical="center"/>
    </x:xf>
    <x:xf numFmtId="0" fontId="4" fillId="4" borderId="2" xfId="0" applyAlignment="1">
      <x:alignment horizontal="left" vertical="top" wrapText="1"/>
    </x:xf>
    <x:xf numFmtId="0" fontId="5" fillId="0" borderId="0" xfId="0" applyAlignment="1">
      <x:alignment horizontal="left" vertical="top" wrapText="1"/>
    </x:xf>
    <x:xf numFmtId="0" fontId="3" fillId="0" borderId="0" xfId="0" applyAlignment="1">
      <x:alignment horizontal="left" vertical="top" wrapText="1"/>
    </x:xf>
    <x:xf numFmtId="0" fontId="6" fillId="2" borderId="1" xfId="0" applyAlignment="1">
      <x:alignment horizontal="center" vertical="center" wrapText="1"/>
    </x:xf>
    <x:xf numFmtId="0" fontId="3" fillId="0" borderId="2" xfId="0" applyAlignment="1">
      <x:alignment horizontal="center" vertical="center" wrapText="1"/>
    </x:xf>
    <x:xf numFmtId="0" fontId="3" fillId="5" borderId="2" xfId="0" applyAlignment="1">
      <x:alignment horizontal="center" vertical="center" wrapText="1"/>
    </x:xf>
    <x:xf numFmtId="0" fontId="3" fillId="6" borderId="2" xfId="0" applyAlignment="1">
      <x:alignment horizontal="center" vertical="center" wrapText="1"/>
    </x:xf>
    <x:xf numFmtId="0" fontId="3" fillId="7" borderId="2" xfId="0" applyAlignment="1">
      <x:alignment horizontal="center" vertical="center" wrapText="1"/>
    </x:xf>
    <x:xf numFmtId="0" fontId="3" fillId="8" borderId="2" xfId="0" applyAlignment="1">
      <x:alignment horizontal="center" vertical="center" wrapText="1"/>
    </x:xf>
    <x:xf numFmtId="0" fontId="3" fillId="7" borderId="2" xfId="0" applyAlignment="1">
      <x:alignment horizontal="left" vertical="top" wrapText="1"/>
    </x:xf>
    <x:xf numFmtId="0" fontId="3" fillId="8" borderId="2" xfId="0" applyAlignment="1">
      <x:alignment horizontal="left" vertical="top" wrapText="1"/>
    </x:xf>
    <x:xf numFmtId="0" fontId="3" fillId="6" borderId="2" xfId="0" applyAlignment="1">
      <x:alignment horizontal="left" vertical="top" wrapText="1"/>
    </x:xf>
    <x:xf numFmtId="0" fontId="3" fillId="5" borderId="2" xfId="0" applyAlignment="1">
      <x:alignment horizontal="left" vertical="top" wrapText="1"/>
    </x:xf>
    <x:xf numFmtId="0" fontId="0" fillId="0" borderId="3"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a13621511ca4124" /><Relationship Type="http://schemas.openxmlformats.org/officeDocument/2006/relationships/theme" Target="/xl/theme/theme1.xml" Id="Rb8f0c66c52a8410d" /><Relationship Type="http://schemas.openxmlformats.org/officeDocument/2006/relationships/sharedStrings" Target="/xl/sharedStrings.xml" Id="R0a5255261e85457c" /><Relationship Type="http://schemas.openxmlformats.org/officeDocument/2006/relationships/worksheet" Target="/xl/worksheets/sheet1.xml" Id="R00c722086c7e42ba" /><Relationship Type="http://schemas.openxmlformats.org/officeDocument/2006/relationships/worksheet" Target="/xl/worksheets/sheet2.xml" Id="Re87fede5dcd74c88" /><Relationship Type="http://schemas.openxmlformats.org/officeDocument/2006/relationships/worksheet" Target="/xl/worksheets/sheet3.xml" Id="Ra4bd7c60c62a4b9a" /><Relationship Type="http://schemas.openxmlformats.org/officeDocument/2006/relationships/worksheet" Target="/xl/worksheets/sheet4.xml" Id="Rbafc504e7fad43d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2" customWidth="1"/>
    <x:col min="2" max="2" width="60" customWidth="1"/>
    <x:col min="3" max="3" width="34" customWidth="1"/>
    <x:col min="4" max="4" width="14" customWidth="1"/>
    <x:col min="5" max="5" width="4" customWidth="1"/>
    <x:col min="6" max="6" width="20" customWidth="1"/>
    <x:col min="7" max="7" width="30" customWidth="1"/>
    <x:col min="8" max="8" width="12" customWidth="1"/>
    <x:col min="9" max="9" width="4" customWidth="1"/>
    <x:col min="10" max="10" width="4" customWidth="1"/>
    <x:col min="11" max="11" width="4" customWidth="1"/>
    <x:col min="12" max="12" width="4" customWidth="1"/>
  </x:cols>
  <x:sheetData>
    <x:row r="1" ht="24" customHeight="1">
      <x:c r="A1" s="1" t="inlineStr">
        <x:is>
          <x:t xml:space="preserve">HIPAA vs HITRUST e1 — Granular Overlap Crosswalk</x:t>
        </x:is>
      </x:c>
    </x:row>
    <x:row r="3">
      <x:c r="A3" s="2" t="inlineStr">
        <x:is>
          <x:t xml:space="preserve">Source files used</x:t>
        </x:is>
      </x:c>
      <x:c r="C3" s="3" t="inlineStr">
        <x:is>
          <x:t xml:space="preserve">Metric</x:t>
        </x:is>
      </x:c>
      <x:c r="D3" s="3" t="inlineStr">
        <x:is>
          <x:t xml:space="preserve">Value</x:t>
        </x:is>
      </x:c>
      <x:c r="F3" s="2" t="inlineStr">
        <x:is>
          <x:t xml:space="preserve">Most reused control pairs</x:t>
        </x:is>
      </x:c>
    </x:row>
    <x:row r="4">
      <x:c r="A4" s="4" t="inlineStr">
        <x:is>
          <x:t xml:space="preserve">HITRUST e1.csv</x:t>
        </x:is>
      </x:c>
      <x:c r="C4" s="5" t="inlineStr">
        <x:is>
          <x:t xml:space="preserve">Overlapping action items</x:t>
        </x:is>
      </x:c>
      <x:c r="D4" s="6" t="n">
        <x:v>31</x:v>
      </x:c>
      <x:c r="F4" s="7" t="inlineStr">
        <x:is>
          <x:t xml:space="preserve">HIPAA</x:t>
        </x:is>
      </x:c>
      <x:c r="G4" s="7" t="inlineStr">
        <x:is>
          <x:t xml:space="preserve">HITRUST</x:t>
        </x:is>
      </x:c>
      <x:c r="H4" s="7" t="inlineStr">
        <x:is>
          <x:t xml:space="preserve">Count</x:t>
        </x:is>
      </x:c>
    </x:row>
    <x:row r="5">
      <x:c r="A5" s="4" t="inlineStr">
        <x:is>
          <x:t xml:space="preserve">HIPAA Security.csv</x:t>
        </x:is>
      </x:c>
      <x:c r="C5" s="5" t="inlineStr">
        <x:is>
          <x:t xml:space="preserve">Normalized control-pair/action-item tuples</x:t>
        </x:is>
      </x:c>
      <x:c r="D5" s="6" t="n">
        <x:v>115</x:v>
      </x:c>
      <x:c r="F5" s="5" t="inlineStr">
        <x:is>
          <x:t xml:space="preserve">REQ-1-HIPAA</x:t>
        </x:is>
      </x:c>
      <x:c r="G5" s="5" t="inlineStr">
        <x:is>
          <x:t xml:space="preserve">0113.04a1Organizational.2</x:t>
        </x:is>
      </x:c>
      <x:c r="H5" s="6" t="n">
        <x:v>2</x:v>
      </x:c>
    </x:row>
    <x:row r="6">
      <x:c r="C6" s="5" t="inlineStr">
        <x:is>
          <x:t xml:space="preserve">Distinct HIPAA ↔ HITRUST control pairs</x:t>
        </x:is>
      </x:c>
      <x:c r="D6" s="6" t="n">
        <x:v>103</x:v>
      </x:c>
      <x:c r="F6" s="5" t="inlineStr">
        <x:is>
          <x:t xml:space="preserve">REQ-12-HIPAA</x:t>
        </x:is>
      </x:c>
      <x:c r="G6" s="5" t="inlineStr">
        <x:is>
          <x:t xml:space="preserve">0113.04a1Organizational.2</x:t>
        </x:is>
      </x:c>
      <x:c r="H6" s="6" t="n">
        <x:v>2</x:v>
      </x:c>
    </x:row>
    <x:row r="7">
      <x:c r="C7" s="5" t="inlineStr">
        <x:is>
          <x:t xml:space="preserve">1:1 action-item overlaps</x:t>
        </x:is>
      </x:c>
      <x:c r="D7" s="6" t="n">
        <x:v>6</x:v>
      </x:c>
      <x:c r="F7" s="5" t="inlineStr">
        <x:is>
          <x:t xml:space="preserve">REQ-13-HIPAA</x:t>
        </x:is>
      </x:c>
      <x:c r="G7" s="5" t="inlineStr">
        <x:is>
          <x:t xml:space="preserve">0113.04a1Organizational.2</x:t>
        </x:is>
      </x:c>
      <x:c r="H7" s="6" t="n">
        <x:v>2</x:v>
      </x:c>
    </x:row>
    <x:row r="8">
      <x:c r="C8" s="5" t="inlineStr">
        <x:is>
          <x:t xml:space="preserve">1:Many action-item overlaps</x:t>
        </x:is>
      </x:c>
      <x:c r="D8" s="6" t="n">
        <x:v>8</x:v>
      </x:c>
      <x:c r="F8" s="5" t="inlineStr">
        <x:is>
          <x:t xml:space="preserve">REQ-17-HIPAA</x:t>
        </x:is>
      </x:c>
      <x:c r="G8" s="5" t="inlineStr">
        <x:is>
          <x:t xml:space="preserve">1704.03b1Organizational.12</x:t>
        </x:is>
      </x:c>
      <x:c r="H8" s="6" t="n">
        <x:v>2</x:v>
      </x:c>
    </x:row>
    <x:row r="9">
      <x:c r="C9" s="5" t="inlineStr">
        <x:is>
          <x:t xml:space="preserve">Many:1 action-item overlaps</x:t>
        </x:is>
      </x:c>
      <x:c r="D9" s="6" t="n">
        <x:v>9</x:v>
      </x:c>
      <x:c r="F9" s="5" t="inlineStr">
        <x:is>
          <x:t xml:space="preserve">REQ-20-HIPAA</x:t>
        </x:is>
      </x:c>
      <x:c r="G9" s="5" t="inlineStr">
        <x:is>
          <x:t xml:space="preserve">1704.03b1Organizational.12</x:t>
        </x:is>
      </x:c>
      <x:c r="H9" s="6" t="n">
        <x:v>2</x:v>
      </x:c>
    </x:row>
    <x:row r="10">
      <x:c r="C10" s="5" t="inlineStr">
        <x:is>
          <x:t xml:space="preserve">Many:Many action-item overlaps</x:t>
        </x:is>
      </x:c>
      <x:c r="D10" s="6" t="n">
        <x:v>8</x:v>
      </x:c>
      <x:c r="F10" s="5" t="inlineStr">
        <x:is>
          <x:t xml:space="preserve">REQ-26-HIPAA</x:t>
        </x:is>
      </x:c>
      <x:c r="G10" s="5" t="inlineStr">
        <x:is>
          <x:t xml:space="preserve">10.01d1System.10</x:t>
        </x:is>
      </x:c>
      <x:c r="H10" s="6" t="n">
        <x:v>2</x:v>
      </x:c>
    </x:row>
    <x:row r="11">
      <x:c r="F11" s="5" t="inlineStr">
        <x:is>
          <x:t xml:space="preserve">REQ-29-HIPAA</x:t>
        </x:is>
      </x:c>
      <x:c r="G11" s="5" t="inlineStr">
        <x:is>
          <x:t xml:space="preserve">11.01e1System.2</x:t>
        </x:is>
      </x:c>
      <x:c r="H11" s="6" t="n">
        <x:v>2</x:v>
      </x:c>
    </x:row>
    <x:row r="12">
      <x:c r="A12" s="8" t="inlineStr">
        <x:is>
          <x:t xml:space="preserve">Method note: the uploaded spreadsheets expose local control IDs plus shared action-item rows, but they do not include official HIPAA 45 CFR citations or full HITRUST e1 control titles. Accordingly, this workbook uses the most granular shared unit available in the data: (Action Item, HIPAA local control ID, HITRUST e1 control ID).</x:t>
        </x:is>
      </x:c>
      <x:c r="F12" s="5" t="inlineStr">
        <x:is>
          <x:t xml:space="preserve">REQ-31-HIPAA</x:t>
        </x:is>
      </x:c>
      <x:c r="G12" s="5" t="inlineStr">
        <x:is>
          <x:t xml:space="preserve">11143.02i1Organizational.3</x:t>
        </x:is>
      </x:c>
      <x:c r="H12" s="6" t="n">
        <x:v>2</x:v>
      </x:c>
    </x:row>
    <x:row r="13">
      <x:c r="F13" s="5" t="inlineStr">
        <x:is>
          <x:t xml:space="preserve">REQ-33-HIPAA</x:t>
        </x:is>
      </x:c>
      <x:c r="G13" s="5" t="inlineStr">
        <x:is>
          <x:t xml:space="preserve">04.01x1Organizational.5</x:t>
        </x:is>
      </x:c>
      <x:c r="H13" s="6" t="n">
        <x:v>2</x:v>
      </x:c>
    </x:row>
    <x:row r="14">
      <x:c r="F14" s="5" t="inlineStr">
        <x:is>
          <x:t xml:space="preserve">REQ-35-HIPAA</x:t>
        </x:is>
      </x:c>
      <x:c r="G14" s="5" t="inlineStr">
        <x:is>
          <x:t xml:space="preserve">04.01x1Organizational.5</x:t>
        </x:is>
      </x:c>
      <x:c r="H14" s="6" t="n">
        <x:v>2</x:v>
      </x:c>
    </x:row>
    <x:row r="15">
      <x:c r="F15" s="5" t="inlineStr">
        <x:is>
          <x:t xml:space="preserve">REQ-55-HIPAA</x:t>
        </x:is>
      </x:c>
      <x:c r="G15" s="5" t="inlineStr">
        <x:is>
          <x:t xml:space="preserve">06.09b1System.2</x:t>
        </x:is>
      </x:c>
      <x:c r="H15" s="6" t="n">
        <x:v>2</x:v>
      </x:c>
    </x:row>
    <x:row r="16"/>
    <x:row r="18">
      <x:c r="A18" s="2" t="inlineStr">
        <x:is>
          <x:t xml:space="preserve">How to read the tabs</x:t>
        </x:is>
      </x:c>
    </x:row>
    <x:row r="19">
      <x:c r="A19" s="9" t="inlineStr">
        <x:is>
          <x:t xml:space="preserve">Action_Item_Overlap</x:t>
        </x:is>
      </x:c>
      <x:c r="B19" s="10" t="inlineStr">
        <x:is>
          <x:t xml:space="preserve">One row per shared action item, with control lists on both sides and action-level mapping cardinality.</x:t>
        </x:is>
      </x:c>
    </x:row>
    <x:row r="20">
      <x:c r="A20" s="9" t="inlineStr">
        <x:is>
          <x:t xml:space="preserve">Normalized_Tuples</x:t>
        </x:is>
      </x:c>
      <x:c r="B20" s="10" t="inlineStr">
        <x:is>
          <x:t xml:space="preserve">Most granular view: one row per HIPAA control ↔ HITRUST e1 control within a shared action item.</x:t>
        </x:is>
      </x:c>
    </x:row>
    <x:row r="21">
      <x:c r="A21" s="9" t="inlineStr">
        <x:is>
          <x:t xml:space="preserve">Pair_Summary</x:t>
        </x:is>
      </x:c>
      <x:c r="B21" s="10" t="inlineStr">
        <x:is>
          <x:t xml:space="preserve">Deduplicated control pairs, plus the action items where each pair appears.</x:t>
        </x:is>
      </x:c>
    </x:row>
  </x:sheetData>
  <x:mergeCells>
    <x:mergeCell ref="A1:L1"/>
    <x:mergeCell ref="A12:D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customWidth="1"/>
    <x:col min="2" max="2" width="14" customWidth="1"/>
    <x:col min="3" max="3" width="16" customWidth="1"/>
    <x:col min="4" max="4" width="42" customWidth="1"/>
    <x:col min="5" max="5" width="36" customWidth="1"/>
    <x:col min="6" max="6" width="12" customWidth="1"/>
    <x:col min="7" max="7" width="54" customWidth="1"/>
    <x:col min="8" max="8" width="14" customWidth="1"/>
    <x:col min="9" max="9" width="12" customWidth="1"/>
    <x:col min="10" max="10" width="68" customWidth="1"/>
  </x:cols>
  <x:sheetData>
    <x:row r="1" ht="32"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Controls</x:t>
        </x:is>
      </x:c>
      <x:c r="F1" s="11" t="inlineStr">
        <x:is>
          <x:t xml:space="preserve">HIPAA Control Count</x:t>
        </x:is>
      </x:c>
      <x:c r="G1" s="11" t="inlineStr">
        <x:is>
          <x:t xml:space="preserve">HITRUST e1 Controls</x:t>
        </x:is>
      </x:c>
      <x:c r="H1" s="11" t="inlineStr">
        <x:is>
          <x:t xml:space="preserve">HITRUST Control Count</x:t>
        </x:is>
      </x:c>
      <x:c r="I1" s="11" t="inlineStr">
        <x:is>
          <x:t xml:space="preserve">Mapping Type</x:t>
        </x:is>
      </x:c>
      <x:c r="J1" s="11" t="inlineStr">
        <x:is>
          <x:t xml:space="preserve">Overlap Notes</x:t>
        </x:is>
      </x:c>
    </x:row>
    <x:row r="2" ht="36" customHeight="1">
      <x:c r="A2" s="5" t="inlineStr">
        <x:is>
          <x:t xml:space="preserve">HITRUST e1.csv</x:t>
        </x:is>
      </x:c>
      <x:c r="B2" s="5" t="inlineStr">
        <x:is>
          <x:t xml:space="preserve">ER-18</x:t>
        </x:is>
      </x:c>
      <x:c r="C2" s="5" t="inlineStr">
        <x:is>
          <x:t xml:space="preserve">Configuration</x:t>
        </x:is>
      </x:c>
      <x:c r="D2" s="5" t="inlineStr">
        <x:is>
          <x:t xml:space="preserve">Anti-malware and Alerts</x:t>
        </x:is>
      </x:c>
      <x:c r="E2" s="5" t="inlineStr">
        <x:is>
          <x:t xml:space="preserve">REQ-38-HIPAA</x:t>
        </x:is>
      </x:c>
      <x:c r="F2" s="12">
        <x:f>IF(E2="",0,LEN(E2)-LEN(SUBSTITUTE(E2,",",""))+1)</x:f>
        <x:v>1</x:v>
      </x:c>
      <x:c r="G2" s="5" t="inlineStr">
        <x:is>
          <x:t xml:space="preserve">0226.09k1Organizational.2, 08.09m1Organizational.8, 02962.09j1Organizational.5, 0207.09j1Organizational.6</x:t>
        </x:is>
      </x:c>
      <x:c r="H2" s="12">
        <x:f>IF(G2="",0,LEN(G2)-LEN(SUBSTITUTE(G2,",",""))+1)</x:f>
        <x:v>4</x:v>
      </x:c>
      <x:c r="I2" s="13" t="str">
        <x:f>IF(AND(F2=1,H2=1),"1:1",IF(AND(F2=1,H2&gt;1),"1:Many",IF(AND(F2&gt;1,H2=1),"Many:1","Many:Many")))</x:f>
        <x:v>1:Many</x:v>
      </x:c>
      <x:c r="J2" s="5" t="str">
        <x:f>IF(I2="1:1","Direct 1:1 overlap at the action-item level.",IF(I2="1:Many","One HIPAA local control decomposes into multiple HITRUST e1 controls in this action item.",IF(I2="Many:1","Multiple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3" ht="36" customHeight="1">
      <x:c r="A3" s="5" t="inlineStr">
        <x:is>
          <x:t xml:space="preserve">HITRUST e1.csv</x:t>
        </x:is>
      </x:c>
      <x:c r="B3" s="5" t="inlineStr">
        <x:is>
          <x:t xml:space="preserve">ER-114</x:t>
        </x:is>
      </x:c>
      <x:c r="C3" s="5" t="inlineStr">
        <x:is>
          <x:t xml:space="preserve">Configuration</x:t>
        </x:is>
      </x:c>
      <x:c r="D3" s="5" t="inlineStr">
        <x:is>
          <x:t xml:space="preserve">Backups and Schedules</x:t>
        </x:is>
      </x:c>
      <x:c r="E3" s="5" t="inlineStr">
        <x:is>
          <x:t xml:space="preserve">REQ-62-HIPAA, REQ-63-HIPAA</x:t>
        </x:is>
      </x:c>
      <x:c r="F3" s="12">
        <x:f>IF(E3="",0,LEN(E3)-LEN(SUBSTITUTE(E3,",",""))+1)</x:f>
        <x:v>2</x:v>
      </x:c>
      <x:c r="G3" s="5" t="inlineStr">
        <x:is>
          <x:t xml:space="preserve">1616.09l1Organizational.16, 16.09l1Organizational.4, 1618.09l1Organizational.45</x:t>
        </x:is>
      </x:c>
      <x:c r="H3" s="12">
        <x:f>IF(G3="",0,LEN(G3)-LEN(SUBSTITUTE(G3,",",""))+1)</x:f>
        <x:v>3</x:v>
      </x:c>
      <x:c r="I3" s="14" t="str">
        <x:f>IF(AND(F3=1,H3=1),"1:1",IF(AND(F3=1,H3&gt;1),"1:Many",IF(AND(F3&gt;1,H3=1),"Many:1","Many:Many")))</x:f>
        <x:v>Many:Many</x:v>
      </x:c>
      <x:c r="J3" s="5" t="str">
        <x:f>IF(I3="1:1","Direct 1:1 overlap at the action-item level.",IF(I3="1:Many","One HIPAA local control decomposes into multiple HITRUST e1 controls in this action item.",IF(I3="Many:1","Multiple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4" ht="36" customHeight="1">
      <x:c r="A4" s="5" t="inlineStr">
        <x:is>
          <x:t xml:space="preserve">HITRUST e1.csv</x:t>
        </x:is>
      </x:c>
      <x:c r="B4" s="5" t="inlineStr">
        <x:is>
          <x:t xml:space="preserve">ER-1</x:t>
        </x:is>
      </x:c>
      <x:c r="C4" s="5" t="inlineStr">
        <x:is>
          <x:t xml:space="preserve">Configuration</x:t>
        </x:is>
      </x:c>
      <x:c r="D4" s="5" t="inlineStr">
        <x:is>
          <x:t xml:space="preserve">Data Encryption at Rest</x:t>
        </x:is>
      </x:c>
      <x:c r="E4" s="5" t="inlineStr">
        <x:is>
          <x:t xml:space="preserve">REQ-33-HIPAA, REQ-34-HIPAA, REQ-35-HIPAA</x:t>
        </x:is>
      </x:c>
      <x:c r="F4" s="12">
        <x:f>IF(E4="",0,LEN(E4)-LEN(SUBSTITUTE(E4,",",""))+1)</x:f>
        <x:v>3</x:v>
      </x:c>
      <x:c r="G4" s="5" t="inlineStr">
        <x:is>
          <x:t xml:space="preserve">04.01x1Organizational.5, 1903.06d1Organizational.3456711</x:t>
        </x:is>
      </x:c>
      <x:c r="H4" s="12">
        <x:f>IF(G4="",0,LEN(G4)-LEN(SUBSTITUTE(G4,",",""))+1)</x:f>
        <x:v>2</x:v>
      </x:c>
      <x:c r="I4" s="14" t="str">
        <x:f>IF(AND(F4=1,H4=1),"1:1",IF(AND(F4=1,H4&gt;1),"1:Many",IF(AND(F4&gt;1,H4=1),"Many:1","Many:Many")))</x:f>
        <x:v>Many:Many</x:v>
      </x:c>
      <x:c r="J4" s="5" t="str">
        <x:f>IF(I4="1:1","Direct 1:1 overlap at the action-item level.",IF(I4="1:Many","One HIPAA local control decomposes into multiple HITRUST e1 controls in this action item.",IF(I4="Many:1","Multiple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5" ht="36" customHeight="1">
      <x:c r="A5" s="5" t="inlineStr">
        <x:is>
          <x:t xml:space="preserve">HITRUST e1.csv</x:t>
        </x:is>
      </x:c>
      <x:c r="B5" s="5" t="inlineStr">
        <x:is>
          <x:t xml:space="preserve">ER-3</x:t>
        </x:is>
      </x:c>
      <x:c r="C5" s="5" t="inlineStr">
        <x:is>
          <x:t xml:space="preserve">Configuration</x:t>
        </x:is>
      </x:c>
      <x:c r="D5" s="5" t="inlineStr">
        <x:is>
          <x:t xml:space="preserve">Encryption In Transit (Ex. TLS Protocols)</x:t>
        </x:is>
      </x:c>
      <x:c r="E5" s="5" t="inlineStr">
        <x:is>
          <x:t xml:space="preserve">REQ-33-HIPAA, REQ-35-HIPAA</x:t>
        </x:is>
      </x:c>
      <x:c r="F5" s="12">
        <x:f>IF(E5="",0,LEN(E5)-LEN(SUBSTITUTE(E5,",",""))+1)</x:f>
        <x:v>2</x:v>
      </x:c>
      <x:c r="G5" s="5" t="inlineStr">
        <x:is>
          <x:t xml:space="preserve">04.01x1Organizational.5, 0913.09s1Organizational.5, 1013.01r1System.2, 0862.09m2Organizational.8, 0928.09v2Organizational.1, 0945.09y1Organizational.3, 0954.10d1System.1, 0903.10f1Organizational.1.a</x:t>
        </x:is>
      </x:c>
      <x:c r="H5" s="12">
        <x:f>IF(G5="",0,LEN(G5)-LEN(SUBSTITUTE(G5,",",""))+1)</x:f>
        <x:v>8</x:v>
      </x:c>
      <x:c r="I5" s="14" t="str">
        <x:f>IF(AND(F5=1,H5=1),"1:1",IF(AND(F5=1,H5&gt;1),"1:Many",IF(AND(F5&gt;1,H5=1),"Many:1","Many:Many")))</x:f>
        <x:v>Many:Many</x:v>
      </x:c>
      <x:c r="J5" s="5" t="str">
        <x:f>IF(I5="1:1","Direct 1:1 overlap at the action-item level.",IF(I5="1:Many","One HIPAA local control decomposes into multiple HITRUST e1 controls in this action item.",IF(I5="Many:1","Multiple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6" ht="36" customHeight="1">
      <x:c r="A6" s="5" t="inlineStr">
        <x:is>
          <x:t xml:space="preserve">HITRUST e1.csv</x:t>
        </x:is>
      </x:c>
      <x:c r="B6" s="5" t="inlineStr">
        <x:is>
          <x:t xml:space="preserve">ER-88</x:t>
        </x:is>
      </x:c>
      <x:c r="C6" s="5" t="inlineStr">
        <x:is>
          <x:t xml:space="preserve">Configuration</x:t>
        </x:is>
      </x:c>
      <x:c r="D6" s="5" t="inlineStr">
        <x:is>
          <x:t xml:space="preserve">Evidence of Multi-Factor Authentication</x:t>
        </x:is>
      </x:c>
      <x:c r="E6" s="5" t="inlineStr">
        <x:is>
          <x:t xml:space="preserve">REQ-27-HIPAA</x:t>
        </x:is>
      </x:c>
      <x:c r="F6" s="12">
        <x:f>IF(E6="",0,LEN(E6)-LEN(SUBSTITUTE(E6,",",""))+1)</x:f>
        <x:v>1</x:v>
      </x:c>
      <x:c r="G6" s="5" t="inlineStr">
        <x:is>
          <x:t xml:space="preserve">11.01q1System.3, 11.01q1System.4</x:t>
        </x:is>
      </x:c>
      <x:c r="H6" s="12">
        <x:f>IF(G6="",0,LEN(G6)-LEN(SUBSTITUTE(G6,",",""))+1)</x:f>
        <x:v>2</x:v>
      </x:c>
      <x:c r="I6" s="13" t="str">
        <x:f>IF(AND(F6=1,H6=1),"1:1",IF(AND(F6=1,H6&gt;1),"1:Many",IF(AND(F6&gt;1,H6=1),"Many:1","Many:Many")))</x:f>
        <x:v>1:Many</x:v>
      </x:c>
      <x:c r="J6" s="5" t="str">
        <x:f>IF(I6="1:1","Direct 1:1 overlap at the action-item level.",IF(I6="1:Many","One HIPAA local control decomposes into multiple HITRUST e1 controls in this action item.",IF(I6="Many:1","Multiple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7" ht="36" customHeight="1">
      <x:c r="A7" s="5" t="inlineStr">
        <x:is>
          <x:t xml:space="preserve">HITRUST e1.csv</x:t>
        </x:is>
      </x:c>
      <x:c r="B7" s="5" t="inlineStr">
        <x:is>
          <x:t xml:space="preserve">ER-91</x:t>
        </x:is>
      </x:c>
      <x:c r="C7" s="5" t="inlineStr">
        <x:is>
          <x:t xml:space="preserve">Configuration</x:t>
        </x:is>
      </x:c>
      <x:c r="D7" s="5" t="inlineStr">
        <x:is>
          <x:t xml:space="preserve">Firewall Rules/Security Groups</x:t>
        </x:is>
      </x:c>
      <x:c r="E7" s="5" t="inlineStr">
        <x:is>
          <x:t xml:space="preserve">REQ-37-HIPAA</x:t>
        </x:is>
      </x:c>
      <x:c r="F7" s="12">
        <x:f>IF(E7="",0,LEN(E7)-LEN(SUBSTITUTE(E7,",",""))+1)</x:f>
        <x:v>1</x:v>
      </x:c>
      <x:c r="G7" s="5" t="inlineStr">
        <x:is>
          <x:t xml:space="preserve">0265.09m1Organizational.2, 0805.01m1Organizational.12</x:t>
        </x:is>
      </x:c>
      <x:c r="H7" s="12">
        <x:f>IF(G7="",0,LEN(G7)-LEN(SUBSTITUTE(G7,",",""))+1)</x:f>
        <x:v>2</x:v>
      </x:c>
      <x:c r="I7" s="13" t="str">
        <x:f>IF(AND(F7=1,H7=1),"1:1",IF(AND(F7=1,H7&gt;1),"1:Many",IF(AND(F7&gt;1,H7=1),"Many:1","Many:Many")))</x:f>
        <x:v>1:Many</x:v>
      </x:c>
      <x:c r="J7" s="5" t="str">
        <x:f>IF(I7="1:1","Direct 1:1 overlap at the action-item level.",IF(I7="1:Many","One HIPAA local control decomposes into multiple HITRUST e1 controls in this action item.",IF(I7="Many:1","Multiple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8" ht="36" customHeight="1">
      <x:c r="A8" s="5" t="inlineStr">
        <x:is>
          <x:t xml:space="preserve">HITRUST e1.csv</x:t>
        </x:is>
      </x:c>
      <x:c r="B8" s="5" t="inlineStr">
        <x:is>
          <x:t xml:space="preserve">ER-12</x:t>
        </x:is>
      </x:c>
      <x:c r="C8" s="5" t="inlineStr">
        <x:is>
          <x:t xml:space="preserve">Configuration</x:t>
        </x:is>
      </x:c>
      <x:c r="D8" s="5" t="inlineStr">
        <x:is>
          <x:t xml:space="preserve">List of All Production Systems (Servers, VMs, Data Stores)</x:t>
        </x:is>
      </x:c>
      <x:c r="E8" s="5" t="inlineStr">
        <x:is>
          <x:t xml:space="preserve">REQ-33-HIPAA, REQ-34-HIPAA, REQ-43-HIPAA, REQ-102-HIPAA</x:t>
        </x:is>
      </x:c>
      <x:c r="F8" s="12">
        <x:f>IF(E8="",0,LEN(E8)-LEN(SUBSTITUTE(E8,",",""))+1)</x:f>
        <x:v>4</x:v>
      </x:c>
      <x:c r="G8" s="5" t="inlineStr">
        <x:is>
          <x:t xml:space="preserve">0701.07a1Organizational.8, 0701.07a1Organizational.7, 07.07a1Organizational.8</x:t>
        </x:is>
      </x:c>
      <x:c r="H8" s="12">
        <x:f>IF(G8="",0,LEN(G8)-LEN(SUBSTITUTE(G8,",",""))+1)</x:f>
        <x:v>3</x:v>
      </x:c>
      <x:c r="I8" s="14" t="str">
        <x:f>IF(AND(F8=1,H8=1),"1:1",IF(AND(F8=1,H8&gt;1),"1:Many",IF(AND(F8&gt;1,H8=1),"Many:1","Many:Many")))</x:f>
        <x:v>Many:Many</x:v>
      </x:c>
      <x:c r="J8" s="5" t="str">
        <x:f>IF(I8="1:1","Direct 1:1 overlap at the action-item level.",IF(I8="1:Many","One HIPAA local control decomposes into multiple HITRUST e1 controls in this action item.",IF(I8="Many:1","Multiple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9" ht="36" customHeight="1">
      <x:c r="A9" s="5" t="inlineStr">
        <x:is>
          <x:t xml:space="preserve">HITRUST e1.csv</x:t>
        </x:is>
      </x:c>
      <x:c r="B9" s="5" t="inlineStr">
        <x:is>
          <x:t xml:space="preserve">ER-83</x:t>
        </x:is>
      </x:c>
      <x:c r="C9" s="5" t="inlineStr">
        <x:is>
          <x:t xml:space="preserve">Configuration</x:t>
        </x:is>
      </x:c>
      <x:c r="D9" s="5" t="inlineStr">
        <x:is>
          <x:t xml:space="preserve">Network Diagram and Segmentation</x:t>
        </x:is>
      </x:c>
      <x:c r="E9" s="5" t="inlineStr">
        <x:is>
          <x:t xml:space="preserve">REQ-36-HIPAA</x:t>
        </x:is>
      </x:c>
      <x:c r="F9" s="12">
        <x:f>IF(E9="",0,LEN(E9)-LEN(SUBSTITUTE(E9,",",""))+1)</x:f>
        <x:v>1</x:v>
      </x:c>
      <x:c r="G9" s="5" t="inlineStr">
        <x:is>
          <x:t xml:space="preserve">0805.01m1Organizational.12, 0504.09m1Organizational.13</x:t>
        </x:is>
      </x:c>
      <x:c r="H9" s="12">
        <x:f>IF(G9="",0,LEN(G9)-LEN(SUBSTITUTE(G9,",",""))+1)</x:f>
        <x:v>2</x:v>
      </x:c>
      <x:c r="I9" s="13" t="str">
        <x:f>IF(AND(F9=1,H9=1),"1:1",IF(AND(F9=1,H9&gt;1),"1:Many",IF(AND(F9&gt;1,H9=1),"Many:1","Many:Many")))</x:f>
        <x:v>1:Many</x:v>
      </x:c>
      <x:c r="J9" s="5" t="str">
        <x:f>IF(I9="1:1","Direct 1:1 overlap at the action-item level.",IF(I9="1:Many","One HIPAA local control decomposes into multiple HITRUST e1 controls in this action item.",IF(I9="Many:1","Multiple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10" ht="36" customHeight="1">
      <x:c r="A10" s="5" t="inlineStr">
        <x:is>
          <x:t xml:space="preserve">HITRUST e1.csv</x:t>
        </x:is>
      </x:c>
      <x:c r="B10" s="5" t="inlineStr">
        <x:is>
          <x:t xml:space="preserve">ER-67</x:t>
        </x:is>
      </x:c>
      <x:c r="C10" s="5" t="inlineStr">
        <x:is>
          <x:t xml:space="preserve">Configuration</x:t>
        </x:is>
      </x:c>
      <x:c r="D10" s="5" t="inlineStr">
        <x:is>
          <x:t xml:space="preserve">Password Vault and Shared Accounts</x:t>
        </x:is>
      </x:c>
      <x:c r="E10" s="5" t="inlineStr">
        <x:is>
          <x:t xml:space="preserve">REQ-28-HIPAA, REQ-31-HIPAA</x:t>
        </x:is>
      </x:c>
      <x:c r="F10" s="12">
        <x:f>IF(E10="",0,LEN(E10)-LEN(SUBSTITUTE(E10,",",""))+1)</x:f>
        <x:v>2</x:v>
      </x:c>
      <x:c r="G10" s="5" t="inlineStr">
        <x:is>
          <x:t xml:space="preserve">1123.01q1System.2</x:t>
        </x:is>
      </x:c>
      <x:c r="H10" s="12">
        <x:f>IF(G10="",0,LEN(G10)-LEN(SUBSTITUTE(G10,",",""))+1)</x:f>
        <x:v>1</x:v>
      </x:c>
      <x:c r="I10" s="15" t="str">
        <x:f>IF(AND(F10=1,H10=1),"1:1",IF(AND(F10=1,H10&gt;1),"1:Many",IF(AND(F10&gt;1,H10=1),"Many:1","Many:Many")))</x:f>
        <x:v>Many:1</x:v>
      </x:c>
      <x:c r="J10" s="5" t="str">
        <x:f>IF(I10="1:1","Direct 1:1 overlap at the action-item level.",IF(I10="1:Many","One HIPAA local control decomposes into multiple HITRUST e1 controls in this action item.",IF(I10="Many:1","Multiple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11" ht="36" customHeight="1">
      <x:c r="A11" s="5" t="inlineStr">
        <x:is>
          <x:t xml:space="preserve">HITRUST e1.csv</x:t>
        </x:is>
      </x:c>
      <x:c r="B11" s="5" t="inlineStr">
        <x:is>
          <x:t xml:space="preserve">ER-25</x:t>
        </x:is>
      </x:c>
      <x:c r="C11" s="5" t="inlineStr">
        <x:is>
          <x:t xml:space="preserve">Configuration</x:t>
        </x:is>
      </x:c>
      <x:c r="D11" s="5" t="inlineStr">
        <x:is>
          <x:t xml:space="preserve">Passwords for All In-Scope Production Systems</x:t>
        </x:is>
      </x:c>
      <x:c r="E11" s="5" t="inlineStr">
        <x:is>
          <x:t xml:space="preserve">REQ-26-HIPAA</x:t>
        </x:is>
      </x:c>
      <x:c r="F11" s="12">
        <x:f>IF(E11="",0,LEN(E11)-LEN(SUBSTITUTE(E11,",",""))+1)</x:f>
        <x:v>1</x:v>
      </x:c>
      <x:c r="G11" s="5" t="inlineStr">
        <x:is>
          <x:t xml:space="preserve">10.01d1System.10</x:t>
        </x:is>
      </x:c>
      <x:c r="H11" s="12">
        <x:f>IF(G11="",0,LEN(G11)-LEN(SUBSTITUTE(G11,",",""))+1)</x:f>
        <x:v>1</x:v>
      </x:c>
      <x:c r="I11" s="16" t="str">
        <x:f>IF(AND(F11=1,H11=1),"1:1",IF(AND(F11=1,H11&gt;1),"1:Many",IF(AND(F11&gt;1,H11=1),"Many:1","Many:Many")))</x:f>
        <x:v>1:1</x:v>
      </x:c>
      <x:c r="J11" s="5" t="str">
        <x:f>IF(I11="1:1","Direct 1:1 overlap at the action-item level.",IF(I11="1:Many","One HIPAA local control decomposes into multiple HITRUST e1 controls in this action item.",IF(I11="Many:1","Multiple HIPAA local controls converge on one HITRUST e1 control in this action item.","Composite overlap: multiple HIPAA and HITRUST e1 controls are satisfied by the same action item.")))</x:f>
        <x:v>Direct 1:1 overlap at the action-item level.</x:v>
      </x:c>
    </x:row>
    <x:row r="12" ht="36" customHeight="1">
      <x:c r="A12" s="5" t="inlineStr">
        <x:is>
          <x:t xml:space="preserve">HIPAA Security.csv</x:t>
        </x:is>
      </x:c>
      <x:c r="B12" s="5" t="inlineStr">
        <x:is>
          <x:t xml:space="preserve">ER-271</x:t>
        </x:is>
      </x:c>
      <x:c r="C12" s="5" t="inlineStr">
        <x:is>
          <x:t xml:space="preserve">Operational</x:t>
        </x:is>
      </x:c>
      <x:c r="D12" s="5" t="inlineStr">
        <x:is>
          <x:t xml:space="preserve">Asset Custody Log</x:t>
        </x:is>
      </x:c>
      <x:c r="E12" s="5" t="inlineStr">
        <x:is>
          <x:t xml:space="preserve">REQ-109-HIPAA</x:t>
        </x:is>
      </x:c>
      <x:c r="F12" s="12">
        <x:f>IF(E12="",0,LEN(E12)-LEN(SUBSTITUTE(E12,",",""))+1)</x:f>
        <x:v>1</x:v>
      </x:c>
      <x:c r="G12" s="5" t="inlineStr">
        <x:is>
          <x:t xml:space="preserve">0704.07a1Organizational.8, 0701.07a1Organizational.8</x:t>
        </x:is>
      </x:c>
      <x:c r="H12" s="12">
        <x:f>IF(G12="",0,LEN(G12)-LEN(SUBSTITUTE(G12,",",""))+1)</x:f>
        <x:v>2</x:v>
      </x:c>
      <x:c r="I12" s="13" t="str">
        <x:f>IF(AND(F12=1,H12=1),"1:1",IF(AND(F12=1,H12&gt;1),"1:Many",IF(AND(F12&gt;1,H12=1),"Many:1","Many:Many")))</x:f>
        <x:v>1:Many</x:v>
      </x:c>
      <x:c r="J12" s="5" t="str">
        <x:f>IF(I12="1:1","Direct 1:1 overlap at the action-item level.",IF(I12="1:Many","One HIPAA local control decomposes into multiple HITRUST e1 controls in this action item.",IF(I12="Many:1","Multiple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13" ht="36" customHeight="1">
      <x:c r="A13" s="5" t="inlineStr">
        <x:is>
          <x:t xml:space="preserve">HITRUST e1.csv</x:t>
        </x:is>
      </x:c>
      <x:c r="B13" s="5" t="inlineStr">
        <x:is>
          <x:t xml:space="preserve">ER-123</x:t>
        </x:is>
      </x:c>
      <x:c r="C13" s="5" t="inlineStr">
        <x:is>
          <x:t xml:space="preserve">Operational</x:t>
        </x:is>
      </x:c>
      <x:c r="D13" s="5" t="inlineStr">
        <x:is>
          <x:t xml:space="preserve">Completed Production Data Backup Test</x:t>
        </x:is>
      </x:c>
      <x:c r="E13" s="5" t="inlineStr">
        <x:is>
          <x:t xml:space="preserve">REQ-61-HIPAA</x:t>
        </x:is>
      </x:c>
      <x:c r="F13" s="12">
        <x:f>IF(E13="",0,LEN(E13)-LEN(SUBSTITUTE(E13,",",""))+1)</x:f>
        <x:v>1</x:v>
      </x:c>
      <x:c r="G13" s="5" t="inlineStr">
        <x:is>
          <x:t xml:space="preserve">1616.09l1Organizational.16</x:t>
        </x:is>
      </x:c>
      <x:c r="H13" s="12">
        <x:f>IF(G13="",0,LEN(G13)-LEN(SUBSTITUTE(G13,",",""))+1)</x:f>
        <x:v>1</x:v>
      </x:c>
      <x:c r="I13" s="16" t="str">
        <x:f>IF(AND(F13=1,H13=1),"1:1",IF(AND(F13=1,H13&gt;1),"1:Many",IF(AND(F13&gt;1,H13=1),"Many:1","Many:Many")))</x:f>
        <x:v>1:1</x:v>
      </x:c>
      <x:c r="J13" s="5" t="str">
        <x:f>IF(I13="1:1","Direct 1:1 overlap at the action-item level.",IF(I13="1:Many","One HIPAA local control decomposes into multiple HITRUST e1 controls in this action item.",IF(I13="Many:1","Multiple HIPAA local controls converge on one HITRUST e1 control in this action item.","Composite overlap: multiple HIPAA and HITRUST e1 controls are satisfied by the same action item.")))</x:f>
        <x:v>Direct 1:1 overlap at the action-item level.</x:v>
      </x:c>
    </x:row>
    <x:row r="14" ht="36" customHeight="1">
      <x:c r="A14" s="5" t="inlineStr">
        <x:is>
          <x:t xml:space="preserve">HITRUST e1.csv</x:t>
        </x:is>
      </x:c>
      <x:c r="B14" s="5" t="inlineStr">
        <x:is>
          <x:t xml:space="preserve">ER-56</x:t>
        </x:is>
      </x:c>
      <x:c r="C14" s="5" t="inlineStr">
        <x:is>
          <x:t xml:space="preserve">Operational</x:t>
        </x:is>
      </x:c>
      <x:c r="D14" s="5" t="inlineStr">
        <x:is>
          <x:t xml:space="preserve">Information Security Policy Repository</x:t>
        </x:is>
      </x:c>
      <x:c r="E14" s="5" t="inlineStr">
        <x:is>
          <x:t xml:space="preserve">REQ-1-HIPAA, REQ-12-HIPAA, REQ-13-HIPAA</x:t>
        </x:is>
      </x:c>
      <x:c r="F14" s="12">
        <x:f>IF(E14="",0,LEN(E14)-LEN(SUBSTITUTE(E14,",",""))+1)</x:f>
        <x:v>3</x:v>
      </x:c>
      <x:c r="G14" s="5" t="inlineStr">
        <x:is>
          <x:t xml:space="preserve">0113.04a1Organizational.2</x:t>
        </x:is>
      </x:c>
      <x:c r="H14" s="12">
        <x:f>IF(G14="",0,LEN(G14)-LEN(SUBSTITUTE(G14,",",""))+1)</x:f>
        <x:v>1</x:v>
      </x:c>
      <x:c r="I14" s="15" t="str">
        <x:f>IF(AND(F14=1,H14=1),"1:1",IF(AND(F14=1,H14&gt;1),"1:Many",IF(AND(F14&gt;1,H14=1),"Many:1","Many:Many")))</x:f>
        <x:v>Many:1</x:v>
      </x:c>
      <x:c r="J14" s="5" t="str">
        <x:f>IF(I14="1:1","Direct 1:1 overlap at the action-item level.",IF(I14="1:Many","One HIPAA local control decomposes into multiple HITRUST e1 controls in this action item.",IF(I14="Many:1","Multiple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15" ht="36" customHeight="1">
      <x:c r="A15" s="5" t="inlineStr">
        <x:is>
          <x:t xml:space="preserve">HITRUST e1.csv</x:t>
        </x:is>
      </x:c>
      <x:c r="B15" s="5" t="inlineStr">
        <x:is>
          <x:t xml:space="preserve">ER-105</x:t>
        </x:is>
      </x:c>
      <x:c r="C15" s="5" t="inlineStr">
        <x:is>
          <x:t xml:space="preserve">Operational</x:t>
        </x:is>
      </x:c>
      <x:c r="D15" s="5" t="inlineStr">
        <x:is>
          <x:t xml:space="preserve">Risk Assessment</x:t>
        </x:is>
      </x:c>
      <x:c r="E15" s="5" t="inlineStr">
        <x:is>
          <x:t xml:space="preserve">REQ-17-HIPAA, REQ-20-HIPAA, REQ-110-HIPAA</x:t>
        </x:is>
      </x:c>
      <x:c r="F15" s="12">
        <x:f>IF(E15="",0,LEN(E15)-LEN(SUBSTITUTE(E15,",",""))+1)</x:f>
        <x:v>3</x:v>
      </x:c>
      <x:c r="G15" s="5" t="inlineStr">
        <x:is>
          <x:t xml:space="preserve">1704.03b1Organizational.12</x:t>
        </x:is>
      </x:c>
      <x:c r="H15" s="12">
        <x:f>IF(G15="",0,LEN(G15)-LEN(SUBSTITUTE(G15,",",""))+1)</x:f>
        <x:v>1</x:v>
      </x:c>
      <x:c r="I15" s="15" t="str">
        <x:f>IF(AND(F15=1,H15=1),"1:1",IF(AND(F15=1,H15&gt;1),"1:Many",IF(AND(F15&gt;1,H15=1),"Many:1","Many:Many")))</x:f>
        <x:v>Many:1</x:v>
      </x:c>
      <x:c r="J15" s="5" t="str">
        <x:f>IF(I15="1:1","Direct 1:1 overlap at the action-item level.",IF(I15="1:Many","One HIPAA local control decomposes into multiple HITRUST e1 controls in this action item.",IF(I15="Many:1","Multiple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16" ht="36" customHeight="1">
      <x:c r="A16" s="5" t="inlineStr">
        <x:is>
          <x:t xml:space="preserve">HITRUST e1.csv</x:t>
        </x:is>
      </x:c>
      <x:c r="B16" s="5" t="inlineStr">
        <x:is>
          <x:t xml:space="preserve">ER-86</x:t>
        </x:is>
      </x:c>
      <x:c r="C16" s="5" t="inlineStr">
        <x:is>
          <x:t xml:space="preserve">Policy</x:t>
        </x:is>
      </x:c>
      <x:c r="D16" s="5" t="inlineStr">
        <x:is>
          <x:t xml:space="preserve">Access Control</x:t>
        </x:is>
      </x:c>
      <x:c r="E16" s="5" t="inlineStr">
        <x:is>
          <x:t xml:space="preserve">REQ-29-HIPAA, REQ-24-HIPAA, REQ-30-HIPAA, REQ-31-HIPAA</x:t>
        </x:is>
      </x:c>
      <x:c r="F16" s="12">
        <x:f>IF(E16="",0,LEN(E16)-LEN(SUBSTITUTE(E16,",",""))+1)</x:f>
        <x:v>4</x:v>
      </x:c>
      <x:c r="G16" s="5" t="inlineStr">
        <x:is>
          <x:t xml:space="preserve">11.01e1System.2</x:t>
        </x:is>
      </x:c>
      <x:c r="H16" s="12">
        <x:f>IF(G16="",0,LEN(G16)-LEN(SUBSTITUTE(G16,",",""))+1)</x:f>
        <x:v>1</x:v>
      </x:c>
      <x:c r="I16" s="15" t="str">
        <x:f>IF(AND(F16=1,H16=1),"1:1",IF(AND(F16=1,H16&gt;1),"1:Many",IF(AND(F16&gt;1,H16=1),"Many:1","Many:Many")))</x:f>
        <x:v>Many:1</x:v>
      </x:c>
      <x:c r="J16" s="5" t="str">
        <x:f>IF(I16="1:1","Direct 1:1 overlap at the action-item level.",IF(I16="1:Many","One HIPAA local control decomposes into multiple HITRUST e1 controls in this action item.",IF(I16="Many:1","Multiple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17" ht="36" customHeight="1">
      <x:c r="A17" s="5" t="inlineStr">
        <x:is>
          <x:t xml:space="preserve">HITRUST e1.csv</x:t>
        </x:is>
      </x:c>
      <x:c r="B17" s="5" t="inlineStr">
        <x:is>
          <x:t xml:space="preserve">ER-115</x:t>
        </x:is>
      </x:c>
      <x:c r="C17" s="5" t="inlineStr">
        <x:is>
          <x:t xml:space="preserve">Policy</x:t>
        </x:is>
      </x:c>
      <x:c r="D17" s="5" t="inlineStr">
        <x:is>
          <x:t xml:space="preserve">Backups</x:t>
        </x:is>
      </x:c>
      <x:c r="E17" s="5" t="inlineStr">
        <x:is>
          <x:t xml:space="preserve">REQ-61-HIPAA, REQ-60-HIPAA</x:t>
        </x:is>
      </x:c>
      <x:c r="F17" s="12">
        <x:f>IF(E17="",0,LEN(E17)-LEN(SUBSTITUTE(E17,",",""))+1)</x:f>
        <x:v>2</x:v>
      </x:c>
      <x:c r="G17" s="5" t="inlineStr">
        <x:is>
          <x:t xml:space="preserve">1616.09l1Organizational.16</x:t>
        </x:is>
      </x:c>
      <x:c r="H17" s="12">
        <x:f>IF(G17="",0,LEN(G17)-LEN(SUBSTITUTE(G17,",",""))+1)</x:f>
        <x:v>1</x:v>
      </x:c>
      <x:c r="I17" s="15" t="str">
        <x:f>IF(AND(F17=1,H17=1),"1:1",IF(AND(F17=1,H17&gt;1),"1:Many",IF(AND(F17&gt;1,H17=1),"Many:1","Many:Many")))</x:f>
        <x:v>Many:1</x:v>
      </x:c>
      <x:c r="J17" s="5" t="str">
        <x:f>IF(I17="1:1","Direct 1:1 overlap at the action-item level.",IF(I17="1:Many","One HIPAA local control decomposes into multiple HITRUST e1 controls in this action item.",IF(I17="Many:1","Multiple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18" ht="36" customHeight="1">
      <x:c r="A18" s="5" t="inlineStr">
        <x:is>
          <x:t xml:space="preserve">HITRUST e1.csv</x:t>
        </x:is>
      </x:c>
      <x:c r="B18" s="5" t="inlineStr">
        <x:is>
          <x:t xml:space="preserve">ER-61</x:t>
        </x:is>
      </x:c>
      <x:c r="C18" s="5" t="inlineStr">
        <x:is>
          <x:t xml:space="preserve">Policy</x:t>
        </x:is>
      </x:c>
      <x:c r="D18" s="5" t="inlineStr">
        <x:is>
          <x:t xml:space="preserve">Change Management</x:t>
        </x:is>
      </x:c>
      <x:c r="E18" s="5" t="inlineStr">
        <x:is>
          <x:t xml:space="preserve">REQ-53-HIPAA</x:t>
        </x:is>
      </x:c>
      <x:c r="F18" s="12">
        <x:f>IF(E18="",0,LEN(E18)-LEN(SUBSTITUTE(E18,",",""))+1)</x:f>
        <x:v>1</x:v>
      </x:c>
      <x:c r="G18" s="5" t="inlineStr">
        <x:is>
          <x:t xml:space="preserve">06.09b1System.2, 1769.09i1System.12</x:t>
        </x:is>
      </x:c>
      <x:c r="H18" s="12">
        <x:f>IF(G18="",0,LEN(G18)-LEN(SUBSTITUTE(G18,",",""))+1)</x:f>
        <x:v>2</x:v>
      </x:c>
      <x:c r="I18" s="13" t="str">
        <x:f>IF(AND(F18=1,H18=1),"1:1",IF(AND(F18=1,H18&gt;1),"1:Many",IF(AND(F18&gt;1,H18=1),"Many:1","Many:Many")))</x:f>
        <x:v>1:Many</x:v>
      </x:c>
      <x:c r="J18" s="5" t="str">
        <x:f>IF(I18="1:1","Direct 1:1 overlap at the action-item level.",IF(I18="1:Many","One HIPAA local control decomposes into multiple HITRUST e1 controls in this action item.",IF(I18="Many:1","Multiple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19" ht="36" customHeight="1">
      <x:c r="A19" s="5" t="inlineStr">
        <x:is>
          <x:t xml:space="preserve">HITRUST e1.csv</x:t>
        </x:is>
      </x:c>
      <x:c r="B19" s="5" t="inlineStr">
        <x:is>
          <x:t xml:space="preserve">ER-108</x:t>
        </x:is>
      </x:c>
      <x:c r="C19" s="5" t="inlineStr">
        <x:is>
          <x:t xml:space="preserve">Policy</x:t>
        </x:is>
      </x:c>
      <x:c r="D19" s="5" t="inlineStr">
        <x:is>
          <x:t xml:space="preserve">Data Classification, Retention and Disposal</x:t>
        </x:is>
      </x:c>
      <x:c r="E19" s="5" t="inlineStr">
        <x:is>
          <x:t xml:space="preserve">REQ-32-HIPAA, REQ-67-HIPAA, REQ-66-HIPAA</x:t>
        </x:is>
      </x:c>
      <x:c r="F19" s="12">
        <x:f>IF(E19="",0,LEN(E19)-LEN(SUBSTITUTE(E19,",",""))+1)</x:f>
        <x:v>3</x:v>
      </x:c>
      <x:c r="G19" s="5" t="inlineStr">
        <x:is>
          <x:t xml:space="preserve">1239.09aa1System.4, 1616.09l1Organizational.16, 1767.07d1Organizational.2, 0305.09q1Organizational.12, 19142.06c1Organizational.8</x:t>
        </x:is>
      </x:c>
      <x:c r="H19" s="12">
        <x:f>IF(G19="",0,LEN(G19)-LEN(SUBSTITUTE(G19,",",""))+1)</x:f>
        <x:v>5</x:v>
      </x:c>
      <x:c r="I19" s="14" t="str">
        <x:f>IF(AND(F19=1,H19=1),"1:1",IF(AND(F19=1,H19&gt;1),"1:Many",IF(AND(F19&gt;1,H19=1),"Many:1","Many:Many")))</x:f>
        <x:v>Many:Many</x:v>
      </x:c>
      <x:c r="J19" s="5" t="str">
        <x:f>IF(I19="1:1","Direct 1:1 overlap at the action-item level.",IF(I19="1:Many","One HIPAA local control decomposes into multiple HITRUST e1 controls in this action item.",IF(I19="Many:1","Multiple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20" ht="36" customHeight="1">
      <x:c r="A20" s="5" t="inlineStr">
        <x:is>
          <x:t xml:space="preserve">HITRUST e1.csv</x:t>
        </x:is>
      </x:c>
      <x:c r="B20" s="5" t="inlineStr">
        <x:is>
          <x:t xml:space="preserve">ER-55</x:t>
        </x:is>
      </x:c>
      <x:c r="C20" s="5" t="inlineStr">
        <x:is>
          <x:t xml:space="preserve">Policy</x:t>
        </x:is>
      </x:c>
      <x:c r="D20" s="5" t="inlineStr">
        <x:is>
          <x:t xml:space="preserve">Incident Response</x:t>
        </x:is>
      </x:c>
      <x:c r="E20" s="5" t="inlineStr">
        <x:is>
          <x:t xml:space="preserve">REQ-48-HIPAA, REQ-49-HIPAA</x:t>
        </x:is>
      </x:c>
      <x:c r="F20" s="12">
        <x:f>IF(E20="",0,LEN(E20)-LEN(SUBSTITUTE(E20,",",""))+1)</x:f>
        <x:v>2</x:v>
      </x:c>
      <x:c r="G20" s="5" t="inlineStr">
        <x:is>
          <x:t xml:space="preserve">1561.11c1Organizational.4, 1589.11c1Organizational.5</x:t>
        </x:is>
      </x:c>
      <x:c r="H20" s="12">
        <x:f>IF(G20="",0,LEN(G20)-LEN(SUBSTITUTE(G20,",",""))+1)</x:f>
        <x:v>2</x:v>
      </x:c>
      <x:c r="I20" s="14" t="str">
        <x:f>IF(AND(F20=1,H20=1),"1:1",IF(AND(F20=1,H20&gt;1),"1:Many",IF(AND(F20&gt;1,H20=1),"Many:1","Many:Many")))</x:f>
        <x:v>Many:Many</x:v>
      </x:c>
      <x:c r="J20" s="5" t="str">
        <x:f>IF(I20="1:1","Direct 1:1 overlap at the action-item level.",IF(I20="1:Many","One HIPAA local control decomposes into multiple HITRUST e1 controls in this action item.",IF(I20="Many:1","Multiple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21" ht="36" customHeight="1">
      <x:c r="A21" s="5" t="inlineStr">
        <x:is>
          <x:t xml:space="preserve">HITRUST e1.csv</x:t>
        </x:is>
      </x:c>
      <x:c r="B21" s="5" t="inlineStr">
        <x:is>
          <x:t xml:space="preserve">ER-57</x:t>
        </x:is>
      </x:c>
      <x:c r="C21" s="5" t="inlineStr">
        <x:is>
          <x:t xml:space="preserve">Policy</x:t>
        </x:is>
      </x:c>
      <x:c r="D21" s="5" t="inlineStr">
        <x:is>
          <x:t xml:space="preserve">Information Security</x:t>
        </x:is>
      </x:c>
      <x:c r="E21" s="5" t="inlineStr">
        <x:is>
          <x:t xml:space="preserve">REQ-1-HIPAA, REQ-12-HIPAA, REQ-13-HIPAA</x:t>
        </x:is>
      </x:c>
      <x:c r="F21" s="12">
        <x:f>IF(E21="",0,LEN(E21)-LEN(SUBSTITUTE(E21,",",""))+1)</x:f>
        <x:v>3</x:v>
      </x:c>
      <x:c r="G21" s="5" t="inlineStr">
        <x:is>
          <x:t xml:space="preserve">0113.04a1Organizational.2</x:t>
        </x:is>
      </x:c>
      <x:c r="H21" s="12">
        <x:f>IF(G21="",0,LEN(G21)-LEN(SUBSTITUTE(G21,",",""))+1)</x:f>
        <x:v>1</x:v>
      </x:c>
      <x:c r="I21" s="15" t="str">
        <x:f>IF(AND(F21=1,H21=1),"1:1",IF(AND(F21=1,H21&gt;1),"1:Many",IF(AND(F21&gt;1,H21=1),"Many:1","Many:Many")))</x:f>
        <x:v>Many:1</x:v>
      </x:c>
      <x:c r="J21" s="5" t="str">
        <x:f>IF(I21="1:1","Direct 1:1 overlap at the action-item level.",IF(I21="1:Many","One HIPAA local control decomposes into multiple HITRUST e1 controls in this action item.",IF(I21="Many:1","Multiple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22" ht="36" customHeight="1">
      <x:c r="A22" s="5" t="inlineStr">
        <x:is>
          <x:t xml:space="preserve">HITRUST e1.csv</x:t>
        </x:is>
      </x:c>
      <x:c r="B22" s="5" t="inlineStr">
        <x:is>
          <x:t xml:space="preserve">ER-24</x:t>
        </x:is>
      </x:c>
      <x:c r="C22" s="5" t="inlineStr">
        <x:is>
          <x:t xml:space="preserve">Policy</x:t>
        </x:is>
      </x:c>
      <x:c r="D22" s="5" t="inlineStr">
        <x:is>
          <x:t xml:space="preserve">Password and Multi-Factor Authentication</x:t>
        </x:is>
      </x:c>
      <x:c r="E22" s="5" t="inlineStr">
        <x:is>
          <x:t xml:space="preserve">REQ-26-HIPAA</x:t>
        </x:is>
      </x:c>
      <x:c r="F22" s="12">
        <x:f>IF(E22="",0,LEN(E22)-LEN(SUBSTITUTE(E22,",",""))+1)</x:f>
        <x:v>1</x:v>
      </x:c>
      <x:c r="G22" s="5" t="inlineStr">
        <x:is>
          <x:t xml:space="preserve">10.01d1System.10, 11.01p1System.5</x:t>
        </x:is>
      </x:c>
      <x:c r="H22" s="12">
        <x:f>IF(G22="",0,LEN(G22)-LEN(SUBSTITUTE(G22,",",""))+1)</x:f>
        <x:v>2</x:v>
      </x:c>
      <x:c r="I22" s="13" t="str">
        <x:f>IF(AND(F22=1,H22=1),"1:1",IF(AND(F22=1,H22&gt;1),"1:Many",IF(AND(F22&gt;1,H22=1),"Many:1","Many:Many")))</x:f>
        <x:v>1:Many</x:v>
      </x:c>
      <x:c r="J22" s="5" t="str">
        <x:f>IF(I22="1:1","Direct 1:1 overlap at the action-item level.",IF(I22="1:Many","One HIPAA local control decomposes into multiple HITRUST e1 controls in this action item.",IF(I22="Many:1","Multiple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23" ht="36" customHeight="1">
      <x:c r="A23" s="5" t="inlineStr">
        <x:is>
          <x:t xml:space="preserve">HITRUST e1.csv</x:t>
        </x:is>
      </x:c>
      <x:c r="B23" s="5" t="inlineStr">
        <x:is>
          <x:t xml:space="preserve">ER-41</x:t>
        </x:is>
      </x:c>
      <x:c r="C23" s="5" t="inlineStr">
        <x:is>
          <x:t xml:space="preserve">Policy</x:t>
        </x:is>
      </x:c>
      <x:c r="D23" s="5" t="inlineStr">
        <x:is>
          <x:t xml:space="preserve">Risk Management</x:t>
        </x:is>
      </x:c>
      <x:c r="E23" s="5" t="inlineStr">
        <x:is>
          <x:t xml:space="preserve">REQ-17-HIPAA, REQ-20-HIPAA</x:t>
        </x:is>
      </x:c>
      <x:c r="F23" s="12">
        <x:f>IF(E23="",0,LEN(E23)-LEN(SUBSTITUTE(E23,",",""))+1)</x:f>
        <x:v>2</x:v>
      </x:c>
      <x:c r="G23" s="5" t="inlineStr">
        <x:is>
          <x:t xml:space="preserve">1704.03b1Organizational.12, 1701.03a1Organizational.12345678</x:t>
        </x:is>
      </x:c>
      <x:c r="H23" s="12">
        <x:f>IF(G23="",0,LEN(G23)-LEN(SUBSTITUTE(G23,",",""))+1)</x:f>
        <x:v>2</x:v>
      </x:c>
      <x:c r="I23" s="14" t="str">
        <x:f>IF(AND(F23=1,H23=1),"1:1",IF(AND(F23=1,H23&gt;1),"1:Many",IF(AND(F23&gt;1,H23=1),"Many:1","Many:Many")))</x:f>
        <x:v>Many:Many</x:v>
      </x:c>
      <x:c r="J23" s="5" t="str">
        <x:f>IF(I23="1:1","Direct 1:1 overlap at the action-item level.",IF(I23="1:Many","One HIPAA local control decomposes into multiple HITRUST e1 controls in this action item.",IF(I23="Many:1","Multiple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24" ht="36" customHeight="1">
      <x:c r="A24" s="5" t="inlineStr">
        <x:is>
          <x:t xml:space="preserve">HITRUST e1.csv</x:t>
        </x:is>
      </x:c>
      <x:c r="B24" s="5" t="inlineStr">
        <x:is>
          <x:t xml:space="preserve">ER-141</x:t>
        </x:is>
      </x:c>
      <x:c r="C24" s="5" t="inlineStr">
        <x:is>
          <x:t xml:space="preserve">Population</x:t>
        </x:is>
      </x:c>
      <x:c r="D24" s="5" t="inlineStr">
        <x:is>
          <x:t xml:space="preserve">All Incidents Identified During the Review Period [INSERT EXAM PERIOD]</x:t>
        </x:is>
      </x:c>
      <x:c r="E24" s="5" t="inlineStr">
        <x:is>
          <x:t xml:space="preserve">REQ-50-HIPAA, REQ-995-HIPAA</x:t>
        </x:is>
      </x:c>
      <x:c r="F24" s="12">
        <x:f>IF(E24="",0,LEN(E24)-LEN(SUBSTITUTE(E24,",",""))+1)</x:f>
        <x:v>2</x:v>
      </x:c>
      <x:c r="G24" s="5" t="inlineStr">
        <x:is>
          <x:t xml:space="preserve">1561.11c1Organizational.4</x:t>
        </x:is>
      </x:c>
      <x:c r="H24" s="12">
        <x:f>IF(G24="",0,LEN(G24)-LEN(SUBSTITUTE(G24,",",""))+1)</x:f>
        <x:v>1</x:v>
      </x:c>
      <x:c r="I24" s="15" t="str">
        <x:f>IF(AND(F24=1,H24=1),"1:1",IF(AND(F24=1,H24&gt;1),"1:Many",IF(AND(F24&gt;1,H24=1),"Many:1","Many:Many")))</x:f>
        <x:v>Many:1</x:v>
      </x:c>
      <x:c r="J24" s="5" t="str">
        <x:f>IF(I24="1:1","Direct 1:1 overlap at the action-item level.",IF(I24="1:Many","One HIPAA local control decomposes into multiple HITRUST e1 controls in this action item.",IF(I24="Many:1","Multiple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25" ht="36" customHeight="1">
      <x:c r="A25" s="5" t="inlineStr">
        <x:is>
          <x:t xml:space="preserve">HITRUST e1.csv</x:t>
        </x:is>
      </x:c>
      <x:c r="B25" s="5" t="inlineStr">
        <x:is>
          <x:t xml:space="preserve">ER-139</x:t>
        </x:is>
      </x:c>
      <x:c r="C25" s="5" t="inlineStr">
        <x:is>
          <x:t xml:space="preserve">Population</x:t>
        </x:is>
      </x:c>
      <x:c r="D25" s="5" t="inlineStr">
        <x:is>
          <x:t xml:space="preserve">All Software and Infrastructure Production Changes During the Review Period [INSERT EXAM PERIOD]</x:t>
        </x:is>
      </x:c>
      <x:c r="E25" s="5" t="inlineStr">
        <x:is>
          <x:t xml:space="preserve">REQ-55-HIPAA, REQ-995-HIPAA</x:t>
        </x:is>
      </x:c>
      <x:c r="F25" s="12">
        <x:f>IF(E25="",0,LEN(E25)-LEN(SUBSTITUTE(E25,",",""))+1)</x:f>
        <x:v>2</x:v>
      </x:c>
      <x:c r="G25" s="5" t="inlineStr">
        <x:is>
          <x:t xml:space="preserve">06.09b1System.2, 1704.03b1Organizational.12</x:t>
        </x:is>
      </x:c>
      <x:c r="H25" s="12">
        <x:f>IF(G25="",0,LEN(G25)-LEN(SUBSTITUTE(G25,",",""))+1)</x:f>
        <x:v>2</x:v>
      </x:c>
      <x:c r="I25" s="14" t="str">
        <x:f>IF(AND(F25=1,H25=1),"1:1",IF(AND(F25=1,H25&gt;1),"1:Many",IF(AND(F25&gt;1,H25=1),"Many:1","Many:Many")))</x:f>
        <x:v>Many:Many</x:v>
      </x:c>
      <x:c r="J25" s="5" t="str">
        <x:f>IF(I25="1:1","Direct 1:1 overlap at the action-item level.",IF(I25="1:Many","One HIPAA local control decomposes into multiple HITRUST e1 controls in this action item.",IF(I25="Many:1","Multiple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row>
    <x:row r="26" ht="36" customHeight="1">
      <x:c r="A26" s="5" t="inlineStr">
        <x:is>
          <x:t xml:space="preserve">HITRUST e1.csv</x:t>
        </x:is>
      </x:c>
      <x:c r="B26" s="5" t="inlineStr">
        <x:is>
          <x:t xml:space="preserve">ER-136</x:t>
        </x:is>
      </x:c>
      <x:c r="C26" s="5" t="inlineStr">
        <x:is>
          <x:t xml:space="preserve">Population</x:t>
        </x:is>
      </x:c>
      <x:c r="D26" s="5" t="inlineStr">
        <x:is>
          <x:t xml:space="preserve">All Terminated Employees During the Review Period [INSERT EXAM PERIOD]</x:t>
        </x:is>
      </x:c>
      <x:c r="E26" s="5" t="inlineStr">
        <x:is>
          <x:t xml:space="preserve">REQ-31-HIPAA, REQ-995-HIPAA</x:t>
        </x:is>
      </x:c>
      <x:c r="F26" s="12">
        <x:f>IF(E26="",0,LEN(E26)-LEN(SUBSTITUTE(E26,",",""))+1)</x:f>
        <x:v>2</x:v>
      </x:c>
      <x:c r="G26" s="5" t="inlineStr">
        <x:is>
          <x:t xml:space="preserve">11143.02i1Organizational.3</x:t>
        </x:is>
      </x:c>
      <x:c r="H26" s="12">
        <x:f>IF(G26="",0,LEN(G26)-LEN(SUBSTITUTE(G26,",",""))+1)</x:f>
        <x:v>1</x:v>
      </x:c>
      <x:c r="I26" s="15" t="str">
        <x:f>IF(AND(F26=1,H26=1),"1:1",IF(AND(F26=1,H26&gt;1),"1:Many",IF(AND(F26&gt;1,H26=1),"Many:1","Many:Many")))</x:f>
        <x:v>Many:1</x:v>
      </x:c>
      <x:c r="J26" s="5" t="str">
        <x:f>IF(I26="1:1","Direct 1:1 overlap at the action-item level.",IF(I26="1:Many","One HIPAA local control decomposes into multiple HITRUST e1 controls in this action item.",IF(I26="Many:1","Multiple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27" ht="36" customHeight="1">
      <x:c r="A27" s="5" t="inlineStr">
        <x:is>
          <x:t xml:space="preserve">HITRUST e1.csv</x:t>
        </x:is>
      </x:c>
      <x:c r="B27" s="5" t="inlineStr">
        <x:is>
          <x:t xml:space="preserve">ER-87</x:t>
        </x:is>
      </x:c>
      <x:c r="C27" s="5" t="inlineStr">
        <x:is>
          <x:t xml:space="preserve">Sample</x:t>
        </x:is>
      </x:c>
      <x:c r="D27" s="5" t="inlineStr">
        <x:is>
          <x:t xml:space="preserve">Access Review Documentation</x:t>
        </x:is>
      </x:c>
      <x:c r="E27" s="5" t="inlineStr">
        <x:is>
          <x:t xml:space="preserve">REQ-29-HIPAA</x:t>
        </x:is>
      </x:c>
      <x:c r="F27" s="12">
        <x:f>IF(E27="",0,LEN(E27)-LEN(SUBSTITUTE(E27,",",""))+1)</x:f>
        <x:v>1</x:v>
      </x:c>
      <x:c r="G27" s="5" t="inlineStr">
        <x:is>
          <x:t xml:space="preserve">11.01e1System.2</x:t>
        </x:is>
      </x:c>
      <x:c r="H27" s="12">
        <x:f>IF(G27="",0,LEN(G27)-LEN(SUBSTITUTE(G27,",",""))+1)</x:f>
        <x:v>1</x:v>
      </x:c>
      <x:c r="I27" s="16" t="str">
        <x:f>IF(AND(F27=1,H27=1),"1:1",IF(AND(F27=1,H27&gt;1),"1:Many",IF(AND(F27&gt;1,H27=1),"Many:1","Many:Many")))</x:f>
        <x:v>1:1</x:v>
      </x:c>
      <x:c r="J27" s="5" t="str">
        <x:f>IF(I27="1:1","Direct 1:1 overlap at the action-item level.",IF(I27="1:Many","One HIPAA local control decomposes into multiple HITRUST e1 controls in this action item.",IF(I27="Many:1","Multiple HIPAA local controls converge on one HITRUST e1 control in this action item.","Composite overlap: multiple HIPAA and HITRUST e1 controls are satisfied by the same action item.")))</x:f>
        <x:v>Direct 1:1 overlap at the action-item level.</x:v>
      </x:c>
    </x:row>
    <x:row r="28" ht="36" customHeight="1">
      <x:c r="A28" s="5" t="inlineStr">
        <x:is>
          <x:t xml:space="preserve">HITRUST e1.csv</x:t>
        </x:is>
      </x:c>
      <x:c r="B28" s="5" t="inlineStr">
        <x:is>
          <x:t xml:space="preserve">ER-84</x:t>
        </x:is>
      </x:c>
      <x:c r="C28" s="5" t="inlineStr">
        <x:is>
          <x:t xml:space="preserve">Sample</x:t>
        </x:is>
      </x:c>
      <x:c r="D28" s="5" t="inlineStr">
        <x:is>
          <x:t xml:space="preserve">Employee Termination Ticket</x:t>
        </x:is>
      </x:c>
      <x:c r="E28" s="5" t="inlineStr">
        <x:is>
          <x:t xml:space="preserve">REQ-31-HIPAA</x:t>
        </x:is>
      </x:c>
      <x:c r="F28" s="12">
        <x:f>IF(E28="",0,LEN(E28)-LEN(SUBSTITUTE(E28,",",""))+1)</x:f>
        <x:v>1</x:v>
      </x:c>
      <x:c r="G28" s="5" t="inlineStr">
        <x:is>
          <x:t xml:space="preserve">11143.02i1Organizational.3</x:t>
        </x:is>
      </x:c>
      <x:c r="H28" s="12">
        <x:f>IF(G28="",0,LEN(G28)-LEN(SUBSTITUTE(G28,",",""))+1)</x:f>
        <x:v>1</x:v>
      </x:c>
      <x:c r="I28" s="16" t="str">
        <x:f>IF(AND(F28=1,H28=1),"1:1",IF(AND(F28=1,H28&gt;1),"1:Many",IF(AND(F28&gt;1,H28=1),"Many:1","Many:Many")))</x:f>
        <x:v>1:1</x:v>
      </x:c>
      <x:c r="J28" s="5" t="str">
        <x:f>IF(I28="1:1","Direct 1:1 overlap at the action-item level.",IF(I28="1:Many","One HIPAA local control decomposes into multiple HITRUST e1 controls in this action item.",IF(I28="Many:1","Multiple HIPAA local controls converge on one HITRUST e1 control in this action item.","Composite overlap: multiple HIPAA and HITRUST e1 controls are satisfied by the same action item.")))</x:f>
        <x:v>Direct 1:1 overlap at the action-item level.</x:v>
      </x:c>
    </x:row>
    <x:row r="29" ht="36" customHeight="1">
      <x:c r="A29" s="5" t="inlineStr">
        <x:is>
          <x:t xml:space="preserve">HITRUST e1.csv</x:t>
        </x:is>
      </x:c>
      <x:c r="B29" s="5" t="inlineStr">
        <x:is>
          <x:t xml:space="preserve">ER-53</x:t>
        </x:is>
      </x:c>
      <x:c r="C29" s="5" t="inlineStr">
        <x:is>
          <x:t xml:space="preserve">Sample</x:t>
        </x:is>
      </x:c>
      <x:c r="D29" s="5" t="inlineStr">
        <x:is>
          <x:t xml:space="preserve">Evidence of Vulnerability Scan Results</x:t>
        </x:is>
      </x:c>
      <x:c r="E29" s="5" t="inlineStr">
        <x:is>
          <x:t xml:space="preserve">REQ-46-HIPAA, REQ-47-HIPAA</x:t>
        </x:is>
      </x:c>
      <x:c r="F29" s="12">
        <x:f>IF(E29="",0,LEN(E29)-LEN(SUBSTITUTE(E29,",",""))+1)</x:f>
        <x:v>2</x:v>
      </x:c>
      <x:c r="G29" s="5" t="inlineStr">
        <x:is>
          <x:t xml:space="preserve">07.10m1Organizational.3</x:t>
        </x:is>
      </x:c>
      <x:c r="H29" s="12">
        <x:f>IF(G29="",0,LEN(G29)-LEN(SUBSTITUTE(G29,",",""))+1)</x:f>
        <x:v>1</x:v>
      </x:c>
      <x:c r="I29" s="15" t="str">
        <x:f>IF(AND(F29=1,H29=1),"1:1",IF(AND(F29=1,H29&gt;1),"1:Many",IF(AND(F29&gt;1,H29=1),"Many:1","Many:Many")))</x:f>
        <x:v>Many:1</x:v>
      </x:c>
      <x:c r="J29" s="5" t="str">
        <x:f>IF(I29="1:1","Direct 1:1 overlap at the action-item level.",IF(I29="1:Many","One HIPAA local control decomposes into multiple HITRUST e1 controls in this action item.",IF(I29="Many:1","Multiple HIPAA local controls converge on one HITRUST e1 control in this action item.","Composite overlap: multiple HIPAA and HITRUST e1 controls are satisfied by the same action item.")))</x:f>
        <x:v>Multiple HIPAA local controls converge on one HITRUST e1 control in this action item.</x:v>
      </x:c>
    </x:row>
    <x:row r="30" ht="36" customHeight="1">
      <x:c r="A30" s="5" t="inlineStr">
        <x:is>
          <x:t xml:space="preserve">HITRUST e1.csv</x:t>
        </x:is>
      </x:c>
      <x:c r="B30" s="5" t="inlineStr">
        <x:is>
          <x:t xml:space="preserve">ER-89</x:t>
        </x:is>
      </x:c>
      <x:c r="C30" s="5" t="inlineStr">
        <x:is>
          <x:t xml:space="preserve">Sample</x:t>
        </x:is>
      </x:c>
      <x:c r="D30" s="5" t="inlineStr">
        <x:is>
          <x:t xml:space="preserve">New Hire Access Request Form</x:t>
        </x:is>
      </x:c>
      <x:c r="E30" s="5" t="inlineStr">
        <x:is>
          <x:t xml:space="preserve">REQ-30-HIPAA</x:t>
        </x:is>
      </x:c>
      <x:c r="F30" s="12">
        <x:f>IF(E30="",0,LEN(E30)-LEN(SUBSTITUTE(E30,",",""))+1)</x:f>
        <x:v>1</x:v>
      </x:c>
      <x:c r="G30" s="5" t="inlineStr">
        <x:is>
          <x:t xml:space="preserve">1143.01c1System.123</x:t>
        </x:is>
      </x:c>
      <x:c r="H30" s="12">
        <x:f>IF(G30="",0,LEN(G30)-LEN(SUBSTITUTE(G30,",",""))+1)</x:f>
        <x:v>1</x:v>
      </x:c>
      <x:c r="I30" s="16" t="str">
        <x:f>IF(AND(F30=1,H30=1),"1:1",IF(AND(F30=1,H30&gt;1),"1:Many",IF(AND(F30&gt;1,H30=1),"Many:1","Many:Many")))</x:f>
        <x:v>1:1</x:v>
      </x:c>
      <x:c r="J30" s="5" t="str">
        <x:f>IF(I30="1:1","Direct 1:1 overlap at the action-item level.",IF(I30="1:Many","One HIPAA local control decomposes into multiple HITRUST e1 controls in this action item.",IF(I30="Many:1","Multiple HIPAA local controls converge on one HITRUST e1 control in this action item.","Composite overlap: multiple HIPAA and HITRUST e1 controls are satisfied by the same action item.")))</x:f>
        <x:v>Direct 1:1 overlap at the action-item level.</x:v>
      </x:c>
    </x:row>
    <x:row r="31" ht="36" customHeight="1">
      <x:c r="A31" s="5" t="inlineStr">
        <x:is>
          <x:t xml:space="preserve">HITRUST e1.csv</x:t>
        </x:is>
      </x:c>
      <x:c r="B31" s="5" t="inlineStr">
        <x:is>
          <x:t xml:space="preserve">ER-33</x:t>
        </x:is>
      </x:c>
      <x:c r="C31" s="5" t="inlineStr">
        <x:is>
          <x:t xml:space="preserve">Sample</x:t>
        </x:is>
      </x:c>
      <x:c r="D31" s="5" t="inlineStr">
        <x:is>
          <x:t xml:space="preserve">New Hire Security Awareness Training</x:t>
        </x:is>
      </x:c>
      <x:c r="E31" s="5" t="inlineStr">
        <x:is>
          <x:t xml:space="preserve">REQ-12-HIPAA</x:t>
        </x:is>
      </x:c>
      <x:c r="F31" s="12">
        <x:f>IF(E31="",0,LEN(E31)-LEN(SUBSTITUTE(E31,",",""))+1)</x:f>
        <x:v>1</x:v>
      </x:c>
      <x:c r="G31" s="5" t="inlineStr">
        <x:is>
          <x:t xml:space="preserve">1308.09j1Organizational.5.a, 13998.02e1Organizational.2, 13.02e1Organizational.6</x:t>
        </x:is>
      </x:c>
      <x:c r="H31" s="12">
        <x:f>IF(G31="",0,LEN(G31)-LEN(SUBSTITUTE(G31,",",""))+1)</x:f>
        <x:v>3</x:v>
      </x:c>
      <x:c r="I31" s="13" t="str">
        <x:f>IF(AND(F31=1,H31=1),"1:1",IF(AND(F31=1,H31&gt;1),"1:Many",IF(AND(F31&gt;1,H31=1),"Many:1","Many:Many")))</x:f>
        <x:v>1:Many</x:v>
      </x:c>
      <x:c r="J31" s="5" t="str">
        <x:f>IF(I31="1:1","Direct 1:1 overlap at the action-item level.",IF(I31="1:Many","One HIPAA local control decomposes into multiple HITRUST e1 controls in this action item.",IF(I31="Many:1","Multiple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row>
    <x:row r="32" ht="36" customHeight="1">
      <x:c r="A32" s="5" t="inlineStr">
        <x:is>
          <x:t xml:space="preserve">HITRUST e1.csv</x:t>
        </x:is>
      </x:c>
      <x:c r="B32" s="5" t="inlineStr">
        <x:is>
          <x:t xml:space="preserve">ER-62</x:t>
        </x:is>
      </x:c>
      <x:c r="C32" s="5" t="inlineStr">
        <x:is>
          <x:t xml:space="preserve">Sample</x:t>
        </x:is>
      </x:c>
      <x:c r="D32" s="5" t="inlineStr">
        <x:is>
          <x:t xml:space="preserve">Software/Infrastructure Production Change Ticket</x:t>
        </x:is>
      </x:c>
      <x:c r="E32" s="5" t="inlineStr">
        <x:is>
          <x:t xml:space="preserve">REQ-55-HIPAA</x:t>
        </x:is>
      </x:c>
      <x:c r="F32" s="12">
        <x:f>IF(E32="",0,LEN(E32)-LEN(SUBSTITUTE(E32,",",""))+1)</x:f>
        <x:v>1</x:v>
      </x:c>
      <x:c r="G32" s="5" t="inlineStr">
        <x:is>
          <x:t xml:space="preserve">06.09b1System.2</x:t>
        </x:is>
      </x:c>
      <x:c r="H32" s="12">
        <x:f>IF(G32="",0,LEN(G32)-LEN(SUBSTITUTE(G32,",",""))+1)</x:f>
        <x:v>1</x:v>
      </x:c>
      <x:c r="I32" s="16" t="str">
        <x:f>IF(AND(F32=1,H32=1),"1:1",IF(AND(F32=1,H32&gt;1),"1:Many",IF(AND(F32&gt;1,H32=1),"Many:1","Many:Many")))</x:f>
        <x:v>1:1</x:v>
      </x:c>
      <x:c r="J32" s="5" t="str">
        <x:f>IF(I32="1:1","Direct 1:1 overlap at the action-item level.",IF(I32="1:Many","One HIPAA local control decomposes into multiple HITRUST e1 controls in this action item.",IF(I32="Many:1","Multiple HIPAA local controls converge on one HITRUST e1 control in this action item.","Composite overlap: multiple HIPAA and HITRUST e1 controls are satisfied by the same action item.")))</x:f>
        <x:v>Direct 1:1 overlap at the action-item level.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4" customWidth="1"/>
    <x:col min="3" max="3" width="16" customWidth="1"/>
    <x:col min="4" max="4" width="42" customWidth="1"/>
    <x:col min="5" max="5" width="20" customWidth="1"/>
    <x:col min="6" max="6" width="28" customWidth="1"/>
    <x:col min="7" max="7" width="18" customWidth="1"/>
    <x:col min="8" max="8" width="14" customWidth="1"/>
  </x:cols>
  <x:sheetData>
    <x:row r="1" ht="32"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x:t>
        </x:is>
      </x:c>
      <x:c r="F1" s="11" t="inlineStr">
        <x:is>
          <x:t xml:space="preserve">HITRUST e1 Control</x:t>
        </x:is>
      </x:c>
      <x:c r="G1" s="11" t="inlineStr">
        <x:is>
          <x:t xml:space="preserve">Action-Item Mapping Type</x:t>
        </x:is>
      </x:c>
      <x:c r="H1" s="11" t="inlineStr">
        <x:is>
          <x:t xml:space="preserve">Pair Reuse Count</x:t>
        </x:is>
      </x:c>
    </x:row>
    <x:row r="2">
      <x:c r="A2" s="5" t="inlineStr">
        <x:is>
          <x:t xml:space="preserve">HITRUST e1.csv</x:t>
        </x:is>
      </x:c>
      <x:c r="B2" s="5" t="inlineStr">
        <x:is>
          <x:t xml:space="preserve">ER-86</x:t>
        </x:is>
      </x:c>
      <x:c r="C2" s="5" t="inlineStr">
        <x:is>
          <x:t xml:space="preserve">Policy</x:t>
        </x:is>
      </x:c>
      <x:c r="D2" s="5" t="inlineStr">
        <x:is>
          <x:t xml:space="preserve">Access Control</x:t>
        </x:is>
      </x:c>
      <x:c r="E2" s="5" t="inlineStr">
        <x:is>
          <x:t xml:space="preserve">REQ-24-HIPAA</x:t>
        </x:is>
      </x:c>
      <x:c r="F2" s="5" t="inlineStr">
        <x:is>
          <x:t xml:space="preserve">11.01e1System.2</x:t>
        </x:is>
      </x:c>
      <x:c r="G2" s="17" t="inlineStr">
        <x:is>
          <x:t xml:space="preserve">Many:1</x:t>
        </x:is>
      </x:c>
      <x:c r="H2" s="12">
        <x:f>COUNTIFS($E:$E,E2,$F:$F,F2)</x:f>
        <x:v>1</x:v>
      </x:c>
    </x:row>
    <x:row r="3">
      <x:c r="A3" s="5" t="inlineStr">
        <x:is>
          <x:t xml:space="preserve">HITRUST e1.csv</x:t>
        </x:is>
      </x:c>
      <x:c r="B3" s="5" t="inlineStr">
        <x:is>
          <x:t xml:space="preserve">ER-86</x:t>
        </x:is>
      </x:c>
      <x:c r="C3" s="5" t="inlineStr">
        <x:is>
          <x:t xml:space="preserve">Policy</x:t>
        </x:is>
      </x:c>
      <x:c r="D3" s="5" t="inlineStr">
        <x:is>
          <x:t xml:space="preserve">Access Control</x:t>
        </x:is>
      </x:c>
      <x:c r="E3" s="5" t="inlineStr">
        <x:is>
          <x:t xml:space="preserve">REQ-29-HIPAA</x:t>
        </x:is>
      </x:c>
      <x:c r="F3" s="5" t="inlineStr">
        <x:is>
          <x:t xml:space="preserve">11.01e1System.2</x:t>
        </x:is>
      </x:c>
      <x:c r="G3" s="17" t="inlineStr">
        <x:is>
          <x:t xml:space="preserve">Many:1</x:t>
        </x:is>
      </x:c>
      <x:c r="H3" s="12">
        <x:f>COUNTIFS($E:$E,E3,$F:$F,F3)</x:f>
        <x:v>2</x:v>
      </x:c>
    </x:row>
    <x:row r="4">
      <x:c r="A4" s="5" t="inlineStr">
        <x:is>
          <x:t xml:space="preserve">HITRUST e1.csv</x:t>
        </x:is>
      </x:c>
      <x:c r="B4" s="5" t="inlineStr">
        <x:is>
          <x:t xml:space="preserve">ER-86</x:t>
        </x:is>
      </x:c>
      <x:c r="C4" s="5" t="inlineStr">
        <x:is>
          <x:t xml:space="preserve">Policy</x:t>
        </x:is>
      </x:c>
      <x:c r="D4" s="5" t="inlineStr">
        <x:is>
          <x:t xml:space="preserve">Access Control</x:t>
        </x:is>
      </x:c>
      <x:c r="E4" s="5" t="inlineStr">
        <x:is>
          <x:t xml:space="preserve">REQ-30-HIPAA</x:t>
        </x:is>
      </x:c>
      <x:c r="F4" s="5" t="inlineStr">
        <x:is>
          <x:t xml:space="preserve">11.01e1System.2</x:t>
        </x:is>
      </x:c>
      <x:c r="G4" s="17" t="inlineStr">
        <x:is>
          <x:t xml:space="preserve">Many:1</x:t>
        </x:is>
      </x:c>
      <x:c r="H4" s="12">
        <x:f>COUNTIFS($E:$E,E4,$F:$F,F4)</x:f>
        <x:v>1</x:v>
      </x:c>
    </x:row>
    <x:row r="5">
      <x:c r="A5" s="5" t="inlineStr">
        <x:is>
          <x:t xml:space="preserve">HITRUST e1.csv</x:t>
        </x:is>
      </x:c>
      <x:c r="B5" s="5" t="inlineStr">
        <x:is>
          <x:t xml:space="preserve">ER-86</x:t>
        </x:is>
      </x:c>
      <x:c r="C5" s="5" t="inlineStr">
        <x:is>
          <x:t xml:space="preserve">Policy</x:t>
        </x:is>
      </x:c>
      <x:c r="D5" s="5" t="inlineStr">
        <x:is>
          <x:t xml:space="preserve">Access Control</x:t>
        </x:is>
      </x:c>
      <x:c r="E5" s="5" t="inlineStr">
        <x:is>
          <x:t xml:space="preserve">REQ-31-HIPAA</x:t>
        </x:is>
      </x:c>
      <x:c r="F5" s="5" t="inlineStr">
        <x:is>
          <x:t xml:space="preserve">11.01e1System.2</x:t>
        </x:is>
      </x:c>
      <x:c r="G5" s="17" t="inlineStr">
        <x:is>
          <x:t xml:space="preserve">Many:1</x:t>
        </x:is>
      </x:c>
      <x:c r="H5" s="12">
        <x:f>COUNTIFS($E:$E,E5,$F:$F,F5)</x:f>
        <x:v>1</x:v>
      </x:c>
    </x:row>
    <x:row r="6">
      <x:c r="A6" s="5" t="inlineStr">
        <x:is>
          <x:t xml:space="preserve">HITRUST e1.csv</x:t>
        </x:is>
      </x:c>
      <x:c r="B6" s="5" t="inlineStr">
        <x:is>
          <x:t xml:space="preserve">ER-87</x:t>
        </x:is>
      </x:c>
      <x:c r="C6" s="5" t="inlineStr">
        <x:is>
          <x:t xml:space="preserve">Sample</x:t>
        </x:is>
      </x:c>
      <x:c r="D6" s="5" t="inlineStr">
        <x:is>
          <x:t xml:space="preserve">Access Review Documentation</x:t>
        </x:is>
      </x:c>
      <x:c r="E6" s="5" t="inlineStr">
        <x:is>
          <x:t xml:space="preserve">REQ-29-HIPAA</x:t>
        </x:is>
      </x:c>
      <x:c r="F6" s="5" t="inlineStr">
        <x:is>
          <x:t xml:space="preserve">11.01e1System.2</x:t>
        </x:is>
      </x:c>
      <x:c r="G6" s="18" t="inlineStr">
        <x:is>
          <x:t xml:space="preserve">1:1</x:t>
        </x:is>
      </x:c>
      <x:c r="H6" s="12">
        <x:f>COUNTIFS($E:$E,E6,$F:$F,F6)</x:f>
        <x:v>2</x:v>
      </x:c>
    </x:row>
    <x:row r="7">
      <x:c r="A7" s="5" t="inlineStr">
        <x:is>
          <x:t xml:space="preserve">HITRUST e1.csv</x:t>
        </x:is>
      </x:c>
      <x:c r="B7" s="5" t="inlineStr">
        <x:is>
          <x:t xml:space="preserve">ER-141</x:t>
        </x:is>
      </x:c>
      <x:c r="C7" s="5" t="inlineStr">
        <x:is>
          <x:t xml:space="preserve">Population</x:t>
        </x:is>
      </x:c>
      <x:c r="D7" s="5" t="inlineStr">
        <x:is>
          <x:t xml:space="preserve">All Incidents Identified During the Review Period [INSERT EXAM PERIOD]</x:t>
        </x:is>
      </x:c>
      <x:c r="E7" s="5" t="inlineStr">
        <x:is>
          <x:t xml:space="preserve">REQ-50-HIPAA</x:t>
        </x:is>
      </x:c>
      <x:c r="F7" s="5" t="inlineStr">
        <x:is>
          <x:t xml:space="preserve">1561.11c1Organizational.4</x:t>
        </x:is>
      </x:c>
      <x:c r="G7" s="17" t="inlineStr">
        <x:is>
          <x:t xml:space="preserve">Many:1</x:t>
        </x:is>
      </x:c>
      <x:c r="H7" s="12">
        <x:f>COUNTIFS($E:$E,E7,$F:$F,F7)</x:f>
        <x:v>1</x:v>
      </x:c>
    </x:row>
    <x:row r="8">
      <x:c r="A8" s="5" t="inlineStr">
        <x:is>
          <x:t xml:space="preserve">HITRUST e1.csv</x:t>
        </x:is>
      </x:c>
      <x:c r="B8" s="5" t="inlineStr">
        <x:is>
          <x:t xml:space="preserve">ER-141</x:t>
        </x:is>
      </x:c>
      <x:c r="C8" s="5" t="inlineStr">
        <x:is>
          <x:t xml:space="preserve">Population</x:t>
        </x:is>
      </x:c>
      <x:c r="D8" s="5" t="inlineStr">
        <x:is>
          <x:t xml:space="preserve">All Incidents Identified During the Review Period [INSERT EXAM PERIOD]</x:t>
        </x:is>
      </x:c>
      <x:c r="E8" s="5" t="inlineStr">
        <x:is>
          <x:t xml:space="preserve">REQ-995-HIPAA</x:t>
        </x:is>
      </x:c>
      <x:c r="F8" s="5" t="inlineStr">
        <x:is>
          <x:t xml:space="preserve">1561.11c1Organizational.4</x:t>
        </x:is>
      </x:c>
      <x:c r="G8" s="17" t="inlineStr">
        <x:is>
          <x:t xml:space="preserve">Many:1</x:t>
        </x:is>
      </x:c>
      <x:c r="H8" s="12">
        <x:f>COUNTIFS($E:$E,E8,$F:$F,F8)</x:f>
        <x:v>1</x:v>
      </x:c>
    </x:row>
    <x:row r="9">
      <x:c r="A9" s="5" t="inlineStr">
        <x:is>
          <x:t xml:space="preserve">HITRUST e1.csv</x:t>
        </x:is>
      </x:c>
      <x:c r="B9" s="5" t="inlineStr">
        <x:is>
          <x:t xml:space="preserve">ER-139</x:t>
        </x:is>
      </x:c>
      <x:c r="C9" s="5" t="inlineStr">
        <x:is>
          <x:t xml:space="preserve">Population</x:t>
        </x:is>
      </x:c>
      <x:c r="D9" s="5" t="inlineStr">
        <x:is>
          <x:t xml:space="preserve">All Software and Infrastructure Production Changes During the Review Period [INSERT EXAM PERIOD]</x:t>
        </x:is>
      </x:c>
      <x:c r="E9" s="5" t="inlineStr">
        <x:is>
          <x:t xml:space="preserve">REQ-55-HIPAA</x:t>
        </x:is>
      </x:c>
      <x:c r="F9" s="5" t="inlineStr">
        <x:is>
          <x:t xml:space="preserve">06.09b1System.2</x:t>
        </x:is>
      </x:c>
      <x:c r="G9" s="19" t="inlineStr">
        <x:is>
          <x:t xml:space="preserve">Many:Many</x:t>
        </x:is>
      </x:c>
      <x:c r="H9" s="12">
        <x:f>COUNTIFS($E:$E,E9,$F:$F,F9)</x:f>
        <x:v>2</x:v>
      </x:c>
    </x:row>
    <x:row r="10">
      <x:c r="A10" s="5" t="inlineStr">
        <x:is>
          <x:t xml:space="preserve">HITRUST e1.csv</x:t>
        </x:is>
      </x:c>
      <x:c r="B10" s="5" t="inlineStr">
        <x:is>
          <x:t xml:space="preserve">ER-139</x:t>
        </x:is>
      </x:c>
      <x:c r="C10" s="5" t="inlineStr">
        <x:is>
          <x:t xml:space="preserve">Population</x:t>
        </x:is>
      </x:c>
      <x:c r="D10" s="5" t="inlineStr">
        <x:is>
          <x:t xml:space="preserve">All Software and Infrastructure Production Changes During the Review Period [INSERT EXAM PERIOD]</x:t>
        </x:is>
      </x:c>
      <x:c r="E10" s="5" t="inlineStr">
        <x:is>
          <x:t xml:space="preserve">REQ-55-HIPAA</x:t>
        </x:is>
      </x:c>
      <x:c r="F10" s="5" t="inlineStr">
        <x:is>
          <x:t xml:space="preserve">1704.03b1Organizational.12</x:t>
        </x:is>
      </x:c>
      <x:c r="G10" s="19" t="inlineStr">
        <x:is>
          <x:t xml:space="preserve">Many:Many</x:t>
        </x:is>
      </x:c>
      <x:c r="H10" s="12">
        <x:f>COUNTIFS($E:$E,E10,$F:$F,F10)</x:f>
        <x:v>1</x:v>
      </x:c>
    </x:row>
    <x:row r="11">
      <x:c r="A11" s="5" t="inlineStr">
        <x:is>
          <x:t xml:space="preserve">HITRUST e1.csv</x:t>
        </x:is>
      </x:c>
      <x:c r="B11" s="5" t="inlineStr">
        <x:is>
          <x:t xml:space="preserve">ER-139</x:t>
        </x:is>
      </x:c>
      <x:c r="C11" s="5" t="inlineStr">
        <x:is>
          <x:t xml:space="preserve">Population</x:t>
        </x:is>
      </x:c>
      <x:c r="D11" s="5" t="inlineStr">
        <x:is>
          <x:t xml:space="preserve">All Software and Infrastructure Production Changes During the Review Period [INSERT EXAM PERIOD]</x:t>
        </x:is>
      </x:c>
      <x:c r="E11" s="5" t="inlineStr">
        <x:is>
          <x:t xml:space="preserve">REQ-995-HIPAA</x:t>
        </x:is>
      </x:c>
      <x:c r="F11" s="5" t="inlineStr">
        <x:is>
          <x:t xml:space="preserve">06.09b1System.2</x:t>
        </x:is>
      </x:c>
      <x:c r="G11" s="19" t="inlineStr">
        <x:is>
          <x:t xml:space="preserve">Many:Many</x:t>
        </x:is>
      </x:c>
      <x:c r="H11" s="12">
        <x:f>COUNTIFS($E:$E,E11,$F:$F,F11)</x:f>
        <x:v>1</x:v>
      </x:c>
    </x:row>
    <x:row r="12">
      <x:c r="A12" s="5" t="inlineStr">
        <x:is>
          <x:t xml:space="preserve">HITRUST e1.csv</x:t>
        </x:is>
      </x:c>
      <x:c r="B12" s="5" t="inlineStr">
        <x:is>
          <x:t xml:space="preserve">ER-139</x:t>
        </x:is>
      </x:c>
      <x:c r="C12" s="5" t="inlineStr">
        <x:is>
          <x:t xml:space="preserve">Population</x:t>
        </x:is>
      </x:c>
      <x:c r="D12" s="5" t="inlineStr">
        <x:is>
          <x:t xml:space="preserve">All Software and Infrastructure Production Changes During the Review Period [INSERT EXAM PERIOD]</x:t>
        </x:is>
      </x:c>
      <x:c r="E12" s="5" t="inlineStr">
        <x:is>
          <x:t xml:space="preserve">REQ-995-HIPAA</x:t>
        </x:is>
      </x:c>
      <x:c r="F12" s="5" t="inlineStr">
        <x:is>
          <x:t xml:space="preserve">1704.03b1Organizational.12</x:t>
        </x:is>
      </x:c>
      <x:c r="G12" s="19" t="inlineStr">
        <x:is>
          <x:t xml:space="preserve">Many:Many</x:t>
        </x:is>
      </x:c>
      <x:c r="H12" s="12">
        <x:f>COUNTIFS($E:$E,E12,$F:$F,F12)</x:f>
        <x:v>1</x:v>
      </x:c>
    </x:row>
    <x:row r="13">
      <x:c r="A13" s="5" t="inlineStr">
        <x:is>
          <x:t xml:space="preserve">HITRUST e1.csv</x:t>
        </x:is>
      </x:c>
      <x:c r="B13" s="5" t="inlineStr">
        <x:is>
          <x:t xml:space="preserve">ER-136</x:t>
        </x:is>
      </x:c>
      <x:c r="C13" s="5" t="inlineStr">
        <x:is>
          <x:t xml:space="preserve">Population</x:t>
        </x:is>
      </x:c>
      <x:c r="D13" s="5" t="inlineStr">
        <x:is>
          <x:t xml:space="preserve">All Terminated Employees During the Review Period [INSERT EXAM PERIOD]</x:t>
        </x:is>
      </x:c>
      <x:c r="E13" s="5" t="inlineStr">
        <x:is>
          <x:t xml:space="preserve">REQ-31-HIPAA</x:t>
        </x:is>
      </x:c>
      <x:c r="F13" s="5" t="inlineStr">
        <x:is>
          <x:t xml:space="preserve">11143.02i1Organizational.3</x:t>
        </x:is>
      </x:c>
      <x:c r="G13" s="17" t="inlineStr">
        <x:is>
          <x:t xml:space="preserve">Many:1</x:t>
        </x:is>
      </x:c>
      <x:c r="H13" s="12">
        <x:f>COUNTIFS($E:$E,E13,$F:$F,F13)</x:f>
        <x:v>2</x:v>
      </x:c>
    </x:row>
    <x:row r="14">
      <x:c r="A14" s="5" t="inlineStr">
        <x:is>
          <x:t xml:space="preserve">HITRUST e1.csv</x:t>
        </x:is>
      </x:c>
      <x:c r="B14" s="5" t="inlineStr">
        <x:is>
          <x:t xml:space="preserve">ER-136</x:t>
        </x:is>
      </x:c>
      <x:c r="C14" s="5" t="inlineStr">
        <x:is>
          <x:t xml:space="preserve">Population</x:t>
        </x:is>
      </x:c>
      <x:c r="D14" s="5" t="inlineStr">
        <x:is>
          <x:t xml:space="preserve">All Terminated Employees During the Review Period [INSERT EXAM PERIOD]</x:t>
        </x:is>
      </x:c>
      <x:c r="E14" s="5" t="inlineStr">
        <x:is>
          <x:t xml:space="preserve">REQ-995-HIPAA</x:t>
        </x:is>
      </x:c>
      <x:c r="F14" s="5" t="inlineStr">
        <x:is>
          <x:t xml:space="preserve">11143.02i1Organizational.3</x:t>
        </x:is>
      </x:c>
      <x:c r="G14" s="17" t="inlineStr">
        <x:is>
          <x:t xml:space="preserve">Many:1</x:t>
        </x:is>
      </x:c>
      <x:c r="H14" s="12">
        <x:f>COUNTIFS($E:$E,E14,$F:$F,F14)</x:f>
        <x:v>1</x:v>
      </x:c>
    </x:row>
    <x:row r="15">
      <x:c r="A15" s="5" t="inlineStr">
        <x:is>
          <x:t xml:space="preserve">HITRUST e1.csv</x:t>
        </x:is>
      </x:c>
      <x:c r="B15" s="5" t="inlineStr">
        <x:is>
          <x:t xml:space="preserve">ER-18</x:t>
        </x:is>
      </x:c>
      <x:c r="C15" s="5" t="inlineStr">
        <x:is>
          <x:t xml:space="preserve">Configuration</x:t>
        </x:is>
      </x:c>
      <x:c r="D15" s="5" t="inlineStr">
        <x:is>
          <x:t xml:space="preserve">Anti-malware and Alerts</x:t>
        </x:is>
      </x:c>
      <x:c r="E15" s="5" t="inlineStr">
        <x:is>
          <x:t xml:space="preserve">REQ-38-HIPAA</x:t>
        </x:is>
      </x:c>
      <x:c r="F15" s="5" t="inlineStr">
        <x:is>
          <x:t xml:space="preserve">0207.09j1Organizational.6</x:t>
        </x:is>
      </x:c>
      <x:c r="G15" s="20" t="inlineStr">
        <x:is>
          <x:t xml:space="preserve">1:Many</x:t>
        </x:is>
      </x:c>
      <x:c r="H15" s="12">
        <x:f>COUNTIFS($E:$E,E15,$F:$F,F15)</x:f>
        <x:v>1</x:v>
      </x:c>
    </x:row>
    <x:row r="16">
      <x:c r="A16" s="5" t="inlineStr">
        <x:is>
          <x:t xml:space="preserve">HITRUST e1.csv</x:t>
        </x:is>
      </x:c>
      <x:c r="B16" s="5" t="inlineStr">
        <x:is>
          <x:t xml:space="preserve">ER-18</x:t>
        </x:is>
      </x:c>
      <x:c r="C16" s="5" t="inlineStr">
        <x:is>
          <x:t xml:space="preserve">Configuration</x:t>
        </x:is>
      </x:c>
      <x:c r="D16" s="5" t="inlineStr">
        <x:is>
          <x:t xml:space="preserve">Anti-malware and Alerts</x:t>
        </x:is>
      </x:c>
      <x:c r="E16" s="5" t="inlineStr">
        <x:is>
          <x:t xml:space="preserve">REQ-38-HIPAA</x:t>
        </x:is>
      </x:c>
      <x:c r="F16" s="5" t="inlineStr">
        <x:is>
          <x:t xml:space="preserve">0226.09k1Organizational.2</x:t>
        </x:is>
      </x:c>
      <x:c r="G16" s="20" t="inlineStr">
        <x:is>
          <x:t xml:space="preserve">1:Many</x:t>
        </x:is>
      </x:c>
      <x:c r="H16" s="12">
        <x:f>COUNTIFS($E:$E,E16,$F:$F,F16)</x:f>
        <x:v>1</x:v>
      </x:c>
    </x:row>
    <x:row r="17">
      <x:c r="A17" s="5" t="inlineStr">
        <x:is>
          <x:t xml:space="preserve">HITRUST e1.csv</x:t>
        </x:is>
      </x:c>
      <x:c r="B17" s="5" t="inlineStr">
        <x:is>
          <x:t xml:space="preserve">ER-18</x:t>
        </x:is>
      </x:c>
      <x:c r="C17" s="5" t="inlineStr">
        <x:is>
          <x:t xml:space="preserve">Configuration</x:t>
        </x:is>
      </x:c>
      <x:c r="D17" s="5" t="inlineStr">
        <x:is>
          <x:t xml:space="preserve">Anti-malware and Alerts</x:t>
        </x:is>
      </x:c>
      <x:c r="E17" s="5" t="inlineStr">
        <x:is>
          <x:t xml:space="preserve">REQ-38-HIPAA</x:t>
        </x:is>
      </x:c>
      <x:c r="F17" s="5" t="inlineStr">
        <x:is>
          <x:t xml:space="preserve">02962.09j1Organizational.5</x:t>
        </x:is>
      </x:c>
      <x:c r="G17" s="20" t="inlineStr">
        <x:is>
          <x:t xml:space="preserve">1:Many</x:t>
        </x:is>
      </x:c>
      <x:c r="H17" s="12">
        <x:f>COUNTIFS($E:$E,E17,$F:$F,F17)</x:f>
        <x:v>1</x:v>
      </x:c>
    </x:row>
    <x:row r="18">
      <x:c r="A18" s="5" t="inlineStr">
        <x:is>
          <x:t xml:space="preserve">HITRUST e1.csv</x:t>
        </x:is>
      </x:c>
      <x:c r="B18" s="5" t="inlineStr">
        <x:is>
          <x:t xml:space="preserve">ER-18</x:t>
        </x:is>
      </x:c>
      <x:c r="C18" s="5" t="inlineStr">
        <x:is>
          <x:t xml:space="preserve">Configuration</x:t>
        </x:is>
      </x:c>
      <x:c r="D18" s="5" t="inlineStr">
        <x:is>
          <x:t xml:space="preserve">Anti-malware and Alerts</x:t>
        </x:is>
      </x:c>
      <x:c r="E18" s="5" t="inlineStr">
        <x:is>
          <x:t xml:space="preserve">REQ-38-HIPAA</x:t>
        </x:is>
      </x:c>
      <x:c r="F18" s="5" t="inlineStr">
        <x:is>
          <x:t xml:space="preserve">08.09m1Organizational.8</x:t>
        </x:is>
      </x:c>
      <x:c r="G18" s="20" t="inlineStr">
        <x:is>
          <x:t xml:space="preserve">1:Many</x:t>
        </x:is>
      </x:c>
      <x:c r="H18" s="12">
        <x:f>COUNTIFS($E:$E,E18,$F:$F,F18)</x:f>
        <x:v>1</x:v>
      </x:c>
    </x:row>
    <x:row r="19">
      <x:c r="A19" s="5" t="inlineStr">
        <x:is>
          <x:t xml:space="preserve">HIPAA Security.csv</x:t>
        </x:is>
      </x:c>
      <x:c r="B19" s="5" t="inlineStr">
        <x:is>
          <x:t xml:space="preserve">ER-271</x:t>
        </x:is>
      </x:c>
      <x:c r="C19" s="5" t="inlineStr">
        <x:is>
          <x:t xml:space="preserve">Operational</x:t>
        </x:is>
      </x:c>
      <x:c r="D19" s="5" t="inlineStr">
        <x:is>
          <x:t xml:space="preserve">Asset Custody Log</x:t>
        </x:is>
      </x:c>
      <x:c r="E19" s="5" t="inlineStr">
        <x:is>
          <x:t xml:space="preserve">REQ-109-HIPAA</x:t>
        </x:is>
      </x:c>
      <x:c r="F19" s="5" t="inlineStr">
        <x:is>
          <x:t xml:space="preserve">0701.07a1Organizational.8</x:t>
        </x:is>
      </x:c>
      <x:c r="G19" s="20" t="inlineStr">
        <x:is>
          <x:t xml:space="preserve">1:Many</x:t>
        </x:is>
      </x:c>
      <x:c r="H19" s="12">
        <x:f>COUNTIFS($E:$E,E19,$F:$F,F19)</x:f>
        <x:v>1</x:v>
      </x:c>
    </x:row>
    <x:row r="20">
      <x:c r="A20" s="5" t="inlineStr">
        <x:is>
          <x:t xml:space="preserve">HIPAA Security.csv</x:t>
        </x:is>
      </x:c>
      <x:c r="B20" s="5" t="inlineStr">
        <x:is>
          <x:t xml:space="preserve">ER-271</x:t>
        </x:is>
      </x:c>
      <x:c r="C20" s="5" t="inlineStr">
        <x:is>
          <x:t xml:space="preserve">Operational</x:t>
        </x:is>
      </x:c>
      <x:c r="D20" s="5" t="inlineStr">
        <x:is>
          <x:t xml:space="preserve">Asset Custody Log</x:t>
        </x:is>
      </x:c>
      <x:c r="E20" s="5" t="inlineStr">
        <x:is>
          <x:t xml:space="preserve">REQ-109-HIPAA</x:t>
        </x:is>
      </x:c>
      <x:c r="F20" s="5" t="inlineStr">
        <x:is>
          <x:t xml:space="preserve">0704.07a1Organizational.8</x:t>
        </x:is>
      </x:c>
      <x:c r="G20" s="20" t="inlineStr">
        <x:is>
          <x:t xml:space="preserve">1:Many</x:t>
        </x:is>
      </x:c>
      <x:c r="H20" s="12">
        <x:f>COUNTIFS($E:$E,E20,$F:$F,F20)</x:f>
        <x:v>1</x:v>
      </x:c>
    </x:row>
    <x:row r="21">
      <x:c r="A21" s="5" t="inlineStr">
        <x:is>
          <x:t xml:space="preserve">HITRUST e1.csv</x:t>
        </x:is>
      </x:c>
      <x:c r="B21" s="5" t="inlineStr">
        <x:is>
          <x:t xml:space="preserve">ER-115</x:t>
        </x:is>
      </x:c>
      <x:c r="C21" s="5" t="inlineStr">
        <x:is>
          <x:t xml:space="preserve">Policy</x:t>
        </x:is>
      </x:c>
      <x:c r="D21" s="5" t="inlineStr">
        <x:is>
          <x:t xml:space="preserve">Backups</x:t>
        </x:is>
      </x:c>
      <x:c r="E21" s="5" t="inlineStr">
        <x:is>
          <x:t xml:space="preserve">REQ-60-HIPAA</x:t>
        </x:is>
      </x:c>
      <x:c r="F21" s="5" t="inlineStr">
        <x:is>
          <x:t xml:space="preserve">1616.09l1Organizational.16</x:t>
        </x:is>
      </x:c>
      <x:c r="G21" s="17" t="inlineStr">
        <x:is>
          <x:t xml:space="preserve">Many:1</x:t>
        </x:is>
      </x:c>
      <x:c r="H21" s="12">
        <x:f>COUNTIFS($E:$E,E21,$F:$F,F21)</x:f>
        <x:v>1</x:v>
      </x:c>
    </x:row>
    <x:row r="22">
      <x:c r="A22" s="5" t="inlineStr">
        <x:is>
          <x:t xml:space="preserve">HITRUST e1.csv</x:t>
        </x:is>
      </x:c>
      <x:c r="B22" s="5" t="inlineStr">
        <x:is>
          <x:t xml:space="preserve">ER-115</x:t>
        </x:is>
      </x:c>
      <x:c r="C22" s="5" t="inlineStr">
        <x:is>
          <x:t xml:space="preserve">Policy</x:t>
        </x:is>
      </x:c>
      <x:c r="D22" s="5" t="inlineStr">
        <x:is>
          <x:t xml:space="preserve">Backups</x:t>
        </x:is>
      </x:c>
      <x:c r="E22" s="5" t="inlineStr">
        <x:is>
          <x:t xml:space="preserve">REQ-61-HIPAA</x:t>
        </x:is>
      </x:c>
      <x:c r="F22" s="5" t="inlineStr">
        <x:is>
          <x:t xml:space="preserve">1616.09l1Organizational.16</x:t>
        </x:is>
      </x:c>
      <x:c r="G22" s="17" t="inlineStr">
        <x:is>
          <x:t xml:space="preserve">Many:1</x:t>
        </x:is>
      </x:c>
      <x:c r="H22" s="12">
        <x:f>COUNTIFS($E:$E,E22,$F:$F,F22)</x:f>
        <x:v>2</x:v>
      </x:c>
    </x:row>
    <x:row r="23">
      <x:c r="A23" s="5" t="inlineStr">
        <x:is>
          <x:t xml:space="preserve">HITRUST e1.csv</x:t>
        </x:is>
      </x:c>
      <x:c r="B23" s="5" t="inlineStr">
        <x:is>
          <x:t xml:space="preserve">ER-114</x:t>
        </x:is>
      </x:c>
      <x:c r="C23" s="5" t="inlineStr">
        <x:is>
          <x:t xml:space="preserve">Configuration</x:t>
        </x:is>
      </x:c>
      <x:c r="D23" s="5" t="inlineStr">
        <x:is>
          <x:t xml:space="preserve">Backups and Schedules</x:t>
        </x:is>
      </x:c>
      <x:c r="E23" s="5" t="inlineStr">
        <x:is>
          <x:t xml:space="preserve">REQ-62-HIPAA</x:t>
        </x:is>
      </x:c>
      <x:c r="F23" s="5" t="inlineStr">
        <x:is>
          <x:t xml:space="preserve">16.09l1Organizational.4</x:t>
        </x:is>
      </x:c>
      <x:c r="G23" s="19" t="inlineStr">
        <x:is>
          <x:t xml:space="preserve">Many:Many</x:t>
        </x:is>
      </x:c>
      <x:c r="H23" s="12">
        <x:f>COUNTIFS($E:$E,E23,$F:$F,F23)</x:f>
        <x:v>1</x:v>
      </x:c>
    </x:row>
    <x:row r="24">
      <x:c r="A24" s="5" t="inlineStr">
        <x:is>
          <x:t xml:space="preserve">HITRUST e1.csv</x:t>
        </x:is>
      </x:c>
      <x:c r="B24" s="5" t="inlineStr">
        <x:is>
          <x:t xml:space="preserve">ER-114</x:t>
        </x:is>
      </x:c>
      <x:c r="C24" s="5" t="inlineStr">
        <x:is>
          <x:t xml:space="preserve">Configuration</x:t>
        </x:is>
      </x:c>
      <x:c r="D24" s="5" t="inlineStr">
        <x:is>
          <x:t xml:space="preserve">Backups and Schedules</x:t>
        </x:is>
      </x:c>
      <x:c r="E24" s="5" t="inlineStr">
        <x:is>
          <x:t xml:space="preserve">REQ-62-HIPAA</x:t>
        </x:is>
      </x:c>
      <x:c r="F24" s="5" t="inlineStr">
        <x:is>
          <x:t xml:space="preserve">1616.09l1Organizational.16</x:t>
        </x:is>
      </x:c>
      <x:c r="G24" s="19" t="inlineStr">
        <x:is>
          <x:t xml:space="preserve">Many:Many</x:t>
        </x:is>
      </x:c>
      <x:c r="H24" s="12">
        <x:f>COUNTIFS($E:$E,E24,$F:$F,F24)</x:f>
        <x:v>1</x:v>
      </x:c>
    </x:row>
    <x:row r="25">
      <x:c r="A25" s="5" t="inlineStr">
        <x:is>
          <x:t xml:space="preserve">HITRUST e1.csv</x:t>
        </x:is>
      </x:c>
      <x:c r="B25" s="5" t="inlineStr">
        <x:is>
          <x:t xml:space="preserve">ER-114</x:t>
        </x:is>
      </x:c>
      <x:c r="C25" s="5" t="inlineStr">
        <x:is>
          <x:t xml:space="preserve">Configuration</x:t>
        </x:is>
      </x:c>
      <x:c r="D25" s="5" t="inlineStr">
        <x:is>
          <x:t xml:space="preserve">Backups and Schedules</x:t>
        </x:is>
      </x:c>
      <x:c r="E25" s="5" t="inlineStr">
        <x:is>
          <x:t xml:space="preserve">REQ-62-HIPAA</x:t>
        </x:is>
      </x:c>
      <x:c r="F25" s="5" t="inlineStr">
        <x:is>
          <x:t xml:space="preserve">1618.09l1Organizational.45</x:t>
        </x:is>
      </x:c>
      <x:c r="G25" s="19" t="inlineStr">
        <x:is>
          <x:t xml:space="preserve">Many:Many</x:t>
        </x:is>
      </x:c>
      <x:c r="H25" s="12">
        <x:f>COUNTIFS($E:$E,E25,$F:$F,F25)</x:f>
        <x:v>1</x:v>
      </x:c>
    </x:row>
    <x:row r="26">
      <x:c r="A26" s="5" t="inlineStr">
        <x:is>
          <x:t xml:space="preserve">HITRUST e1.csv</x:t>
        </x:is>
      </x:c>
      <x:c r="B26" s="5" t="inlineStr">
        <x:is>
          <x:t xml:space="preserve">ER-114</x:t>
        </x:is>
      </x:c>
      <x:c r="C26" s="5" t="inlineStr">
        <x:is>
          <x:t xml:space="preserve">Configuration</x:t>
        </x:is>
      </x:c>
      <x:c r="D26" s="5" t="inlineStr">
        <x:is>
          <x:t xml:space="preserve">Backups and Schedules</x:t>
        </x:is>
      </x:c>
      <x:c r="E26" s="5" t="inlineStr">
        <x:is>
          <x:t xml:space="preserve">REQ-63-HIPAA</x:t>
        </x:is>
      </x:c>
      <x:c r="F26" s="5" t="inlineStr">
        <x:is>
          <x:t xml:space="preserve">16.09l1Organizational.4</x:t>
        </x:is>
      </x:c>
      <x:c r="G26" s="19" t="inlineStr">
        <x:is>
          <x:t xml:space="preserve">Many:Many</x:t>
        </x:is>
      </x:c>
      <x:c r="H26" s="12">
        <x:f>COUNTIFS($E:$E,E26,$F:$F,F26)</x:f>
        <x:v>1</x:v>
      </x:c>
    </x:row>
    <x:row r="27">
      <x:c r="A27" s="5" t="inlineStr">
        <x:is>
          <x:t xml:space="preserve">HITRUST e1.csv</x:t>
        </x:is>
      </x:c>
      <x:c r="B27" s="5" t="inlineStr">
        <x:is>
          <x:t xml:space="preserve">ER-114</x:t>
        </x:is>
      </x:c>
      <x:c r="C27" s="5" t="inlineStr">
        <x:is>
          <x:t xml:space="preserve">Configuration</x:t>
        </x:is>
      </x:c>
      <x:c r="D27" s="5" t="inlineStr">
        <x:is>
          <x:t xml:space="preserve">Backups and Schedules</x:t>
        </x:is>
      </x:c>
      <x:c r="E27" s="5" t="inlineStr">
        <x:is>
          <x:t xml:space="preserve">REQ-63-HIPAA</x:t>
        </x:is>
      </x:c>
      <x:c r="F27" s="5" t="inlineStr">
        <x:is>
          <x:t xml:space="preserve">1616.09l1Organizational.16</x:t>
        </x:is>
      </x:c>
      <x:c r="G27" s="19" t="inlineStr">
        <x:is>
          <x:t xml:space="preserve">Many:Many</x:t>
        </x:is>
      </x:c>
      <x:c r="H27" s="12">
        <x:f>COUNTIFS($E:$E,E27,$F:$F,F27)</x:f>
        <x:v>1</x:v>
      </x:c>
    </x:row>
    <x:row r="28">
      <x:c r="A28" s="5" t="inlineStr">
        <x:is>
          <x:t xml:space="preserve">HITRUST e1.csv</x:t>
        </x:is>
      </x:c>
      <x:c r="B28" s="5" t="inlineStr">
        <x:is>
          <x:t xml:space="preserve">ER-114</x:t>
        </x:is>
      </x:c>
      <x:c r="C28" s="5" t="inlineStr">
        <x:is>
          <x:t xml:space="preserve">Configuration</x:t>
        </x:is>
      </x:c>
      <x:c r="D28" s="5" t="inlineStr">
        <x:is>
          <x:t xml:space="preserve">Backups and Schedules</x:t>
        </x:is>
      </x:c>
      <x:c r="E28" s="5" t="inlineStr">
        <x:is>
          <x:t xml:space="preserve">REQ-63-HIPAA</x:t>
        </x:is>
      </x:c>
      <x:c r="F28" s="5" t="inlineStr">
        <x:is>
          <x:t xml:space="preserve">1618.09l1Organizational.45</x:t>
        </x:is>
      </x:c>
      <x:c r="G28" s="19" t="inlineStr">
        <x:is>
          <x:t xml:space="preserve">Many:Many</x:t>
        </x:is>
      </x:c>
      <x:c r="H28" s="12">
        <x:f>COUNTIFS($E:$E,E28,$F:$F,F28)</x:f>
        <x:v>1</x:v>
      </x:c>
    </x:row>
    <x:row r="29">
      <x:c r="A29" s="5" t="inlineStr">
        <x:is>
          <x:t xml:space="preserve">HITRUST e1.csv</x:t>
        </x:is>
      </x:c>
      <x:c r="B29" s="5" t="inlineStr">
        <x:is>
          <x:t xml:space="preserve">ER-61</x:t>
        </x:is>
      </x:c>
      <x:c r="C29" s="5" t="inlineStr">
        <x:is>
          <x:t xml:space="preserve">Policy</x:t>
        </x:is>
      </x:c>
      <x:c r="D29" s="5" t="inlineStr">
        <x:is>
          <x:t xml:space="preserve">Change Management</x:t>
        </x:is>
      </x:c>
      <x:c r="E29" s="5" t="inlineStr">
        <x:is>
          <x:t xml:space="preserve">REQ-53-HIPAA</x:t>
        </x:is>
      </x:c>
      <x:c r="F29" s="5" t="inlineStr">
        <x:is>
          <x:t xml:space="preserve">06.09b1System.2</x:t>
        </x:is>
      </x:c>
      <x:c r="G29" s="20" t="inlineStr">
        <x:is>
          <x:t xml:space="preserve">1:Many</x:t>
        </x:is>
      </x:c>
      <x:c r="H29" s="12">
        <x:f>COUNTIFS($E:$E,E29,$F:$F,F29)</x:f>
        <x:v>1</x:v>
      </x:c>
    </x:row>
    <x:row r="30">
      <x:c r="A30" s="5" t="inlineStr">
        <x:is>
          <x:t xml:space="preserve">HITRUST e1.csv</x:t>
        </x:is>
      </x:c>
      <x:c r="B30" s="5" t="inlineStr">
        <x:is>
          <x:t xml:space="preserve">ER-61</x:t>
        </x:is>
      </x:c>
      <x:c r="C30" s="5" t="inlineStr">
        <x:is>
          <x:t xml:space="preserve">Policy</x:t>
        </x:is>
      </x:c>
      <x:c r="D30" s="5" t="inlineStr">
        <x:is>
          <x:t xml:space="preserve">Change Management</x:t>
        </x:is>
      </x:c>
      <x:c r="E30" s="5" t="inlineStr">
        <x:is>
          <x:t xml:space="preserve">REQ-53-HIPAA</x:t>
        </x:is>
      </x:c>
      <x:c r="F30" s="5" t="inlineStr">
        <x:is>
          <x:t xml:space="preserve">1769.09i1System.12</x:t>
        </x:is>
      </x:c>
      <x:c r="G30" s="20" t="inlineStr">
        <x:is>
          <x:t xml:space="preserve">1:Many</x:t>
        </x:is>
      </x:c>
      <x:c r="H30" s="12">
        <x:f>COUNTIFS($E:$E,E30,$F:$F,F30)</x:f>
        <x:v>1</x:v>
      </x:c>
    </x:row>
    <x:row r="31">
      <x:c r="A31" s="5" t="inlineStr">
        <x:is>
          <x:t xml:space="preserve">HITRUST e1.csv</x:t>
        </x:is>
      </x:c>
      <x:c r="B31" s="5" t="inlineStr">
        <x:is>
          <x:t xml:space="preserve">ER-123</x:t>
        </x:is>
      </x:c>
      <x:c r="C31" s="5" t="inlineStr">
        <x:is>
          <x:t xml:space="preserve">Operational</x:t>
        </x:is>
      </x:c>
      <x:c r="D31" s="5" t="inlineStr">
        <x:is>
          <x:t xml:space="preserve">Completed Production Data Backup Test</x:t>
        </x:is>
      </x:c>
      <x:c r="E31" s="5" t="inlineStr">
        <x:is>
          <x:t xml:space="preserve">REQ-61-HIPAA</x:t>
        </x:is>
      </x:c>
      <x:c r="F31" s="5" t="inlineStr">
        <x:is>
          <x:t xml:space="preserve">1616.09l1Organizational.16</x:t>
        </x:is>
      </x:c>
      <x:c r="G31" s="18" t="inlineStr">
        <x:is>
          <x:t xml:space="preserve">1:1</x:t>
        </x:is>
      </x:c>
      <x:c r="H31" s="12">
        <x:f>COUNTIFS($E:$E,E31,$F:$F,F31)</x:f>
        <x:v>2</x:v>
      </x:c>
    </x:row>
    <x:row r="32">
      <x:c r="A32" s="5" t="inlineStr">
        <x:is>
          <x:t xml:space="preserve">HITRUST e1.csv</x:t>
        </x:is>
      </x:c>
      <x:c r="B32" s="5" t="inlineStr">
        <x:is>
          <x:t xml:space="preserve">ER-108</x:t>
        </x:is>
      </x:c>
      <x:c r="C32" s="5" t="inlineStr">
        <x:is>
          <x:t xml:space="preserve">Policy</x:t>
        </x:is>
      </x:c>
      <x:c r="D32" s="5" t="inlineStr">
        <x:is>
          <x:t xml:space="preserve">Data Classification, Retention and Disposal</x:t>
        </x:is>
      </x:c>
      <x:c r="E32" s="5" t="inlineStr">
        <x:is>
          <x:t xml:space="preserve">REQ-32-HIPAA</x:t>
        </x:is>
      </x:c>
      <x:c r="F32" s="5" t="inlineStr">
        <x:is>
          <x:t xml:space="preserve">0305.09q1Organizational.12</x:t>
        </x:is>
      </x:c>
      <x:c r="G32" s="19" t="inlineStr">
        <x:is>
          <x:t xml:space="preserve">Many:Many</x:t>
        </x:is>
      </x:c>
      <x:c r="H32" s="12">
        <x:f>COUNTIFS($E:$E,E32,$F:$F,F32)</x:f>
        <x:v>1</x:v>
      </x:c>
    </x:row>
    <x:row r="33">
      <x:c r="A33" s="5" t="inlineStr">
        <x:is>
          <x:t xml:space="preserve">HITRUST e1.csv</x:t>
        </x:is>
      </x:c>
      <x:c r="B33" s="5" t="inlineStr">
        <x:is>
          <x:t xml:space="preserve">ER-108</x:t>
        </x:is>
      </x:c>
      <x:c r="C33" s="5" t="inlineStr">
        <x:is>
          <x:t xml:space="preserve">Policy</x:t>
        </x:is>
      </x:c>
      <x:c r="D33" s="5" t="inlineStr">
        <x:is>
          <x:t xml:space="preserve">Data Classification, Retention and Disposal</x:t>
        </x:is>
      </x:c>
      <x:c r="E33" s="5" t="inlineStr">
        <x:is>
          <x:t xml:space="preserve">REQ-32-HIPAA</x:t>
        </x:is>
      </x:c>
      <x:c r="F33" s="5" t="inlineStr">
        <x:is>
          <x:t xml:space="preserve">1239.09aa1System.4</x:t>
        </x:is>
      </x:c>
      <x:c r="G33" s="19" t="inlineStr">
        <x:is>
          <x:t xml:space="preserve">Many:Many</x:t>
        </x:is>
      </x:c>
      <x:c r="H33" s="12">
        <x:f>COUNTIFS($E:$E,E33,$F:$F,F33)</x:f>
        <x:v>1</x:v>
      </x:c>
    </x:row>
    <x:row r="34">
      <x:c r="A34" s="5" t="inlineStr">
        <x:is>
          <x:t xml:space="preserve">HITRUST e1.csv</x:t>
        </x:is>
      </x:c>
      <x:c r="B34" s="5" t="inlineStr">
        <x:is>
          <x:t xml:space="preserve">ER-108</x:t>
        </x:is>
      </x:c>
      <x:c r="C34" s="5" t="inlineStr">
        <x:is>
          <x:t xml:space="preserve">Policy</x:t>
        </x:is>
      </x:c>
      <x:c r="D34" s="5" t="inlineStr">
        <x:is>
          <x:t xml:space="preserve">Data Classification, Retention and Disposal</x:t>
        </x:is>
      </x:c>
      <x:c r="E34" s="5" t="inlineStr">
        <x:is>
          <x:t xml:space="preserve">REQ-32-HIPAA</x:t>
        </x:is>
      </x:c>
      <x:c r="F34" s="5" t="inlineStr">
        <x:is>
          <x:t xml:space="preserve">1616.09l1Organizational.16</x:t>
        </x:is>
      </x:c>
      <x:c r="G34" s="19" t="inlineStr">
        <x:is>
          <x:t xml:space="preserve">Many:Many</x:t>
        </x:is>
      </x:c>
      <x:c r="H34" s="12">
        <x:f>COUNTIFS($E:$E,E34,$F:$F,F34)</x:f>
        <x:v>1</x:v>
      </x:c>
    </x:row>
    <x:row r="35">
      <x:c r="A35" s="5" t="inlineStr">
        <x:is>
          <x:t xml:space="preserve">HITRUST e1.csv</x:t>
        </x:is>
      </x:c>
      <x:c r="B35" s="5" t="inlineStr">
        <x:is>
          <x:t xml:space="preserve">ER-108</x:t>
        </x:is>
      </x:c>
      <x:c r="C35" s="5" t="inlineStr">
        <x:is>
          <x:t xml:space="preserve">Policy</x:t>
        </x:is>
      </x:c>
      <x:c r="D35" s="5" t="inlineStr">
        <x:is>
          <x:t xml:space="preserve">Data Classification, Retention and Disposal</x:t>
        </x:is>
      </x:c>
      <x:c r="E35" s="5" t="inlineStr">
        <x:is>
          <x:t xml:space="preserve">REQ-32-HIPAA</x:t>
        </x:is>
      </x:c>
      <x:c r="F35" s="5" t="inlineStr">
        <x:is>
          <x:t xml:space="preserve">1767.07d1Organizational.2</x:t>
        </x:is>
      </x:c>
      <x:c r="G35" s="19" t="inlineStr">
        <x:is>
          <x:t xml:space="preserve">Many:Many</x:t>
        </x:is>
      </x:c>
      <x:c r="H35" s="12">
        <x:f>COUNTIFS($E:$E,E35,$F:$F,F35)</x:f>
        <x:v>1</x:v>
      </x:c>
    </x:row>
    <x:row r="36">
      <x:c r="A36" s="5" t="inlineStr">
        <x:is>
          <x:t xml:space="preserve">HITRUST e1.csv</x:t>
        </x:is>
      </x:c>
      <x:c r="B36" s="5" t="inlineStr">
        <x:is>
          <x:t xml:space="preserve">ER-108</x:t>
        </x:is>
      </x:c>
      <x:c r="C36" s="5" t="inlineStr">
        <x:is>
          <x:t xml:space="preserve">Policy</x:t>
        </x:is>
      </x:c>
      <x:c r="D36" s="5" t="inlineStr">
        <x:is>
          <x:t xml:space="preserve">Data Classification, Retention and Disposal</x:t>
        </x:is>
      </x:c>
      <x:c r="E36" s="5" t="inlineStr">
        <x:is>
          <x:t xml:space="preserve">REQ-32-HIPAA</x:t>
        </x:is>
      </x:c>
      <x:c r="F36" s="5" t="inlineStr">
        <x:is>
          <x:t xml:space="preserve">19142.06c1Organizational.8</x:t>
        </x:is>
      </x:c>
      <x:c r="G36" s="19" t="inlineStr">
        <x:is>
          <x:t xml:space="preserve">Many:Many</x:t>
        </x:is>
      </x:c>
      <x:c r="H36" s="12">
        <x:f>COUNTIFS($E:$E,E36,$F:$F,F36)</x:f>
        <x:v>1</x:v>
      </x:c>
    </x:row>
    <x:row r="37">
      <x:c r="A37" s="5" t="inlineStr">
        <x:is>
          <x:t xml:space="preserve">HITRUST e1.csv</x:t>
        </x:is>
      </x:c>
      <x:c r="B37" s="5" t="inlineStr">
        <x:is>
          <x:t xml:space="preserve">ER-108</x:t>
        </x:is>
      </x:c>
      <x:c r="C37" s="5" t="inlineStr">
        <x:is>
          <x:t xml:space="preserve">Policy</x:t>
        </x:is>
      </x:c>
      <x:c r="D37" s="5" t="inlineStr">
        <x:is>
          <x:t xml:space="preserve">Data Classification, Retention and Disposal</x:t>
        </x:is>
      </x:c>
      <x:c r="E37" s="5" t="inlineStr">
        <x:is>
          <x:t xml:space="preserve">REQ-66-HIPAA</x:t>
        </x:is>
      </x:c>
      <x:c r="F37" s="5" t="inlineStr">
        <x:is>
          <x:t xml:space="preserve">0305.09q1Organizational.12</x:t>
        </x:is>
      </x:c>
      <x:c r="G37" s="19" t="inlineStr">
        <x:is>
          <x:t xml:space="preserve">Many:Many</x:t>
        </x:is>
      </x:c>
      <x:c r="H37" s="12">
        <x:f>COUNTIFS($E:$E,E37,$F:$F,F37)</x:f>
        <x:v>1</x:v>
      </x:c>
    </x:row>
    <x:row r="38">
      <x:c r="A38" s="5" t="inlineStr">
        <x:is>
          <x:t xml:space="preserve">HITRUST e1.csv</x:t>
        </x:is>
      </x:c>
      <x:c r="B38" s="5" t="inlineStr">
        <x:is>
          <x:t xml:space="preserve">ER-108</x:t>
        </x:is>
      </x:c>
      <x:c r="C38" s="5" t="inlineStr">
        <x:is>
          <x:t xml:space="preserve">Policy</x:t>
        </x:is>
      </x:c>
      <x:c r="D38" s="5" t="inlineStr">
        <x:is>
          <x:t xml:space="preserve">Data Classification, Retention and Disposal</x:t>
        </x:is>
      </x:c>
      <x:c r="E38" s="5" t="inlineStr">
        <x:is>
          <x:t xml:space="preserve">REQ-66-HIPAA</x:t>
        </x:is>
      </x:c>
      <x:c r="F38" s="5" t="inlineStr">
        <x:is>
          <x:t xml:space="preserve">1239.09aa1System.4</x:t>
        </x:is>
      </x:c>
      <x:c r="G38" s="19" t="inlineStr">
        <x:is>
          <x:t xml:space="preserve">Many:Many</x:t>
        </x:is>
      </x:c>
      <x:c r="H38" s="12">
        <x:f>COUNTIFS($E:$E,E38,$F:$F,F38)</x:f>
        <x:v>1</x:v>
      </x:c>
    </x:row>
    <x:row r="39">
      <x:c r="A39" s="5" t="inlineStr">
        <x:is>
          <x:t xml:space="preserve">HITRUST e1.csv</x:t>
        </x:is>
      </x:c>
      <x:c r="B39" s="5" t="inlineStr">
        <x:is>
          <x:t xml:space="preserve">ER-108</x:t>
        </x:is>
      </x:c>
      <x:c r="C39" s="5" t="inlineStr">
        <x:is>
          <x:t xml:space="preserve">Policy</x:t>
        </x:is>
      </x:c>
      <x:c r="D39" s="5" t="inlineStr">
        <x:is>
          <x:t xml:space="preserve">Data Classification, Retention and Disposal</x:t>
        </x:is>
      </x:c>
      <x:c r="E39" s="5" t="inlineStr">
        <x:is>
          <x:t xml:space="preserve">REQ-66-HIPAA</x:t>
        </x:is>
      </x:c>
      <x:c r="F39" s="5" t="inlineStr">
        <x:is>
          <x:t xml:space="preserve">1616.09l1Organizational.16</x:t>
        </x:is>
      </x:c>
      <x:c r="G39" s="19" t="inlineStr">
        <x:is>
          <x:t xml:space="preserve">Many:Many</x:t>
        </x:is>
      </x:c>
      <x:c r="H39" s="12">
        <x:f>COUNTIFS($E:$E,E39,$F:$F,F39)</x:f>
        <x:v>1</x:v>
      </x:c>
    </x:row>
    <x:row r="40">
      <x:c r="A40" s="5" t="inlineStr">
        <x:is>
          <x:t xml:space="preserve">HITRUST e1.csv</x:t>
        </x:is>
      </x:c>
      <x:c r="B40" s="5" t="inlineStr">
        <x:is>
          <x:t xml:space="preserve">ER-108</x:t>
        </x:is>
      </x:c>
      <x:c r="C40" s="5" t="inlineStr">
        <x:is>
          <x:t xml:space="preserve">Policy</x:t>
        </x:is>
      </x:c>
      <x:c r="D40" s="5" t="inlineStr">
        <x:is>
          <x:t xml:space="preserve">Data Classification, Retention and Disposal</x:t>
        </x:is>
      </x:c>
      <x:c r="E40" s="5" t="inlineStr">
        <x:is>
          <x:t xml:space="preserve">REQ-66-HIPAA</x:t>
        </x:is>
      </x:c>
      <x:c r="F40" s="5" t="inlineStr">
        <x:is>
          <x:t xml:space="preserve">1767.07d1Organizational.2</x:t>
        </x:is>
      </x:c>
      <x:c r="G40" s="19" t="inlineStr">
        <x:is>
          <x:t xml:space="preserve">Many:Many</x:t>
        </x:is>
      </x:c>
      <x:c r="H40" s="12">
        <x:f>COUNTIFS($E:$E,E40,$F:$F,F40)</x:f>
        <x:v>1</x:v>
      </x:c>
    </x:row>
    <x:row r="41">
      <x:c r="A41" s="5" t="inlineStr">
        <x:is>
          <x:t xml:space="preserve">HITRUST e1.csv</x:t>
        </x:is>
      </x:c>
      <x:c r="B41" s="5" t="inlineStr">
        <x:is>
          <x:t xml:space="preserve">ER-108</x:t>
        </x:is>
      </x:c>
      <x:c r="C41" s="5" t="inlineStr">
        <x:is>
          <x:t xml:space="preserve">Policy</x:t>
        </x:is>
      </x:c>
      <x:c r="D41" s="5" t="inlineStr">
        <x:is>
          <x:t xml:space="preserve">Data Classification, Retention and Disposal</x:t>
        </x:is>
      </x:c>
      <x:c r="E41" s="5" t="inlineStr">
        <x:is>
          <x:t xml:space="preserve">REQ-66-HIPAA</x:t>
        </x:is>
      </x:c>
      <x:c r="F41" s="5" t="inlineStr">
        <x:is>
          <x:t xml:space="preserve">19142.06c1Organizational.8</x:t>
        </x:is>
      </x:c>
      <x:c r="G41" s="19" t="inlineStr">
        <x:is>
          <x:t xml:space="preserve">Many:Many</x:t>
        </x:is>
      </x:c>
      <x:c r="H41" s="12">
        <x:f>COUNTIFS($E:$E,E41,$F:$F,F41)</x:f>
        <x:v>1</x:v>
      </x:c>
    </x:row>
    <x:row r="42">
      <x:c r="A42" s="5" t="inlineStr">
        <x:is>
          <x:t xml:space="preserve">HITRUST e1.csv</x:t>
        </x:is>
      </x:c>
      <x:c r="B42" s="5" t="inlineStr">
        <x:is>
          <x:t xml:space="preserve">ER-108</x:t>
        </x:is>
      </x:c>
      <x:c r="C42" s="5" t="inlineStr">
        <x:is>
          <x:t xml:space="preserve">Policy</x:t>
        </x:is>
      </x:c>
      <x:c r="D42" s="5" t="inlineStr">
        <x:is>
          <x:t xml:space="preserve">Data Classification, Retention and Disposal</x:t>
        </x:is>
      </x:c>
      <x:c r="E42" s="5" t="inlineStr">
        <x:is>
          <x:t xml:space="preserve">REQ-67-HIPAA</x:t>
        </x:is>
      </x:c>
      <x:c r="F42" s="5" t="inlineStr">
        <x:is>
          <x:t xml:space="preserve">0305.09q1Organizational.12</x:t>
        </x:is>
      </x:c>
      <x:c r="G42" s="19" t="inlineStr">
        <x:is>
          <x:t xml:space="preserve">Many:Many</x:t>
        </x:is>
      </x:c>
      <x:c r="H42" s="12">
        <x:f>COUNTIFS($E:$E,E42,$F:$F,F42)</x:f>
        <x:v>1</x:v>
      </x:c>
    </x:row>
    <x:row r="43">
      <x:c r="A43" s="5" t="inlineStr">
        <x:is>
          <x:t xml:space="preserve">HITRUST e1.csv</x:t>
        </x:is>
      </x:c>
      <x:c r="B43" s="5" t="inlineStr">
        <x:is>
          <x:t xml:space="preserve">ER-108</x:t>
        </x:is>
      </x:c>
      <x:c r="C43" s="5" t="inlineStr">
        <x:is>
          <x:t xml:space="preserve">Policy</x:t>
        </x:is>
      </x:c>
      <x:c r="D43" s="5" t="inlineStr">
        <x:is>
          <x:t xml:space="preserve">Data Classification, Retention and Disposal</x:t>
        </x:is>
      </x:c>
      <x:c r="E43" s="5" t="inlineStr">
        <x:is>
          <x:t xml:space="preserve">REQ-67-HIPAA</x:t>
        </x:is>
      </x:c>
      <x:c r="F43" s="5" t="inlineStr">
        <x:is>
          <x:t xml:space="preserve">1239.09aa1System.4</x:t>
        </x:is>
      </x:c>
      <x:c r="G43" s="19" t="inlineStr">
        <x:is>
          <x:t xml:space="preserve">Many:Many</x:t>
        </x:is>
      </x:c>
      <x:c r="H43" s="12">
        <x:f>COUNTIFS($E:$E,E43,$F:$F,F43)</x:f>
        <x:v>1</x:v>
      </x:c>
    </x:row>
    <x:row r="44">
      <x:c r="A44" s="5" t="inlineStr">
        <x:is>
          <x:t xml:space="preserve">HITRUST e1.csv</x:t>
        </x:is>
      </x:c>
      <x:c r="B44" s="5" t="inlineStr">
        <x:is>
          <x:t xml:space="preserve">ER-108</x:t>
        </x:is>
      </x:c>
      <x:c r="C44" s="5" t="inlineStr">
        <x:is>
          <x:t xml:space="preserve">Policy</x:t>
        </x:is>
      </x:c>
      <x:c r="D44" s="5" t="inlineStr">
        <x:is>
          <x:t xml:space="preserve">Data Classification, Retention and Disposal</x:t>
        </x:is>
      </x:c>
      <x:c r="E44" s="5" t="inlineStr">
        <x:is>
          <x:t xml:space="preserve">REQ-67-HIPAA</x:t>
        </x:is>
      </x:c>
      <x:c r="F44" s="5" t="inlineStr">
        <x:is>
          <x:t xml:space="preserve">1616.09l1Organizational.16</x:t>
        </x:is>
      </x:c>
      <x:c r="G44" s="19" t="inlineStr">
        <x:is>
          <x:t xml:space="preserve">Many:Many</x:t>
        </x:is>
      </x:c>
      <x:c r="H44" s="12">
        <x:f>COUNTIFS($E:$E,E44,$F:$F,F44)</x:f>
        <x:v>1</x:v>
      </x:c>
    </x:row>
    <x:row r="45">
      <x:c r="A45" s="5" t="inlineStr">
        <x:is>
          <x:t xml:space="preserve">HITRUST e1.csv</x:t>
        </x:is>
      </x:c>
      <x:c r="B45" s="5" t="inlineStr">
        <x:is>
          <x:t xml:space="preserve">ER-108</x:t>
        </x:is>
      </x:c>
      <x:c r="C45" s="5" t="inlineStr">
        <x:is>
          <x:t xml:space="preserve">Policy</x:t>
        </x:is>
      </x:c>
      <x:c r="D45" s="5" t="inlineStr">
        <x:is>
          <x:t xml:space="preserve">Data Classification, Retention and Disposal</x:t>
        </x:is>
      </x:c>
      <x:c r="E45" s="5" t="inlineStr">
        <x:is>
          <x:t xml:space="preserve">REQ-67-HIPAA</x:t>
        </x:is>
      </x:c>
      <x:c r="F45" s="5" t="inlineStr">
        <x:is>
          <x:t xml:space="preserve">1767.07d1Organizational.2</x:t>
        </x:is>
      </x:c>
      <x:c r="G45" s="19" t="inlineStr">
        <x:is>
          <x:t xml:space="preserve">Many:Many</x:t>
        </x:is>
      </x:c>
      <x:c r="H45" s="12">
        <x:f>COUNTIFS($E:$E,E45,$F:$F,F45)</x:f>
        <x:v>1</x:v>
      </x:c>
    </x:row>
    <x:row r="46">
      <x:c r="A46" s="5" t="inlineStr">
        <x:is>
          <x:t xml:space="preserve">HITRUST e1.csv</x:t>
        </x:is>
      </x:c>
      <x:c r="B46" s="5" t="inlineStr">
        <x:is>
          <x:t xml:space="preserve">ER-108</x:t>
        </x:is>
      </x:c>
      <x:c r="C46" s="5" t="inlineStr">
        <x:is>
          <x:t xml:space="preserve">Policy</x:t>
        </x:is>
      </x:c>
      <x:c r="D46" s="5" t="inlineStr">
        <x:is>
          <x:t xml:space="preserve">Data Classification, Retention and Disposal</x:t>
        </x:is>
      </x:c>
      <x:c r="E46" s="5" t="inlineStr">
        <x:is>
          <x:t xml:space="preserve">REQ-67-HIPAA</x:t>
        </x:is>
      </x:c>
      <x:c r="F46" s="5" t="inlineStr">
        <x:is>
          <x:t xml:space="preserve">19142.06c1Organizational.8</x:t>
        </x:is>
      </x:c>
      <x:c r="G46" s="19" t="inlineStr">
        <x:is>
          <x:t xml:space="preserve">Many:Many</x:t>
        </x:is>
      </x:c>
      <x:c r="H46" s="12">
        <x:f>COUNTIFS($E:$E,E46,$F:$F,F46)</x:f>
        <x:v>1</x:v>
      </x:c>
    </x:row>
    <x:row r="47">
      <x:c r="A47" s="5" t="inlineStr">
        <x:is>
          <x:t xml:space="preserve">HITRUST e1.csv</x:t>
        </x:is>
      </x:c>
      <x:c r="B47" s="5" t="inlineStr">
        <x:is>
          <x:t xml:space="preserve">ER-1</x:t>
        </x:is>
      </x:c>
      <x:c r="C47" s="5" t="inlineStr">
        <x:is>
          <x:t xml:space="preserve">Configuration</x:t>
        </x:is>
      </x:c>
      <x:c r="D47" s="5" t="inlineStr">
        <x:is>
          <x:t xml:space="preserve">Data Encryption at Rest</x:t>
        </x:is>
      </x:c>
      <x:c r="E47" s="5" t="inlineStr">
        <x:is>
          <x:t xml:space="preserve">REQ-33-HIPAA</x:t>
        </x:is>
      </x:c>
      <x:c r="F47" s="5" t="inlineStr">
        <x:is>
          <x:t xml:space="preserve">04.01x1Organizational.5</x:t>
        </x:is>
      </x:c>
      <x:c r="G47" s="19" t="inlineStr">
        <x:is>
          <x:t xml:space="preserve">Many:Many</x:t>
        </x:is>
      </x:c>
      <x:c r="H47" s="12">
        <x:f>COUNTIFS($E:$E,E47,$F:$F,F47)</x:f>
        <x:v>2</x:v>
      </x:c>
    </x:row>
    <x:row r="48">
      <x:c r="A48" s="5" t="inlineStr">
        <x:is>
          <x:t xml:space="preserve">HITRUST e1.csv</x:t>
        </x:is>
      </x:c>
      <x:c r="B48" s="5" t="inlineStr">
        <x:is>
          <x:t xml:space="preserve">ER-1</x:t>
        </x:is>
      </x:c>
      <x:c r="C48" s="5" t="inlineStr">
        <x:is>
          <x:t xml:space="preserve">Configuration</x:t>
        </x:is>
      </x:c>
      <x:c r="D48" s="5" t="inlineStr">
        <x:is>
          <x:t xml:space="preserve">Data Encryption at Rest</x:t>
        </x:is>
      </x:c>
      <x:c r="E48" s="5" t="inlineStr">
        <x:is>
          <x:t xml:space="preserve">REQ-33-HIPAA</x:t>
        </x:is>
      </x:c>
      <x:c r="F48" s="5" t="inlineStr">
        <x:is>
          <x:t xml:space="preserve">1903.06d1Organizational.3456711</x:t>
        </x:is>
      </x:c>
      <x:c r="G48" s="19" t="inlineStr">
        <x:is>
          <x:t xml:space="preserve">Many:Many</x:t>
        </x:is>
      </x:c>
      <x:c r="H48" s="12">
        <x:f>COUNTIFS($E:$E,E48,$F:$F,F48)</x:f>
        <x:v>1</x:v>
      </x:c>
    </x:row>
    <x:row r="49">
      <x:c r="A49" s="5" t="inlineStr">
        <x:is>
          <x:t xml:space="preserve">HITRUST e1.csv</x:t>
        </x:is>
      </x:c>
      <x:c r="B49" s="5" t="inlineStr">
        <x:is>
          <x:t xml:space="preserve">ER-1</x:t>
        </x:is>
      </x:c>
      <x:c r="C49" s="5" t="inlineStr">
        <x:is>
          <x:t xml:space="preserve">Configuration</x:t>
        </x:is>
      </x:c>
      <x:c r="D49" s="5" t="inlineStr">
        <x:is>
          <x:t xml:space="preserve">Data Encryption at Rest</x:t>
        </x:is>
      </x:c>
      <x:c r="E49" s="5" t="inlineStr">
        <x:is>
          <x:t xml:space="preserve">REQ-34-HIPAA</x:t>
        </x:is>
      </x:c>
      <x:c r="F49" s="5" t="inlineStr">
        <x:is>
          <x:t xml:space="preserve">04.01x1Organizational.5</x:t>
        </x:is>
      </x:c>
      <x:c r="G49" s="19" t="inlineStr">
        <x:is>
          <x:t xml:space="preserve">Many:Many</x:t>
        </x:is>
      </x:c>
      <x:c r="H49" s="12">
        <x:f>COUNTIFS($E:$E,E49,$F:$F,F49)</x:f>
        <x:v>1</x:v>
      </x:c>
    </x:row>
    <x:row r="50">
      <x:c r="A50" s="5" t="inlineStr">
        <x:is>
          <x:t xml:space="preserve">HITRUST e1.csv</x:t>
        </x:is>
      </x:c>
      <x:c r="B50" s="5" t="inlineStr">
        <x:is>
          <x:t xml:space="preserve">ER-1</x:t>
        </x:is>
      </x:c>
      <x:c r="C50" s="5" t="inlineStr">
        <x:is>
          <x:t xml:space="preserve">Configuration</x:t>
        </x:is>
      </x:c>
      <x:c r="D50" s="5" t="inlineStr">
        <x:is>
          <x:t xml:space="preserve">Data Encryption at Rest</x:t>
        </x:is>
      </x:c>
      <x:c r="E50" s="5" t="inlineStr">
        <x:is>
          <x:t xml:space="preserve">REQ-34-HIPAA</x:t>
        </x:is>
      </x:c>
      <x:c r="F50" s="5" t="inlineStr">
        <x:is>
          <x:t xml:space="preserve">1903.06d1Organizational.3456711</x:t>
        </x:is>
      </x:c>
      <x:c r="G50" s="19" t="inlineStr">
        <x:is>
          <x:t xml:space="preserve">Many:Many</x:t>
        </x:is>
      </x:c>
      <x:c r="H50" s="12">
        <x:f>COUNTIFS($E:$E,E50,$F:$F,F50)</x:f>
        <x:v>1</x:v>
      </x:c>
    </x:row>
    <x:row r="51">
      <x:c r="A51" s="5" t="inlineStr">
        <x:is>
          <x:t xml:space="preserve">HITRUST e1.csv</x:t>
        </x:is>
      </x:c>
      <x:c r="B51" s="5" t="inlineStr">
        <x:is>
          <x:t xml:space="preserve">ER-1</x:t>
        </x:is>
      </x:c>
      <x:c r="C51" s="5" t="inlineStr">
        <x:is>
          <x:t xml:space="preserve">Configuration</x:t>
        </x:is>
      </x:c>
      <x:c r="D51" s="5" t="inlineStr">
        <x:is>
          <x:t xml:space="preserve">Data Encryption at Rest</x:t>
        </x:is>
      </x:c>
      <x:c r="E51" s="5" t="inlineStr">
        <x:is>
          <x:t xml:space="preserve">REQ-35-HIPAA</x:t>
        </x:is>
      </x:c>
      <x:c r="F51" s="5" t="inlineStr">
        <x:is>
          <x:t xml:space="preserve">04.01x1Organizational.5</x:t>
        </x:is>
      </x:c>
      <x:c r="G51" s="19" t="inlineStr">
        <x:is>
          <x:t xml:space="preserve">Many:Many</x:t>
        </x:is>
      </x:c>
      <x:c r="H51" s="12">
        <x:f>COUNTIFS($E:$E,E51,$F:$F,F51)</x:f>
        <x:v>2</x:v>
      </x:c>
    </x:row>
    <x:row r="52">
      <x:c r="A52" s="5" t="inlineStr">
        <x:is>
          <x:t xml:space="preserve">HITRUST e1.csv</x:t>
        </x:is>
      </x:c>
      <x:c r="B52" s="5" t="inlineStr">
        <x:is>
          <x:t xml:space="preserve">ER-1</x:t>
        </x:is>
      </x:c>
      <x:c r="C52" s="5" t="inlineStr">
        <x:is>
          <x:t xml:space="preserve">Configuration</x:t>
        </x:is>
      </x:c>
      <x:c r="D52" s="5" t="inlineStr">
        <x:is>
          <x:t xml:space="preserve">Data Encryption at Rest</x:t>
        </x:is>
      </x:c>
      <x:c r="E52" s="5" t="inlineStr">
        <x:is>
          <x:t xml:space="preserve">REQ-35-HIPAA</x:t>
        </x:is>
      </x:c>
      <x:c r="F52" s="5" t="inlineStr">
        <x:is>
          <x:t xml:space="preserve">1903.06d1Organizational.3456711</x:t>
        </x:is>
      </x:c>
      <x:c r="G52" s="19" t="inlineStr">
        <x:is>
          <x:t xml:space="preserve">Many:Many</x:t>
        </x:is>
      </x:c>
      <x:c r="H52" s="12">
        <x:f>COUNTIFS($E:$E,E52,$F:$F,F52)</x:f>
        <x:v>1</x:v>
      </x:c>
    </x:row>
    <x:row r="53">
      <x:c r="A53" s="5" t="inlineStr">
        <x:is>
          <x:t xml:space="preserve">HITRUST e1.csv</x:t>
        </x:is>
      </x:c>
      <x:c r="B53" s="5" t="inlineStr">
        <x:is>
          <x:t xml:space="preserve">ER-84</x:t>
        </x:is>
      </x:c>
      <x:c r="C53" s="5" t="inlineStr">
        <x:is>
          <x:t xml:space="preserve">Sample</x:t>
        </x:is>
      </x:c>
      <x:c r="D53" s="5" t="inlineStr">
        <x:is>
          <x:t xml:space="preserve">Employee Termination Ticket</x:t>
        </x:is>
      </x:c>
      <x:c r="E53" s="5" t="inlineStr">
        <x:is>
          <x:t xml:space="preserve">REQ-31-HIPAA</x:t>
        </x:is>
      </x:c>
      <x:c r="F53" s="5" t="inlineStr">
        <x:is>
          <x:t xml:space="preserve">11143.02i1Organizational.3</x:t>
        </x:is>
      </x:c>
      <x:c r="G53" s="18" t="inlineStr">
        <x:is>
          <x:t xml:space="preserve">1:1</x:t>
        </x:is>
      </x:c>
      <x:c r="H53" s="12">
        <x:f>COUNTIFS($E:$E,E53,$F:$F,F53)</x:f>
        <x:v>2</x:v>
      </x:c>
    </x:row>
    <x:row r="54">
      <x:c r="A54" s="5" t="inlineStr">
        <x:is>
          <x:t xml:space="preserve">HITRUST e1.csv</x:t>
        </x:is>
      </x:c>
      <x:c r="B54" s="5" t="inlineStr">
        <x:is>
          <x:t xml:space="preserve">ER-3</x:t>
        </x:is>
      </x:c>
      <x:c r="C54" s="5" t="inlineStr">
        <x:is>
          <x:t xml:space="preserve">Configuration</x:t>
        </x:is>
      </x:c>
      <x:c r="D54" s="5" t="inlineStr">
        <x:is>
          <x:t xml:space="preserve">Encryption In Transit (Ex. TLS Protocols)</x:t>
        </x:is>
      </x:c>
      <x:c r="E54" s="5" t="inlineStr">
        <x:is>
          <x:t xml:space="preserve">REQ-33-HIPAA</x:t>
        </x:is>
      </x:c>
      <x:c r="F54" s="5" t="inlineStr">
        <x:is>
          <x:t xml:space="preserve">04.01x1Organizational.5</x:t>
        </x:is>
      </x:c>
      <x:c r="G54" s="19" t="inlineStr">
        <x:is>
          <x:t xml:space="preserve">Many:Many</x:t>
        </x:is>
      </x:c>
      <x:c r="H54" s="12">
        <x:f>COUNTIFS($E:$E,E54,$F:$F,F54)</x:f>
        <x:v>2</x:v>
      </x:c>
    </x:row>
    <x:row r="55">
      <x:c r="A55" s="5" t="inlineStr">
        <x:is>
          <x:t xml:space="preserve">HITRUST e1.csv</x:t>
        </x:is>
      </x:c>
      <x:c r="B55" s="5" t="inlineStr">
        <x:is>
          <x:t xml:space="preserve">ER-3</x:t>
        </x:is>
      </x:c>
      <x:c r="C55" s="5" t="inlineStr">
        <x:is>
          <x:t xml:space="preserve">Configuration</x:t>
        </x:is>
      </x:c>
      <x:c r="D55" s="5" t="inlineStr">
        <x:is>
          <x:t xml:space="preserve">Encryption In Transit (Ex. TLS Protocols)</x:t>
        </x:is>
      </x:c>
      <x:c r="E55" s="5" t="inlineStr">
        <x:is>
          <x:t xml:space="preserve">REQ-33-HIPAA</x:t>
        </x:is>
      </x:c>
      <x:c r="F55" s="5" t="inlineStr">
        <x:is>
          <x:t xml:space="preserve">0862.09m2Organizational.8</x:t>
        </x:is>
      </x:c>
      <x:c r="G55" s="19" t="inlineStr">
        <x:is>
          <x:t xml:space="preserve">Many:Many</x:t>
        </x:is>
      </x:c>
      <x:c r="H55" s="12">
        <x:f>COUNTIFS($E:$E,E55,$F:$F,F55)</x:f>
        <x:v>1</x:v>
      </x:c>
    </x:row>
    <x:row r="56">
      <x:c r="A56" s="5" t="inlineStr">
        <x:is>
          <x:t xml:space="preserve">HITRUST e1.csv</x:t>
        </x:is>
      </x:c>
      <x:c r="B56" s="5" t="inlineStr">
        <x:is>
          <x:t xml:space="preserve">ER-3</x:t>
        </x:is>
      </x:c>
      <x:c r="C56" s="5" t="inlineStr">
        <x:is>
          <x:t xml:space="preserve">Configuration</x:t>
        </x:is>
      </x:c>
      <x:c r="D56" s="5" t="inlineStr">
        <x:is>
          <x:t xml:space="preserve">Encryption In Transit (Ex. TLS Protocols)</x:t>
        </x:is>
      </x:c>
      <x:c r="E56" s="5" t="inlineStr">
        <x:is>
          <x:t xml:space="preserve">REQ-33-HIPAA</x:t>
        </x:is>
      </x:c>
      <x:c r="F56" s="5" t="inlineStr">
        <x:is>
          <x:t xml:space="preserve">0903.10f1Organizational.1.a</x:t>
        </x:is>
      </x:c>
      <x:c r="G56" s="19" t="inlineStr">
        <x:is>
          <x:t xml:space="preserve">Many:Many</x:t>
        </x:is>
      </x:c>
      <x:c r="H56" s="12">
        <x:f>COUNTIFS($E:$E,E56,$F:$F,F56)</x:f>
        <x:v>1</x:v>
      </x:c>
    </x:row>
    <x:row r="57">
      <x:c r="A57" s="5" t="inlineStr">
        <x:is>
          <x:t xml:space="preserve">HITRUST e1.csv</x:t>
        </x:is>
      </x:c>
      <x:c r="B57" s="5" t="inlineStr">
        <x:is>
          <x:t xml:space="preserve">ER-3</x:t>
        </x:is>
      </x:c>
      <x:c r="C57" s="5" t="inlineStr">
        <x:is>
          <x:t xml:space="preserve">Configuration</x:t>
        </x:is>
      </x:c>
      <x:c r="D57" s="5" t="inlineStr">
        <x:is>
          <x:t xml:space="preserve">Encryption In Transit (Ex. TLS Protocols)</x:t>
        </x:is>
      </x:c>
      <x:c r="E57" s="5" t="inlineStr">
        <x:is>
          <x:t xml:space="preserve">REQ-33-HIPAA</x:t>
        </x:is>
      </x:c>
      <x:c r="F57" s="5" t="inlineStr">
        <x:is>
          <x:t xml:space="preserve">0913.09s1Organizational.5</x:t>
        </x:is>
      </x:c>
      <x:c r="G57" s="19" t="inlineStr">
        <x:is>
          <x:t xml:space="preserve">Many:Many</x:t>
        </x:is>
      </x:c>
      <x:c r="H57" s="12">
        <x:f>COUNTIFS($E:$E,E57,$F:$F,F57)</x:f>
        <x:v>1</x:v>
      </x:c>
    </x:row>
    <x:row r="58">
      <x:c r="A58" s="5" t="inlineStr">
        <x:is>
          <x:t xml:space="preserve">HITRUST e1.csv</x:t>
        </x:is>
      </x:c>
      <x:c r="B58" s="5" t="inlineStr">
        <x:is>
          <x:t xml:space="preserve">ER-3</x:t>
        </x:is>
      </x:c>
      <x:c r="C58" s="5" t="inlineStr">
        <x:is>
          <x:t xml:space="preserve">Configuration</x:t>
        </x:is>
      </x:c>
      <x:c r="D58" s="5" t="inlineStr">
        <x:is>
          <x:t xml:space="preserve">Encryption In Transit (Ex. TLS Protocols)</x:t>
        </x:is>
      </x:c>
      <x:c r="E58" s="5" t="inlineStr">
        <x:is>
          <x:t xml:space="preserve">REQ-33-HIPAA</x:t>
        </x:is>
      </x:c>
      <x:c r="F58" s="5" t="inlineStr">
        <x:is>
          <x:t xml:space="preserve">0928.09v2Organizational.1</x:t>
        </x:is>
      </x:c>
      <x:c r="G58" s="19" t="inlineStr">
        <x:is>
          <x:t xml:space="preserve">Many:Many</x:t>
        </x:is>
      </x:c>
      <x:c r="H58" s="12">
        <x:f>COUNTIFS($E:$E,E58,$F:$F,F58)</x:f>
        <x:v>1</x:v>
      </x:c>
    </x:row>
    <x:row r="59">
      <x:c r="A59" s="5" t="inlineStr">
        <x:is>
          <x:t xml:space="preserve">HITRUST e1.csv</x:t>
        </x:is>
      </x:c>
      <x:c r="B59" s="5" t="inlineStr">
        <x:is>
          <x:t xml:space="preserve">ER-3</x:t>
        </x:is>
      </x:c>
      <x:c r="C59" s="5" t="inlineStr">
        <x:is>
          <x:t xml:space="preserve">Configuration</x:t>
        </x:is>
      </x:c>
      <x:c r="D59" s="5" t="inlineStr">
        <x:is>
          <x:t xml:space="preserve">Encryption In Transit (Ex. TLS Protocols)</x:t>
        </x:is>
      </x:c>
      <x:c r="E59" s="5" t="inlineStr">
        <x:is>
          <x:t xml:space="preserve">REQ-33-HIPAA</x:t>
        </x:is>
      </x:c>
      <x:c r="F59" s="5" t="inlineStr">
        <x:is>
          <x:t xml:space="preserve">0945.09y1Organizational.3</x:t>
        </x:is>
      </x:c>
      <x:c r="G59" s="19" t="inlineStr">
        <x:is>
          <x:t xml:space="preserve">Many:Many</x:t>
        </x:is>
      </x:c>
      <x:c r="H59" s="12">
        <x:f>COUNTIFS($E:$E,E59,$F:$F,F59)</x:f>
        <x:v>1</x:v>
      </x:c>
    </x:row>
    <x:row r="60">
      <x:c r="A60" s="5" t="inlineStr">
        <x:is>
          <x:t xml:space="preserve">HITRUST e1.csv</x:t>
        </x:is>
      </x:c>
      <x:c r="B60" s="5" t="inlineStr">
        <x:is>
          <x:t xml:space="preserve">ER-3</x:t>
        </x:is>
      </x:c>
      <x:c r="C60" s="5" t="inlineStr">
        <x:is>
          <x:t xml:space="preserve">Configuration</x:t>
        </x:is>
      </x:c>
      <x:c r="D60" s="5" t="inlineStr">
        <x:is>
          <x:t xml:space="preserve">Encryption In Transit (Ex. TLS Protocols)</x:t>
        </x:is>
      </x:c>
      <x:c r="E60" s="5" t="inlineStr">
        <x:is>
          <x:t xml:space="preserve">REQ-33-HIPAA</x:t>
        </x:is>
      </x:c>
      <x:c r="F60" s="5" t="inlineStr">
        <x:is>
          <x:t xml:space="preserve">0954.10d1System.1</x:t>
        </x:is>
      </x:c>
      <x:c r="G60" s="19" t="inlineStr">
        <x:is>
          <x:t xml:space="preserve">Many:Many</x:t>
        </x:is>
      </x:c>
      <x:c r="H60" s="12">
        <x:f>COUNTIFS($E:$E,E60,$F:$F,F60)</x:f>
        <x:v>1</x:v>
      </x:c>
    </x:row>
    <x:row r="61">
      <x:c r="A61" s="5" t="inlineStr">
        <x:is>
          <x:t xml:space="preserve">HITRUST e1.csv</x:t>
        </x:is>
      </x:c>
      <x:c r="B61" s="5" t="inlineStr">
        <x:is>
          <x:t xml:space="preserve">ER-3</x:t>
        </x:is>
      </x:c>
      <x:c r="C61" s="5" t="inlineStr">
        <x:is>
          <x:t xml:space="preserve">Configuration</x:t>
        </x:is>
      </x:c>
      <x:c r="D61" s="5" t="inlineStr">
        <x:is>
          <x:t xml:space="preserve">Encryption In Transit (Ex. TLS Protocols)</x:t>
        </x:is>
      </x:c>
      <x:c r="E61" s="5" t="inlineStr">
        <x:is>
          <x:t xml:space="preserve">REQ-33-HIPAA</x:t>
        </x:is>
      </x:c>
      <x:c r="F61" s="5" t="inlineStr">
        <x:is>
          <x:t xml:space="preserve">1013.01r1System.2</x:t>
        </x:is>
      </x:c>
      <x:c r="G61" s="19" t="inlineStr">
        <x:is>
          <x:t xml:space="preserve">Many:Many</x:t>
        </x:is>
      </x:c>
      <x:c r="H61" s="12">
        <x:f>COUNTIFS($E:$E,E61,$F:$F,F61)</x:f>
        <x:v>1</x:v>
      </x:c>
    </x:row>
    <x:row r="62">
      <x:c r="A62" s="5" t="inlineStr">
        <x:is>
          <x:t xml:space="preserve">HITRUST e1.csv</x:t>
        </x:is>
      </x:c>
      <x:c r="B62" s="5" t="inlineStr">
        <x:is>
          <x:t xml:space="preserve">ER-3</x:t>
        </x:is>
      </x:c>
      <x:c r="C62" s="5" t="inlineStr">
        <x:is>
          <x:t xml:space="preserve">Configuration</x:t>
        </x:is>
      </x:c>
      <x:c r="D62" s="5" t="inlineStr">
        <x:is>
          <x:t xml:space="preserve">Encryption In Transit (Ex. TLS Protocols)</x:t>
        </x:is>
      </x:c>
      <x:c r="E62" s="5" t="inlineStr">
        <x:is>
          <x:t xml:space="preserve">REQ-35-HIPAA</x:t>
        </x:is>
      </x:c>
      <x:c r="F62" s="5" t="inlineStr">
        <x:is>
          <x:t xml:space="preserve">04.01x1Organizational.5</x:t>
        </x:is>
      </x:c>
      <x:c r="G62" s="19" t="inlineStr">
        <x:is>
          <x:t xml:space="preserve">Many:Many</x:t>
        </x:is>
      </x:c>
      <x:c r="H62" s="12">
        <x:f>COUNTIFS($E:$E,E62,$F:$F,F62)</x:f>
        <x:v>2</x:v>
      </x:c>
    </x:row>
    <x:row r="63">
      <x:c r="A63" s="5" t="inlineStr">
        <x:is>
          <x:t xml:space="preserve">HITRUST e1.csv</x:t>
        </x:is>
      </x:c>
      <x:c r="B63" s="5" t="inlineStr">
        <x:is>
          <x:t xml:space="preserve">ER-3</x:t>
        </x:is>
      </x:c>
      <x:c r="C63" s="5" t="inlineStr">
        <x:is>
          <x:t xml:space="preserve">Configuration</x:t>
        </x:is>
      </x:c>
      <x:c r="D63" s="5" t="inlineStr">
        <x:is>
          <x:t xml:space="preserve">Encryption In Transit (Ex. TLS Protocols)</x:t>
        </x:is>
      </x:c>
      <x:c r="E63" s="5" t="inlineStr">
        <x:is>
          <x:t xml:space="preserve">REQ-35-HIPAA</x:t>
        </x:is>
      </x:c>
      <x:c r="F63" s="5" t="inlineStr">
        <x:is>
          <x:t xml:space="preserve">0862.09m2Organizational.8</x:t>
        </x:is>
      </x:c>
      <x:c r="G63" s="19" t="inlineStr">
        <x:is>
          <x:t xml:space="preserve">Many:Many</x:t>
        </x:is>
      </x:c>
      <x:c r="H63" s="12">
        <x:f>COUNTIFS($E:$E,E63,$F:$F,F63)</x:f>
        <x:v>1</x:v>
      </x:c>
    </x:row>
    <x:row r="64">
      <x:c r="A64" s="5" t="inlineStr">
        <x:is>
          <x:t xml:space="preserve">HITRUST e1.csv</x:t>
        </x:is>
      </x:c>
      <x:c r="B64" s="5" t="inlineStr">
        <x:is>
          <x:t xml:space="preserve">ER-3</x:t>
        </x:is>
      </x:c>
      <x:c r="C64" s="5" t="inlineStr">
        <x:is>
          <x:t xml:space="preserve">Configuration</x:t>
        </x:is>
      </x:c>
      <x:c r="D64" s="5" t="inlineStr">
        <x:is>
          <x:t xml:space="preserve">Encryption In Transit (Ex. TLS Protocols)</x:t>
        </x:is>
      </x:c>
      <x:c r="E64" s="5" t="inlineStr">
        <x:is>
          <x:t xml:space="preserve">REQ-35-HIPAA</x:t>
        </x:is>
      </x:c>
      <x:c r="F64" s="5" t="inlineStr">
        <x:is>
          <x:t xml:space="preserve">0903.10f1Organizational.1.a</x:t>
        </x:is>
      </x:c>
      <x:c r="G64" s="19" t="inlineStr">
        <x:is>
          <x:t xml:space="preserve">Many:Many</x:t>
        </x:is>
      </x:c>
      <x:c r="H64" s="12">
        <x:f>COUNTIFS($E:$E,E64,$F:$F,F64)</x:f>
        <x:v>1</x:v>
      </x:c>
    </x:row>
    <x:row r="65">
      <x:c r="A65" s="5" t="inlineStr">
        <x:is>
          <x:t xml:space="preserve">HITRUST e1.csv</x:t>
        </x:is>
      </x:c>
      <x:c r="B65" s="5" t="inlineStr">
        <x:is>
          <x:t xml:space="preserve">ER-3</x:t>
        </x:is>
      </x:c>
      <x:c r="C65" s="5" t="inlineStr">
        <x:is>
          <x:t xml:space="preserve">Configuration</x:t>
        </x:is>
      </x:c>
      <x:c r="D65" s="5" t="inlineStr">
        <x:is>
          <x:t xml:space="preserve">Encryption In Transit (Ex. TLS Protocols)</x:t>
        </x:is>
      </x:c>
      <x:c r="E65" s="5" t="inlineStr">
        <x:is>
          <x:t xml:space="preserve">REQ-35-HIPAA</x:t>
        </x:is>
      </x:c>
      <x:c r="F65" s="5" t="inlineStr">
        <x:is>
          <x:t xml:space="preserve">0913.09s1Organizational.5</x:t>
        </x:is>
      </x:c>
      <x:c r="G65" s="19" t="inlineStr">
        <x:is>
          <x:t xml:space="preserve">Many:Many</x:t>
        </x:is>
      </x:c>
      <x:c r="H65" s="12">
        <x:f>COUNTIFS($E:$E,E65,$F:$F,F65)</x:f>
        <x:v>1</x:v>
      </x:c>
    </x:row>
    <x:row r="66">
      <x:c r="A66" s="5" t="inlineStr">
        <x:is>
          <x:t xml:space="preserve">HITRUST e1.csv</x:t>
        </x:is>
      </x:c>
      <x:c r="B66" s="5" t="inlineStr">
        <x:is>
          <x:t xml:space="preserve">ER-3</x:t>
        </x:is>
      </x:c>
      <x:c r="C66" s="5" t="inlineStr">
        <x:is>
          <x:t xml:space="preserve">Configuration</x:t>
        </x:is>
      </x:c>
      <x:c r="D66" s="5" t="inlineStr">
        <x:is>
          <x:t xml:space="preserve">Encryption In Transit (Ex. TLS Protocols)</x:t>
        </x:is>
      </x:c>
      <x:c r="E66" s="5" t="inlineStr">
        <x:is>
          <x:t xml:space="preserve">REQ-35-HIPAA</x:t>
        </x:is>
      </x:c>
      <x:c r="F66" s="5" t="inlineStr">
        <x:is>
          <x:t xml:space="preserve">0928.09v2Organizational.1</x:t>
        </x:is>
      </x:c>
      <x:c r="G66" s="19" t="inlineStr">
        <x:is>
          <x:t xml:space="preserve">Many:Many</x:t>
        </x:is>
      </x:c>
      <x:c r="H66" s="12">
        <x:f>COUNTIFS($E:$E,E66,$F:$F,F66)</x:f>
        <x:v>1</x:v>
      </x:c>
    </x:row>
    <x:row r="67">
      <x:c r="A67" s="5" t="inlineStr">
        <x:is>
          <x:t xml:space="preserve">HITRUST e1.csv</x:t>
        </x:is>
      </x:c>
      <x:c r="B67" s="5" t="inlineStr">
        <x:is>
          <x:t xml:space="preserve">ER-3</x:t>
        </x:is>
      </x:c>
      <x:c r="C67" s="5" t="inlineStr">
        <x:is>
          <x:t xml:space="preserve">Configuration</x:t>
        </x:is>
      </x:c>
      <x:c r="D67" s="5" t="inlineStr">
        <x:is>
          <x:t xml:space="preserve">Encryption In Transit (Ex. TLS Protocols)</x:t>
        </x:is>
      </x:c>
      <x:c r="E67" s="5" t="inlineStr">
        <x:is>
          <x:t xml:space="preserve">REQ-35-HIPAA</x:t>
        </x:is>
      </x:c>
      <x:c r="F67" s="5" t="inlineStr">
        <x:is>
          <x:t xml:space="preserve">0945.09y1Organizational.3</x:t>
        </x:is>
      </x:c>
      <x:c r="G67" s="19" t="inlineStr">
        <x:is>
          <x:t xml:space="preserve">Many:Many</x:t>
        </x:is>
      </x:c>
      <x:c r="H67" s="12">
        <x:f>COUNTIFS($E:$E,E67,$F:$F,F67)</x:f>
        <x:v>1</x:v>
      </x:c>
    </x:row>
    <x:row r="68">
      <x:c r="A68" s="5" t="inlineStr">
        <x:is>
          <x:t xml:space="preserve">HITRUST e1.csv</x:t>
        </x:is>
      </x:c>
      <x:c r="B68" s="5" t="inlineStr">
        <x:is>
          <x:t xml:space="preserve">ER-3</x:t>
        </x:is>
      </x:c>
      <x:c r="C68" s="5" t="inlineStr">
        <x:is>
          <x:t xml:space="preserve">Configuration</x:t>
        </x:is>
      </x:c>
      <x:c r="D68" s="5" t="inlineStr">
        <x:is>
          <x:t xml:space="preserve">Encryption In Transit (Ex. TLS Protocols)</x:t>
        </x:is>
      </x:c>
      <x:c r="E68" s="5" t="inlineStr">
        <x:is>
          <x:t xml:space="preserve">REQ-35-HIPAA</x:t>
        </x:is>
      </x:c>
      <x:c r="F68" s="5" t="inlineStr">
        <x:is>
          <x:t xml:space="preserve">0954.10d1System.1</x:t>
        </x:is>
      </x:c>
      <x:c r="G68" s="19" t="inlineStr">
        <x:is>
          <x:t xml:space="preserve">Many:Many</x:t>
        </x:is>
      </x:c>
      <x:c r="H68" s="12">
        <x:f>COUNTIFS($E:$E,E68,$F:$F,F68)</x:f>
        <x:v>1</x:v>
      </x:c>
    </x:row>
    <x:row r="69">
      <x:c r="A69" s="5" t="inlineStr">
        <x:is>
          <x:t xml:space="preserve">HITRUST e1.csv</x:t>
        </x:is>
      </x:c>
      <x:c r="B69" s="5" t="inlineStr">
        <x:is>
          <x:t xml:space="preserve">ER-3</x:t>
        </x:is>
      </x:c>
      <x:c r="C69" s="5" t="inlineStr">
        <x:is>
          <x:t xml:space="preserve">Configuration</x:t>
        </x:is>
      </x:c>
      <x:c r="D69" s="5" t="inlineStr">
        <x:is>
          <x:t xml:space="preserve">Encryption In Transit (Ex. TLS Protocols)</x:t>
        </x:is>
      </x:c>
      <x:c r="E69" s="5" t="inlineStr">
        <x:is>
          <x:t xml:space="preserve">REQ-35-HIPAA</x:t>
        </x:is>
      </x:c>
      <x:c r="F69" s="5" t="inlineStr">
        <x:is>
          <x:t xml:space="preserve">1013.01r1System.2</x:t>
        </x:is>
      </x:c>
      <x:c r="G69" s="19" t="inlineStr">
        <x:is>
          <x:t xml:space="preserve">Many:Many</x:t>
        </x:is>
      </x:c>
      <x:c r="H69" s="12">
        <x:f>COUNTIFS($E:$E,E69,$F:$F,F69)</x:f>
        <x:v>1</x:v>
      </x:c>
    </x:row>
    <x:row r="70">
      <x:c r="A70" s="5" t="inlineStr">
        <x:is>
          <x:t xml:space="preserve">HITRUST e1.csv</x:t>
        </x:is>
      </x:c>
      <x:c r="B70" s="5" t="inlineStr">
        <x:is>
          <x:t xml:space="preserve">ER-88</x:t>
        </x:is>
      </x:c>
      <x:c r="C70" s="5" t="inlineStr">
        <x:is>
          <x:t xml:space="preserve">Configuration</x:t>
        </x:is>
      </x:c>
      <x:c r="D70" s="5" t="inlineStr">
        <x:is>
          <x:t xml:space="preserve">Evidence of Multi-Factor Authentication</x:t>
        </x:is>
      </x:c>
      <x:c r="E70" s="5" t="inlineStr">
        <x:is>
          <x:t xml:space="preserve">REQ-27-HIPAA</x:t>
        </x:is>
      </x:c>
      <x:c r="F70" s="5" t="inlineStr">
        <x:is>
          <x:t xml:space="preserve">11.01q1System.3</x:t>
        </x:is>
      </x:c>
      <x:c r="G70" s="20" t="inlineStr">
        <x:is>
          <x:t xml:space="preserve">1:Many</x:t>
        </x:is>
      </x:c>
      <x:c r="H70" s="12">
        <x:f>COUNTIFS($E:$E,E70,$F:$F,F70)</x:f>
        <x:v>1</x:v>
      </x:c>
    </x:row>
    <x:row r="71">
      <x:c r="A71" s="5" t="inlineStr">
        <x:is>
          <x:t xml:space="preserve">HITRUST e1.csv</x:t>
        </x:is>
      </x:c>
      <x:c r="B71" s="5" t="inlineStr">
        <x:is>
          <x:t xml:space="preserve">ER-88</x:t>
        </x:is>
      </x:c>
      <x:c r="C71" s="5" t="inlineStr">
        <x:is>
          <x:t xml:space="preserve">Configuration</x:t>
        </x:is>
      </x:c>
      <x:c r="D71" s="5" t="inlineStr">
        <x:is>
          <x:t xml:space="preserve">Evidence of Multi-Factor Authentication</x:t>
        </x:is>
      </x:c>
      <x:c r="E71" s="5" t="inlineStr">
        <x:is>
          <x:t xml:space="preserve">REQ-27-HIPAA</x:t>
        </x:is>
      </x:c>
      <x:c r="F71" s="5" t="inlineStr">
        <x:is>
          <x:t xml:space="preserve">11.01q1System.4</x:t>
        </x:is>
      </x:c>
      <x:c r="G71" s="20" t="inlineStr">
        <x:is>
          <x:t xml:space="preserve">1:Many</x:t>
        </x:is>
      </x:c>
      <x:c r="H71" s="12">
        <x:f>COUNTIFS($E:$E,E71,$F:$F,F71)</x:f>
        <x:v>1</x:v>
      </x:c>
    </x:row>
    <x:row r="72">
      <x:c r="A72" s="5" t="inlineStr">
        <x:is>
          <x:t xml:space="preserve">HITRUST e1.csv</x:t>
        </x:is>
      </x:c>
      <x:c r="B72" s="5" t="inlineStr">
        <x:is>
          <x:t xml:space="preserve">ER-53</x:t>
        </x:is>
      </x:c>
      <x:c r="C72" s="5" t="inlineStr">
        <x:is>
          <x:t xml:space="preserve">Sample</x:t>
        </x:is>
      </x:c>
      <x:c r="D72" s="5" t="inlineStr">
        <x:is>
          <x:t xml:space="preserve">Evidence of Vulnerability Scan Results</x:t>
        </x:is>
      </x:c>
      <x:c r="E72" s="5" t="inlineStr">
        <x:is>
          <x:t xml:space="preserve">REQ-46-HIPAA</x:t>
        </x:is>
      </x:c>
      <x:c r="F72" s="5" t="inlineStr">
        <x:is>
          <x:t xml:space="preserve">07.10m1Organizational.3</x:t>
        </x:is>
      </x:c>
      <x:c r="G72" s="17" t="inlineStr">
        <x:is>
          <x:t xml:space="preserve">Many:1</x:t>
        </x:is>
      </x:c>
      <x:c r="H72" s="12">
        <x:f>COUNTIFS($E:$E,E72,$F:$F,F72)</x:f>
        <x:v>1</x:v>
      </x:c>
    </x:row>
    <x:row r="73">
      <x:c r="A73" s="5" t="inlineStr">
        <x:is>
          <x:t xml:space="preserve">HITRUST e1.csv</x:t>
        </x:is>
      </x:c>
      <x:c r="B73" s="5" t="inlineStr">
        <x:is>
          <x:t xml:space="preserve">ER-53</x:t>
        </x:is>
      </x:c>
      <x:c r="C73" s="5" t="inlineStr">
        <x:is>
          <x:t xml:space="preserve">Sample</x:t>
        </x:is>
      </x:c>
      <x:c r="D73" s="5" t="inlineStr">
        <x:is>
          <x:t xml:space="preserve">Evidence of Vulnerability Scan Results</x:t>
        </x:is>
      </x:c>
      <x:c r="E73" s="5" t="inlineStr">
        <x:is>
          <x:t xml:space="preserve">REQ-47-HIPAA</x:t>
        </x:is>
      </x:c>
      <x:c r="F73" s="5" t="inlineStr">
        <x:is>
          <x:t xml:space="preserve">07.10m1Organizational.3</x:t>
        </x:is>
      </x:c>
      <x:c r="G73" s="17" t="inlineStr">
        <x:is>
          <x:t xml:space="preserve">Many:1</x:t>
        </x:is>
      </x:c>
      <x:c r="H73" s="12">
        <x:f>COUNTIFS($E:$E,E73,$F:$F,F73)</x:f>
        <x:v>1</x:v>
      </x:c>
    </x:row>
    <x:row r="74">
      <x:c r="A74" s="5" t="inlineStr">
        <x:is>
          <x:t xml:space="preserve">HITRUST e1.csv</x:t>
        </x:is>
      </x:c>
      <x:c r="B74" s="5" t="inlineStr">
        <x:is>
          <x:t xml:space="preserve">ER-91</x:t>
        </x:is>
      </x:c>
      <x:c r="C74" s="5" t="inlineStr">
        <x:is>
          <x:t xml:space="preserve">Configuration</x:t>
        </x:is>
      </x:c>
      <x:c r="D74" s="5" t="inlineStr">
        <x:is>
          <x:t xml:space="preserve">Firewall Rules/Security Groups</x:t>
        </x:is>
      </x:c>
      <x:c r="E74" s="5" t="inlineStr">
        <x:is>
          <x:t xml:space="preserve">REQ-37-HIPAA</x:t>
        </x:is>
      </x:c>
      <x:c r="F74" s="5" t="inlineStr">
        <x:is>
          <x:t xml:space="preserve">0265.09m1Organizational.2</x:t>
        </x:is>
      </x:c>
      <x:c r="G74" s="20" t="inlineStr">
        <x:is>
          <x:t xml:space="preserve">1:Many</x:t>
        </x:is>
      </x:c>
      <x:c r="H74" s="12">
        <x:f>COUNTIFS($E:$E,E74,$F:$F,F74)</x:f>
        <x:v>1</x:v>
      </x:c>
    </x:row>
    <x:row r="75">
      <x:c r="A75" s="5" t="inlineStr">
        <x:is>
          <x:t xml:space="preserve">HITRUST e1.csv</x:t>
        </x:is>
      </x:c>
      <x:c r="B75" s="5" t="inlineStr">
        <x:is>
          <x:t xml:space="preserve">ER-91</x:t>
        </x:is>
      </x:c>
      <x:c r="C75" s="5" t="inlineStr">
        <x:is>
          <x:t xml:space="preserve">Configuration</x:t>
        </x:is>
      </x:c>
      <x:c r="D75" s="5" t="inlineStr">
        <x:is>
          <x:t xml:space="preserve">Firewall Rules/Security Groups</x:t>
        </x:is>
      </x:c>
      <x:c r="E75" s="5" t="inlineStr">
        <x:is>
          <x:t xml:space="preserve">REQ-37-HIPAA</x:t>
        </x:is>
      </x:c>
      <x:c r="F75" s="5" t="inlineStr">
        <x:is>
          <x:t xml:space="preserve">0805.01m1Organizational.12</x:t>
        </x:is>
      </x:c>
      <x:c r="G75" s="20" t="inlineStr">
        <x:is>
          <x:t xml:space="preserve">1:Many</x:t>
        </x:is>
      </x:c>
      <x:c r="H75" s="12">
        <x:f>COUNTIFS($E:$E,E75,$F:$F,F75)</x:f>
        <x:v>1</x:v>
      </x:c>
    </x:row>
    <x:row r="76">
      <x:c r="A76" s="5" t="inlineStr">
        <x:is>
          <x:t xml:space="preserve">HITRUST e1.csv</x:t>
        </x:is>
      </x:c>
      <x:c r="B76" s="5" t="inlineStr">
        <x:is>
          <x:t xml:space="preserve">ER-55</x:t>
        </x:is>
      </x:c>
      <x:c r="C76" s="5" t="inlineStr">
        <x:is>
          <x:t xml:space="preserve">Policy</x:t>
        </x:is>
      </x:c>
      <x:c r="D76" s="5" t="inlineStr">
        <x:is>
          <x:t xml:space="preserve">Incident Response</x:t>
        </x:is>
      </x:c>
      <x:c r="E76" s="5" t="inlineStr">
        <x:is>
          <x:t xml:space="preserve">REQ-48-HIPAA</x:t>
        </x:is>
      </x:c>
      <x:c r="F76" s="5" t="inlineStr">
        <x:is>
          <x:t xml:space="preserve">1561.11c1Organizational.4</x:t>
        </x:is>
      </x:c>
      <x:c r="G76" s="19" t="inlineStr">
        <x:is>
          <x:t xml:space="preserve">Many:Many</x:t>
        </x:is>
      </x:c>
      <x:c r="H76" s="12">
        <x:f>COUNTIFS($E:$E,E76,$F:$F,F76)</x:f>
        <x:v>1</x:v>
      </x:c>
    </x:row>
    <x:row r="77">
      <x:c r="A77" s="5" t="inlineStr">
        <x:is>
          <x:t xml:space="preserve">HITRUST e1.csv</x:t>
        </x:is>
      </x:c>
      <x:c r="B77" s="5" t="inlineStr">
        <x:is>
          <x:t xml:space="preserve">ER-55</x:t>
        </x:is>
      </x:c>
      <x:c r="C77" s="5" t="inlineStr">
        <x:is>
          <x:t xml:space="preserve">Policy</x:t>
        </x:is>
      </x:c>
      <x:c r="D77" s="5" t="inlineStr">
        <x:is>
          <x:t xml:space="preserve">Incident Response</x:t>
        </x:is>
      </x:c>
      <x:c r="E77" s="5" t="inlineStr">
        <x:is>
          <x:t xml:space="preserve">REQ-48-HIPAA</x:t>
        </x:is>
      </x:c>
      <x:c r="F77" s="5" t="inlineStr">
        <x:is>
          <x:t xml:space="preserve">1589.11c1Organizational.5</x:t>
        </x:is>
      </x:c>
      <x:c r="G77" s="19" t="inlineStr">
        <x:is>
          <x:t xml:space="preserve">Many:Many</x:t>
        </x:is>
      </x:c>
      <x:c r="H77" s="12">
        <x:f>COUNTIFS($E:$E,E77,$F:$F,F77)</x:f>
        <x:v>1</x:v>
      </x:c>
    </x:row>
    <x:row r="78">
      <x:c r="A78" s="5" t="inlineStr">
        <x:is>
          <x:t xml:space="preserve">HITRUST e1.csv</x:t>
        </x:is>
      </x:c>
      <x:c r="B78" s="5" t="inlineStr">
        <x:is>
          <x:t xml:space="preserve">ER-55</x:t>
        </x:is>
      </x:c>
      <x:c r="C78" s="5" t="inlineStr">
        <x:is>
          <x:t xml:space="preserve">Policy</x:t>
        </x:is>
      </x:c>
      <x:c r="D78" s="5" t="inlineStr">
        <x:is>
          <x:t xml:space="preserve">Incident Response</x:t>
        </x:is>
      </x:c>
      <x:c r="E78" s="5" t="inlineStr">
        <x:is>
          <x:t xml:space="preserve">REQ-49-HIPAA</x:t>
        </x:is>
      </x:c>
      <x:c r="F78" s="5" t="inlineStr">
        <x:is>
          <x:t xml:space="preserve">1561.11c1Organizational.4</x:t>
        </x:is>
      </x:c>
      <x:c r="G78" s="19" t="inlineStr">
        <x:is>
          <x:t xml:space="preserve">Many:Many</x:t>
        </x:is>
      </x:c>
      <x:c r="H78" s="12">
        <x:f>COUNTIFS($E:$E,E78,$F:$F,F78)</x:f>
        <x:v>1</x:v>
      </x:c>
    </x:row>
    <x:row r="79">
      <x:c r="A79" s="5" t="inlineStr">
        <x:is>
          <x:t xml:space="preserve">HITRUST e1.csv</x:t>
        </x:is>
      </x:c>
      <x:c r="B79" s="5" t="inlineStr">
        <x:is>
          <x:t xml:space="preserve">ER-55</x:t>
        </x:is>
      </x:c>
      <x:c r="C79" s="5" t="inlineStr">
        <x:is>
          <x:t xml:space="preserve">Policy</x:t>
        </x:is>
      </x:c>
      <x:c r="D79" s="5" t="inlineStr">
        <x:is>
          <x:t xml:space="preserve">Incident Response</x:t>
        </x:is>
      </x:c>
      <x:c r="E79" s="5" t="inlineStr">
        <x:is>
          <x:t xml:space="preserve">REQ-49-HIPAA</x:t>
        </x:is>
      </x:c>
      <x:c r="F79" s="5" t="inlineStr">
        <x:is>
          <x:t xml:space="preserve">1589.11c1Organizational.5</x:t>
        </x:is>
      </x:c>
      <x:c r="G79" s="19" t="inlineStr">
        <x:is>
          <x:t xml:space="preserve">Many:Many</x:t>
        </x:is>
      </x:c>
      <x:c r="H79" s="12">
        <x:f>COUNTIFS($E:$E,E79,$F:$F,F79)</x:f>
        <x:v>1</x:v>
      </x:c>
    </x:row>
    <x:row r="80">
      <x:c r="A80" s="5" t="inlineStr">
        <x:is>
          <x:t xml:space="preserve">HITRUST e1.csv</x:t>
        </x:is>
      </x:c>
      <x:c r="B80" s="5" t="inlineStr">
        <x:is>
          <x:t xml:space="preserve">ER-57</x:t>
        </x:is>
      </x:c>
      <x:c r="C80" s="5" t="inlineStr">
        <x:is>
          <x:t xml:space="preserve">Policy</x:t>
        </x:is>
      </x:c>
      <x:c r="D80" s="5" t="inlineStr">
        <x:is>
          <x:t xml:space="preserve">Information Security</x:t>
        </x:is>
      </x:c>
      <x:c r="E80" s="5" t="inlineStr">
        <x:is>
          <x:t xml:space="preserve">REQ-1-HIPAA</x:t>
        </x:is>
      </x:c>
      <x:c r="F80" s="5" t="inlineStr">
        <x:is>
          <x:t xml:space="preserve">0113.04a1Organizational.2</x:t>
        </x:is>
      </x:c>
      <x:c r="G80" s="17" t="inlineStr">
        <x:is>
          <x:t xml:space="preserve">Many:1</x:t>
        </x:is>
      </x:c>
      <x:c r="H80" s="12">
        <x:f>COUNTIFS($E:$E,E80,$F:$F,F80)</x:f>
        <x:v>2</x:v>
      </x:c>
    </x:row>
    <x:row r="81">
      <x:c r="A81" s="5" t="inlineStr">
        <x:is>
          <x:t xml:space="preserve">HITRUST e1.csv</x:t>
        </x:is>
      </x:c>
      <x:c r="B81" s="5" t="inlineStr">
        <x:is>
          <x:t xml:space="preserve">ER-57</x:t>
        </x:is>
      </x:c>
      <x:c r="C81" s="5" t="inlineStr">
        <x:is>
          <x:t xml:space="preserve">Policy</x:t>
        </x:is>
      </x:c>
      <x:c r="D81" s="5" t="inlineStr">
        <x:is>
          <x:t xml:space="preserve">Information Security</x:t>
        </x:is>
      </x:c>
      <x:c r="E81" s="5" t="inlineStr">
        <x:is>
          <x:t xml:space="preserve">REQ-12-HIPAA</x:t>
        </x:is>
      </x:c>
      <x:c r="F81" s="5" t="inlineStr">
        <x:is>
          <x:t xml:space="preserve">0113.04a1Organizational.2</x:t>
        </x:is>
      </x:c>
      <x:c r="G81" s="17" t="inlineStr">
        <x:is>
          <x:t xml:space="preserve">Many:1</x:t>
        </x:is>
      </x:c>
      <x:c r="H81" s="12">
        <x:f>COUNTIFS($E:$E,E81,$F:$F,F81)</x:f>
        <x:v>2</x:v>
      </x:c>
    </x:row>
    <x:row r="82">
      <x:c r="A82" s="5" t="inlineStr">
        <x:is>
          <x:t xml:space="preserve">HITRUST e1.csv</x:t>
        </x:is>
      </x:c>
      <x:c r="B82" s="5" t="inlineStr">
        <x:is>
          <x:t xml:space="preserve">ER-57</x:t>
        </x:is>
      </x:c>
      <x:c r="C82" s="5" t="inlineStr">
        <x:is>
          <x:t xml:space="preserve">Policy</x:t>
        </x:is>
      </x:c>
      <x:c r="D82" s="5" t="inlineStr">
        <x:is>
          <x:t xml:space="preserve">Information Security</x:t>
        </x:is>
      </x:c>
      <x:c r="E82" s="5" t="inlineStr">
        <x:is>
          <x:t xml:space="preserve">REQ-13-HIPAA</x:t>
        </x:is>
      </x:c>
      <x:c r="F82" s="5" t="inlineStr">
        <x:is>
          <x:t xml:space="preserve">0113.04a1Organizational.2</x:t>
        </x:is>
      </x:c>
      <x:c r="G82" s="17" t="inlineStr">
        <x:is>
          <x:t xml:space="preserve">Many:1</x:t>
        </x:is>
      </x:c>
      <x:c r="H82" s="12">
        <x:f>COUNTIFS($E:$E,E82,$F:$F,F82)</x:f>
        <x:v>2</x:v>
      </x:c>
    </x:row>
    <x:row r="83">
      <x:c r="A83" s="5" t="inlineStr">
        <x:is>
          <x:t xml:space="preserve">HITRUST e1.csv</x:t>
        </x:is>
      </x:c>
      <x:c r="B83" s="5" t="inlineStr">
        <x:is>
          <x:t xml:space="preserve">ER-56</x:t>
        </x:is>
      </x:c>
      <x:c r="C83" s="5" t="inlineStr">
        <x:is>
          <x:t xml:space="preserve">Operational</x:t>
        </x:is>
      </x:c>
      <x:c r="D83" s="5" t="inlineStr">
        <x:is>
          <x:t xml:space="preserve">Information Security Policy Repository</x:t>
        </x:is>
      </x:c>
      <x:c r="E83" s="5" t="inlineStr">
        <x:is>
          <x:t xml:space="preserve">REQ-1-HIPAA</x:t>
        </x:is>
      </x:c>
      <x:c r="F83" s="5" t="inlineStr">
        <x:is>
          <x:t xml:space="preserve">0113.04a1Organizational.2</x:t>
        </x:is>
      </x:c>
      <x:c r="G83" s="17" t="inlineStr">
        <x:is>
          <x:t xml:space="preserve">Many:1</x:t>
        </x:is>
      </x:c>
      <x:c r="H83" s="12">
        <x:f>COUNTIFS($E:$E,E83,$F:$F,F83)</x:f>
        <x:v>2</x:v>
      </x:c>
    </x:row>
    <x:row r="84">
      <x:c r="A84" s="5" t="inlineStr">
        <x:is>
          <x:t xml:space="preserve">HITRUST e1.csv</x:t>
        </x:is>
      </x:c>
      <x:c r="B84" s="5" t="inlineStr">
        <x:is>
          <x:t xml:space="preserve">ER-56</x:t>
        </x:is>
      </x:c>
      <x:c r="C84" s="5" t="inlineStr">
        <x:is>
          <x:t xml:space="preserve">Operational</x:t>
        </x:is>
      </x:c>
      <x:c r="D84" s="5" t="inlineStr">
        <x:is>
          <x:t xml:space="preserve">Information Security Policy Repository</x:t>
        </x:is>
      </x:c>
      <x:c r="E84" s="5" t="inlineStr">
        <x:is>
          <x:t xml:space="preserve">REQ-12-HIPAA</x:t>
        </x:is>
      </x:c>
      <x:c r="F84" s="5" t="inlineStr">
        <x:is>
          <x:t xml:space="preserve">0113.04a1Organizational.2</x:t>
        </x:is>
      </x:c>
      <x:c r="G84" s="17" t="inlineStr">
        <x:is>
          <x:t xml:space="preserve">Many:1</x:t>
        </x:is>
      </x:c>
      <x:c r="H84" s="12">
        <x:f>COUNTIFS($E:$E,E84,$F:$F,F84)</x:f>
        <x:v>2</x:v>
      </x:c>
    </x:row>
    <x:row r="85">
      <x:c r="A85" s="5" t="inlineStr">
        <x:is>
          <x:t xml:space="preserve">HITRUST e1.csv</x:t>
        </x:is>
      </x:c>
      <x:c r="B85" s="5" t="inlineStr">
        <x:is>
          <x:t xml:space="preserve">ER-56</x:t>
        </x:is>
      </x:c>
      <x:c r="C85" s="5" t="inlineStr">
        <x:is>
          <x:t xml:space="preserve">Operational</x:t>
        </x:is>
      </x:c>
      <x:c r="D85" s="5" t="inlineStr">
        <x:is>
          <x:t xml:space="preserve">Information Security Policy Repository</x:t>
        </x:is>
      </x:c>
      <x:c r="E85" s="5" t="inlineStr">
        <x:is>
          <x:t xml:space="preserve">REQ-13-HIPAA</x:t>
        </x:is>
      </x:c>
      <x:c r="F85" s="5" t="inlineStr">
        <x:is>
          <x:t xml:space="preserve">0113.04a1Organizational.2</x:t>
        </x:is>
      </x:c>
      <x:c r="G85" s="17" t="inlineStr">
        <x:is>
          <x:t xml:space="preserve">Many:1</x:t>
        </x:is>
      </x:c>
      <x:c r="H85" s="12">
        <x:f>COUNTIFS($E:$E,E85,$F:$F,F85)</x:f>
        <x:v>2</x:v>
      </x:c>
    </x:row>
    <x:row r="86">
      <x:c r="A86" s="5" t="inlineStr">
        <x:is>
          <x:t xml:space="preserve">HITRUST e1.csv</x:t>
        </x:is>
      </x:c>
      <x:c r="B86" s="5" t="inlineStr">
        <x:is>
          <x:t xml:space="preserve">ER-12</x:t>
        </x:is>
      </x:c>
      <x:c r="C86" s="5" t="inlineStr">
        <x:is>
          <x:t xml:space="preserve">Configuration</x:t>
        </x:is>
      </x:c>
      <x:c r="D86" s="5" t="inlineStr">
        <x:is>
          <x:t xml:space="preserve">List of All Production Systems (Servers, VMs, Data Stores)</x:t>
        </x:is>
      </x:c>
      <x:c r="E86" s="5" t="inlineStr">
        <x:is>
          <x:t xml:space="preserve">REQ-102-HIPAA</x:t>
        </x:is>
      </x:c>
      <x:c r="F86" s="5" t="inlineStr">
        <x:is>
          <x:t xml:space="preserve">07.07a1Organizational.8</x:t>
        </x:is>
      </x:c>
      <x:c r="G86" s="19" t="inlineStr">
        <x:is>
          <x:t xml:space="preserve">Many:Many</x:t>
        </x:is>
      </x:c>
      <x:c r="H86" s="12">
        <x:f>COUNTIFS($E:$E,E86,$F:$F,F86)</x:f>
        <x:v>1</x:v>
      </x:c>
    </x:row>
    <x:row r="87">
      <x:c r="A87" s="5" t="inlineStr">
        <x:is>
          <x:t xml:space="preserve">HITRUST e1.csv</x:t>
        </x:is>
      </x:c>
      <x:c r="B87" s="5" t="inlineStr">
        <x:is>
          <x:t xml:space="preserve">ER-12</x:t>
        </x:is>
      </x:c>
      <x:c r="C87" s="5" t="inlineStr">
        <x:is>
          <x:t xml:space="preserve">Configuration</x:t>
        </x:is>
      </x:c>
      <x:c r="D87" s="5" t="inlineStr">
        <x:is>
          <x:t xml:space="preserve">List of All Production Systems (Servers, VMs, Data Stores)</x:t>
        </x:is>
      </x:c>
      <x:c r="E87" s="5" t="inlineStr">
        <x:is>
          <x:t xml:space="preserve">REQ-102-HIPAA</x:t>
        </x:is>
      </x:c>
      <x:c r="F87" s="5" t="inlineStr">
        <x:is>
          <x:t xml:space="preserve">0701.07a1Organizational.7</x:t>
        </x:is>
      </x:c>
      <x:c r="G87" s="19" t="inlineStr">
        <x:is>
          <x:t xml:space="preserve">Many:Many</x:t>
        </x:is>
      </x:c>
      <x:c r="H87" s="12">
        <x:f>COUNTIFS($E:$E,E87,$F:$F,F87)</x:f>
        <x:v>1</x:v>
      </x:c>
    </x:row>
    <x:row r="88">
      <x:c r="A88" s="5" t="inlineStr">
        <x:is>
          <x:t xml:space="preserve">HITRUST e1.csv</x:t>
        </x:is>
      </x:c>
      <x:c r="B88" s="5" t="inlineStr">
        <x:is>
          <x:t xml:space="preserve">ER-12</x:t>
        </x:is>
      </x:c>
      <x:c r="C88" s="5" t="inlineStr">
        <x:is>
          <x:t xml:space="preserve">Configuration</x:t>
        </x:is>
      </x:c>
      <x:c r="D88" s="5" t="inlineStr">
        <x:is>
          <x:t xml:space="preserve">List of All Production Systems (Servers, VMs, Data Stores)</x:t>
        </x:is>
      </x:c>
      <x:c r="E88" s="5" t="inlineStr">
        <x:is>
          <x:t xml:space="preserve">REQ-102-HIPAA</x:t>
        </x:is>
      </x:c>
      <x:c r="F88" s="5" t="inlineStr">
        <x:is>
          <x:t xml:space="preserve">0701.07a1Organizational.8</x:t>
        </x:is>
      </x:c>
      <x:c r="G88" s="19" t="inlineStr">
        <x:is>
          <x:t xml:space="preserve">Many:Many</x:t>
        </x:is>
      </x:c>
      <x:c r="H88" s="12">
        <x:f>COUNTIFS($E:$E,E88,$F:$F,F88)</x:f>
        <x:v>1</x:v>
      </x:c>
    </x:row>
    <x:row r="89">
      <x:c r="A89" s="5" t="inlineStr">
        <x:is>
          <x:t xml:space="preserve">HITRUST e1.csv</x:t>
        </x:is>
      </x:c>
      <x:c r="B89" s="5" t="inlineStr">
        <x:is>
          <x:t xml:space="preserve">ER-12</x:t>
        </x:is>
      </x:c>
      <x:c r="C89" s="5" t="inlineStr">
        <x:is>
          <x:t xml:space="preserve">Configuration</x:t>
        </x:is>
      </x:c>
      <x:c r="D89" s="5" t="inlineStr">
        <x:is>
          <x:t xml:space="preserve">List of All Production Systems (Servers, VMs, Data Stores)</x:t>
        </x:is>
      </x:c>
      <x:c r="E89" s="5" t="inlineStr">
        <x:is>
          <x:t xml:space="preserve">REQ-33-HIPAA</x:t>
        </x:is>
      </x:c>
      <x:c r="F89" s="5" t="inlineStr">
        <x:is>
          <x:t xml:space="preserve">07.07a1Organizational.8</x:t>
        </x:is>
      </x:c>
      <x:c r="G89" s="19" t="inlineStr">
        <x:is>
          <x:t xml:space="preserve">Many:Many</x:t>
        </x:is>
      </x:c>
      <x:c r="H89" s="12">
        <x:f>COUNTIFS($E:$E,E89,$F:$F,F89)</x:f>
        <x:v>1</x:v>
      </x:c>
    </x:row>
    <x:row r="90">
      <x:c r="A90" s="5" t="inlineStr">
        <x:is>
          <x:t xml:space="preserve">HITRUST e1.csv</x:t>
        </x:is>
      </x:c>
      <x:c r="B90" s="5" t="inlineStr">
        <x:is>
          <x:t xml:space="preserve">ER-12</x:t>
        </x:is>
      </x:c>
      <x:c r="C90" s="5" t="inlineStr">
        <x:is>
          <x:t xml:space="preserve">Configuration</x:t>
        </x:is>
      </x:c>
      <x:c r="D90" s="5" t="inlineStr">
        <x:is>
          <x:t xml:space="preserve">List of All Production Systems (Servers, VMs, Data Stores)</x:t>
        </x:is>
      </x:c>
      <x:c r="E90" s="5" t="inlineStr">
        <x:is>
          <x:t xml:space="preserve">REQ-33-HIPAA</x:t>
        </x:is>
      </x:c>
      <x:c r="F90" s="5" t="inlineStr">
        <x:is>
          <x:t xml:space="preserve">0701.07a1Organizational.7</x:t>
        </x:is>
      </x:c>
      <x:c r="G90" s="19" t="inlineStr">
        <x:is>
          <x:t xml:space="preserve">Many:Many</x:t>
        </x:is>
      </x:c>
      <x:c r="H90" s="12">
        <x:f>COUNTIFS($E:$E,E90,$F:$F,F90)</x:f>
        <x:v>1</x:v>
      </x:c>
    </x:row>
    <x:row r="91">
      <x:c r="A91" s="5" t="inlineStr">
        <x:is>
          <x:t xml:space="preserve">HITRUST e1.csv</x:t>
        </x:is>
      </x:c>
      <x:c r="B91" s="5" t="inlineStr">
        <x:is>
          <x:t xml:space="preserve">ER-12</x:t>
        </x:is>
      </x:c>
      <x:c r="C91" s="5" t="inlineStr">
        <x:is>
          <x:t xml:space="preserve">Configuration</x:t>
        </x:is>
      </x:c>
      <x:c r="D91" s="5" t="inlineStr">
        <x:is>
          <x:t xml:space="preserve">List of All Production Systems (Servers, VMs, Data Stores)</x:t>
        </x:is>
      </x:c>
      <x:c r="E91" s="5" t="inlineStr">
        <x:is>
          <x:t xml:space="preserve">REQ-33-HIPAA</x:t>
        </x:is>
      </x:c>
      <x:c r="F91" s="5" t="inlineStr">
        <x:is>
          <x:t xml:space="preserve">0701.07a1Organizational.8</x:t>
        </x:is>
      </x:c>
      <x:c r="G91" s="19" t="inlineStr">
        <x:is>
          <x:t xml:space="preserve">Many:Many</x:t>
        </x:is>
      </x:c>
      <x:c r="H91" s="12">
        <x:f>COUNTIFS($E:$E,E91,$F:$F,F91)</x:f>
        <x:v>1</x:v>
      </x:c>
    </x:row>
    <x:row r="92">
      <x:c r="A92" s="5" t="inlineStr">
        <x:is>
          <x:t xml:space="preserve">HITRUST e1.csv</x:t>
        </x:is>
      </x:c>
      <x:c r="B92" s="5" t="inlineStr">
        <x:is>
          <x:t xml:space="preserve">ER-12</x:t>
        </x:is>
      </x:c>
      <x:c r="C92" s="5" t="inlineStr">
        <x:is>
          <x:t xml:space="preserve">Configuration</x:t>
        </x:is>
      </x:c>
      <x:c r="D92" s="5" t="inlineStr">
        <x:is>
          <x:t xml:space="preserve">List of All Production Systems (Servers, VMs, Data Stores)</x:t>
        </x:is>
      </x:c>
      <x:c r="E92" s="5" t="inlineStr">
        <x:is>
          <x:t xml:space="preserve">REQ-34-HIPAA</x:t>
        </x:is>
      </x:c>
      <x:c r="F92" s="5" t="inlineStr">
        <x:is>
          <x:t xml:space="preserve">07.07a1Organizational.8</x:t>
        </x:is>
      </x:c>
      <x:c r="G92" s="19" t="inlineStr">
        <x:is>
          <x:t xml:space="preserve">Many:Many</x:t>
        </x:is>
      </x:c>
      <x:c r="H92" s="12">
        <x:f>COUNTIFS($E:$E,E92,$F:$F,F92)</x:f>
        <x:v>1</x:v>
      </x:c>
    </x:row>
    <x:row r="93">
      <x:c r="A93" s="5" t="inlineStr">
        <x:is>
          <x:t xml:space="preserve">HITRUST e1.csv</x:t>
        </x:is>
      </x:c>
      <x:c r="B93" s="5" t="inlineStr">
        <x:is>
          <x:t xml:space="preserve">ER-12</x:t>
        </x:is>
      </x:c>
      <x:c r="C93" s="5" t="inlineStr">
        <x:is>
          <x:t xml:space="preserve">Configuration</x:t>
        </x:is>
      </x:c>
      <x:c r="D93" s="5" t="inlineStr">
        <x:is>
          <x:t xml:space="preserve">List of All Production Systems (Servers, VMs, Data Stores)</x:t>
        </x:is>
      </x:c>
      <x:c r="E93" s="5" t="inlineStr">
        <x:is>
          <x:t xml:space="preserve">REQ-34-HIPAA</x:t>
        </x:is>
      </x:c>
      <x:c r="F93" s="5" t="inlineStr">
        <x:is>
          <x:t xml:space="preserve">0701.07a1Organizational.7</x:t>
        </x:is>
      </x:c>
      <x:c r="G93" s="19" t="inlineStr">
        <x:is>
          <x:t xml:space="preserve">Many:Many</x:t>
        </x:is>
      </x:c>
      <x:c r="H93" s="12">
        <x:f>COUNTIFS($E:$E,E93,$F:$F,F93)</x:f>
        <x:v>1</x:v>
      </x:c>
    </x:row>
    <x:row r="94">
      <x:c r="A94" s="5" t="inlineStr">
        <x:is>
          <x:t xml:space="preserve">HITRUST e1.csv</x:t>
        </x:is>
      </x:c>
      <x:c r="B94" s="5" t="inlineStr">
        <x:is>
          <x:t xml:space="preserve">ER-12</x:t>
        </x:is>
      </x:c>
      <x:c r="C94" s="5" t="inlineStr">
        <x:is>
          <x:t xml:space="preserve">Configuration</x:t>
        </x:is>
      </x:c>
      <x:c r="D94" s="5" t="inlineStr">
        <x:is>
          <x:t xml:space="preserve">List of All Production Systems (Servers, VMs, Data Stores)</x:t>
        </x:is>
      </x:c>
      <x:c r="E94" s="5" t="inlineStr">
        <x:is>
          <x:t xml:space="preserve">REQ-34-HIPAA</x:t>
        </x:is>
      </x:c>
      <x:c r="F94" s="5" t="inlineStr">
        <x:is>
          <x:t xml:space="preserve">0701.07a1Organizational.8</x:t>
        </x:is>
      </x:c>
      <x:c r="G94" s="19" t="inlineStr">
        <x:is>
          <x:t xml:space="preserve">Many:Many</x:t>
        </x:is>
      </x:c>
      <x:c r="H94" s="12">
        <x:f>COUNTIFS($E:$E,E94,$F:$F,F94)</x:f>
        <x:v>1</x:v>
      </x:c>
    </x:row>
    <x:row r="95">
      <x:c r="A95" s="5" t="inlineStr">
        <x:is>
          <x:t xml:space="preserve">HITRUST e1.csv</x:t>
        </x:is>
      </x:c>
      <x:c r="B95" s="5" t="inlineStr">
        <x:is>
          <x:t xml:space="preserve">ER-12</x:t>
        </x:is>
      </x:c>
      <x:c r="C95" s="5" t="inlineStr">
        <x:is>
          <x:t xml:space="preserve">Configuration</x:t>
        </x:is>
      </x:c>
      <x:c r="D95" s="5" t="inlineStr">
        <x:is>
          <x:t xml:space="preserve">List of All Production Systems (Servers, VMs, Data Stores)</x:t>
        </x:is>
      </x:c>
      <x:c r="E95" s="5" t="inlineStr">
        <x:is>
          <x:t xml:space="preserve">REQ-43-HIPAA</x:t>
        </x:is>
      </x:c>
      <x:c r="F95" s="5" t="inlineStr">
        <x:is>
          <x:t xml:space="preserve">07.07a1Organizational.8</x:t>
        </x:is>
      </x:c>
      <x:c r="G95" s="19" t="inlineStr">
        <x:is>
          <x:t xml:space="preserve">Many:Many</x:t>
        </x:is>
      </x:c>
      <x:c r="H95" s="12">
        <x:f>COUNTIFS($E:$E,E95,$F:$F,F95)</x:f>
        <x:v>1</x:v>
      </x:c>
    </x:row>
    <x:row r="96">
      <x:c r="A96" s="5" t="inlineStr">
        <x:is>
          <x:t xml:space="preserve">HITRUST e1.csv</x:t>
        </x:is>
      </x:c>
      <x:c r="B96" s="5" t="inlineStr">
        <x:is>
          <x:t xml:space="preserve">ER-12</x:t>
        </x:is>
      </x:c>
      <x:c r="C96" s="5" t="inlineStr">
        <x:is>
          <x:t xml:space="preserve">Configuration</x:t>
        </x:is>
      </x:c>
      <x:c r="D96" s="5" t="inlineStr">
        <x:is>
          <x:t xml:space="preserve">List of All Production Systems (Servers, VMs, Data Stores)</x:t>
        </x:is>
      </x:c>
      <x:c r="E96" s="5" t="inlineStr">
        <x:is>
          <x:t xml:space="preserve">REQ-43-HIPAA</x:t>
        </x:is>
      </x:c>
      <x:c r="F96" s="5" t="inlineStr">
        <x:is>
          <x:t xml:space="preserve">0701.07a1Organizational.7</x:t>
        </x:is>
      </x:c>
      <x:c r="G96" s="19" t="inlineStr">
        <x:is>
          <x:t xml:space="preserve">Many:Many</x:t>
        </x:is>
      </x:c>
      <x:c r="H96" s="12">
        <x:f>COUNTIFS($E:$E,E96,$F:$F,F96)</x:f>
        <x:v>1</x:v>
      </x:c>
    </x:row>
    <x:row r="97">
      <x:c r="A97" s="5" t="inlineStr">
        <x:is>
          <x:t xml:space="preserve">HITRUST e1.csv</x:t>
        </x:is>
      </x:c>
      <x:c r="B97" s="5" t="inlineStr">
        <x:is>
          <x:t xml:space="preserve">ER-12</x:t>
        </x:is>
      </x:c>
      <x:c r="C97" s="5" t="inlineStr">
        <x:is>
          <x:t xml:space="preserve">Configuration</x:t>
        </x:is>
      </x:c>
      <x:c r="D97" s="5" t="inlineStr">
        <x:is>
          <x:t xml:space="preserve">List of All Production Systems (Servers, VMs, Data Stores)</x:t>
        </x:is>
      </x:c>
      <x:c r="E97" s="5" t="inlineStr">
        <x:is>
          <x:t xml:space="preserve">REQ-43-HIPAA</x:t>
        </x:is>
      </x:c>
      <x:c r="F97" s="5" t="inlineStr">
        <x:is>
          <x:t xml:space="preserve">0701.07a1Organizational.8</x:t>
        </x:is>
      </x:c>
      <x:c r="G97" s="19" t="inlineStr">
        <x:is>
          <x:t xml:space="preserve">Many:Many</x:t>
        </x:is>
      </x:c>
      <x:c r="H97" s="12">
        <x:f>COUNTIFS($E:$E,E97,$F:$F,F97)</x:f>
        <x:v>1</x:v>
      </x:c>
    </x:row>
    <x:row r="98">
      <x:c r="A98" s="5" t="inlineStr">
        <x:is>
          <x:t xml:space="preserve">HITRUST e1.csv</x:t>
        </x:is>
      </x:c>
      <x:c r="B98" s="5" t="inlineStr">
        <x:is>
          <x:t xml:space="preserve">ER-83</x:t>
        </x:is>
      </x:c>
      <x:c r="C98" s="5" t="inlineStr">
        <x:is>
          <x:t xml:space="preserve">Configuration</x:t>
        </x:is>
      </x:c>
      <x:c r="D98" s="5" t="inlineStr">
        <x:is>
          <x:t xml:space="preserve">Network Diagram and Segmentation</x:t>
        </x:is>
      </x:c>
      <x:c r="E98" s="5" t="inlineStr">
        <x:is>
          <x:t xml:space="preserve">REQ-36-HIPAA</x:t>
        </x:is>
      </x:c>
      <x:c r="F98" s="5" t="inlineStr">
        <x:is>
          <x:t xml:space="preserve">0504.09m1Organizational.13</x:t>
        </x:is>
      </x:c>
      <x:c r="G98" s="20" t="inlineStr">
        <x:is>
          <x:t xml:space="preserve">1:Many</x:t>
        </x:is>
      </x:c>
      <x:c r="H98" s="12">
        <x:f>COUNTIFS($E:$E,E98,$F:$F,F98)</x:f>
        <x:v>1</x:v>
      </x:c>
    </x:row>
    <x:row r="99">
      <x:c r="A99" s="5" t="inlineStr">
        <x:is>
          <x:t xml:space="preserve">HITRUST e1.csv</x:t>
        </x:is>
      </x:c>
      <x:c r="B99" s="5" t="inlineStr">
        <x:is>
          <x:t xml:space="preserve">ER-83</x:t>
        </x:is>
      </x:c>
      <x:c r="C99" s="5" t="inlineStr">
        <x:is>
          <x:t xml:space="preserve">Configuration</x:t>
        </x:is>
      </x:c>
      <x:c r="D99" s="5" t="inlineStr">
        <x:is>
          <x:t xml:space="preserve">Network Diagram and Segmentation</x:t>
        </x:is>
      </x:c>
      <x:c r="E99" s="5" t="inlineStr">
        <x:is>
          <x:t xml:space="preserve">REQ-36-HIPAA</x:t>
        </x:is>
      </x:c>
      <x:c r="F99" s="5" t="inlineStr">
        <x:is>
          <x:t xml:space="preserve">0805.01m1Organizational.12</x:t>
        </x:is>
      </x:c>
      <x:c r="G99" s="20" t="inlineStr">
        <x:is>
          <x:t xml:space="preserve">1:Many</x:t>
        </x:is>
      </x:c>
      <x:c r="H99" s="12">
        <x:f>COUNTIFS($E:$E,E99,$F:$F,F99)</x:f>
        <x:v>1</x:v>
      </x:c>
    </x:row>
    <x:row r="100">
      <x:c r="A100" s="5" t="inlineStr">
        <x:is>
          <x:t xml:space="preserve">HITRUST e1.csv</x:t>
        </x:is>
      </x:c>
      <x:c r="B100" s="5" t="inlineStr">
        <x:is>
          <x:t xml:space="preserve">ER-89</x:t>
        </x:is>
      </x:c>
      <x:c r="C100" s="5" t="inlineStr">
        <x:is>
          <x:t xml:space="preserve">Sample</x:t>
        </x:is>
      </x:c>
      <x:c r="D100" s="5" t="inlineStr">
        <x:is>
          <x:t xml:space="preserve">New Hire Access Request Form</x:t>
        </x:is>
      </x:c>
      <x:c r="E100" s="5" t="inlineStr">
        <x:is>
          <x:t xml:space="preserve">REQ-30-HIPAA</x:t>
        </x:is>
      </x:c>
      <x:c r="F100" s="5" t="inlineStr">
        <x:is>
          <x:t xml:space="preserve">1143.01c1System.123</x:t>
        </x:is>
      </x:c>
      <x:c r="G100" s="18" t="inlineStr">
        <x:is>
          <x:t xml:space="preserve">1:1</x:t>
        </x:is>
      </x:c>
      <x:c r="H100" s="12">
        <x:f>COUNTIFS($E:$E,E100,$F:$F,F100)</x:f>
        <x:v>1</x:v>
      </x:c>
    </x:row>
    <x:row r="101">
      <x:c r="A101" s="5" t="inlineStr">
        <x:is>
          <x:t xml:space="preserve">HITRUST e1.csv</x:t>
        </x:is>
      </x:c>
      <x:c r="B101" s="5" t="inlineStr">
        <x:is>
          <x:t xml:space="preserve">ER-33</x:t>
        </x:is>
      </x:c>
      <x:c r="C101" s="5" t="inlineStr">
        <x:is>
          <x:t xml:space="preserve">Sample</x:t>
        </x:is>
      </x:c>
      <x:c r="D101" s="5" t="inlineStr">
        <x:is>
          <x:t xml:space="preserve">New Hire Security Awareness Training</x:t>
        </x:is>
      </x:c>
      <x:c r="E101" s="5" t="inlineStr">
        <x:is>
          <x:t xml:space="preserve">REQ-12-HIPAA</x:t>
        </x:is>
      </x:c>
      <x:c r="F101" s="5" t="inlineStr">
        <x:is>
          <x:t xml:space="preserve">13.02e1Organizational.6</x:t>
        </x:is>
      </x:c>
      <x:c r="G101" s="20" t="inlineStr">
        <x:is>
          <x:t xml:space="preserve">1:Many</x:t>
        </x:is>
      </x:c>
      <x:c r="H101" s="12">
        <x:f>COUNTIFS($E:$E,E101,$F:$F,F101)</x:f>
        <x:v>1</x:v>
      </x:c>
    </x:row>
    <x:row r="102">
      <x:c r="A102" s="5" t="inlineStr">
        <x:is>
          <x:t xml:space="preserve">HITRUST e1.csv</x:t>
        </x:is>
      </x:c>
      <x:c r="B102" s="5" t="inlineStr">
        <x:is>
          <x:t xml:space="preserve">ER-33</x:t>
        </x:is>
      </x:c>
      <x:c r="C102" s="5" t="inlineStr">
        <x:is>
          <x:t xml:space="preserve">Sample</x:t>
        </x:is>
      </x:c>
      <x:c r="D102" s="5" t="inlineStr">
        <x:is>
          <x:t xml:space="preserve">New Hire Security Awareness Training</x:t>
        </x:is>
      </x:c>
      <x:c r="E102" s="5" t="inlineStr">
        <x:is>
          <x:t xml:space="preserve">REQ-12-HIPAA</x:t>
        </x:is>
      </x:c>
      <x:c r="F102" s="5" t="inlineStr">
        <x:is>
          <x:t xml:space="preserve">1308.09j1Organizational.5.a</x:t>
        </x:is>
      </x:c>
      <x:c r="G102" s="20" t="inlineStr">
        <x:is>
          <x:t xml:space="preserve">1:Many</x:t>
        </x:is>
      </x:c>
      <x:c r="H102" s="12">
        <x:f>COUNTIFS($E:$E,E102,$F:$F,F102)</x:f>
        <x:v>1</x:v>
      </x:c>
    </x:row>
    <x:row r="103">
      <x:c r="A103" s="5" t="inlineStr">
        <x:is>
          <x:t xml:space="preserve">HITRUST e1.csv</x:t>
        </x:is>
      </x:c>
      <x:c r="B103" s="5" t="inlineStr">
        <x:is>
          <x:t xml:space="preserve">ER-33</x:t>
        </x:is>
      </x:c>
      <x:c r="C103" s="5" t="inlineStr">
        <x:is>
          <x:t xml:space="preserve">Sample</x:t>
        </x:is>
      </x:c>
      <x:c r="D103" s="5" t="inlineStr">
        <x:is>
          <x:t xml:space="preserve">New Hire Security Awareness Training</x:t>
        </x:is>
      </x:c>
      <x:c r="E103" s="5" t="inlineStr">
        <x:is>
          <x:t xml:space="preserve">REQ-12-HIPAA</x:t>
        </x:is>
      </x:c>
      <x:c r="F103" s="5" t="inlineStr">
        <x:is>
          <x:t xml:space="preserve">13998.02e1Organizational.2</x:t>
        </x:is>
      </x:c>
      <x:c r="G103" s="20" t="inlineStr">
        <x:is>
          <x:t xml:space="preserve">1:Many</x:t>
        </x:is>
      </x:c>
      <x:c r="H103" s="12">
        <x:f>COUNTIFS($E:$E,E103,$F:$F,F103)</x:f>
        <x:v>1</x:v>
      </x:c>
    </x:row>
    <x:row r="104">
      <x:c r="A104" s="5" t="inlineStr">
        <x:is>
          <x:t xml:space="preserve">HITRUST e1.csv</x:t>
        </x:is>
      </x:c>
      <x:c r="B104" s="5" t="inlineStr">
        <x:is>
          <x:t xml:space="preserve">ER-67</x:t>
        </x:is>
      </x:c>
      <x:c r="C104" s="5" t="inlineStr">
        <x:is>
          <x:t xml:space="preserve">Configuration</x:t>
        </x:is>
      </x:c>
      <x:c r="D104" s="5" t="inlineStr">
        <x:is>
          <x:t xml:space="preserve">Password Vault and Shared Accounts</x:t>
        </x:is>
      </x:c>
      <x:c r="E104" s="5" t="inlineStr">
        <x:is>
          <x:t xml:space="preserve">REQ-28-HIPAA</x:t>
        </x:is>
      </x:c>
      <x:c r="F104" s="5" t="inlineStr">
        <x:is>
          <x:t xml:space="preserve">1123.01q1System.2</x:t>
        </x:is>
      </x:c>
      <x:c r="G104" s="17" t="inlineStr">
        <x:is>
          <x:t xml:space="preserve">Many:1</x:t>
        </x:is>
      </x:c>
      <x:c r="H104" s="12">
        <x:f>COUNTIFS($E:$E,E104,$F:$F,F104)</x:f>
        <x:v>1</x:v>
      </x:c>
    </x:row>
    <x:row r="105">
      <x:c r="A105" s="5" t="inlineStr">
        <x:is>
          <x:t xml:space="preserve">HITRUST e1.csv</x:t>
        </x:is>
      </x:c>
      <x:c r="B105" s="5" t="inlineStr">
        <x:is>
          <x:t xml:space="preserve">ER-67</x:t>
        </x:is>
      </x:c>
      <x:c r="C105" s="5" t="inlineStr">
        <x:is>
          <x:t xml:space="preserve">Configuration</x:t>
        </x:is>
      </x:c>
      <x:c r="D105" s="5" t="inlineStr">
        <x:is>
          <x:t xml:space="preserve">Password Vault and Shared Accounts</x:t>
        </x:is>
      </x:c>
      <x:c r="E105" s="5" t="inlineStr">
        <x:is>
          <x:t xml:space="preserve">REQ-31-HIPAA</x:t>
        </x:is>
      </x:c>
      <x:c r="F105" s="5" t="inlineStr">
        <x:is>
          <x:t xml:space="preserve">1123.01q1System.2</x:t>
        </x:is>
      </x:c>
      <x:c r="G105" s="17" t="inlineStr">
        <x:is>
          <x:t xml:space="preserve">Many:1</x:t>
        </x:is>
      </x:c>
      <x:c r="H105" s="12">
        <x:f>COUNTIFS($E:$E,E105,$F:$F,F105)</x:f>
        <x:v>1</x:v>
      </x:c>
    </x:row>
    <x:row r="106">
      <x:c r="A106" s="5" t="inlineStr">
        <x:is>
          <x:t xml:space="preserve">HITRUST e1.csv</x:t>
        </x:is>
      </x:c>
      <x:c r="B106" s="5" t="inlineStr">
        <x:is>
          <x:t xml:space="preserve">ER-24</x:t>
        </x:is>
      </x:c>
      <x:c r="C106" s="5" t="inlineStr">
        <x:is>
          <x:t xml:space="preserve">Policy</x:t>
        </x:is>
      </x:c>
      <x:c r="D106" s="5" t="inlineStr">
        <x:is>
          <x:t xml:space="preserve">Password and Multi-Factor Authentication</x:t>
        </x:is>
      </x:c>
      <x:c r="E106" s="5" t="inlineStr">
        <x:is>
          <x:t xml:space="preserve">REQ-26-HIPAA</x:t>
        </x:is>
      </x:c>
      <x:c r="F106" s="5" t="inlineStr">
        <x:is>
          <x:t xml:space="preserve">10.01d1System.10</x:t>
        </x:is>
      </x:c>
      <x:c r="G106" s="20" t="inlineStr">
        <x:is>
          <x:t xml:space="preserve">1:Many</x:t>
        </x:is>
      </x:c>
      <x:c r="H106" s="12">
        <x:f>COUNTIFS($E:$E,E106,$F:$F,F106)</x:f>
        <x:v>2</x:v>
      </x:c>
    </x:row>
    <x:row r="107">
      <x:c r="A107" s="5" t="inlineStr">
        <x:is>
          <x:t xml:space="preserve">HITRUST e1.csv</x:t>
        </x:is>
      </x:c>
      <x:c r="B107" s="5" t="inlineStr">
        <x:is>
          <x:t xml:space="preserve">ER-24</x:t>
        </x:is>
      </x:c>
      <x:c r="C107" s="5" t="inlineStr">
        <x:is>
          <x:t xml:space="preserve">Policy</x:t>
        </x:is>
      </x:c>
      <x:c r="D107" s="5" t="inlineStr">
        <x:is>
          <x:t xml:space="preserve">Password and Multi-Factor Authentication</x:t>
        </x:is>
      </x:c>
      <x:c r="E107" s="5" t="inlineStr">
        <x:is>
          <x:t xml:space="preserve">REQ-26-HIPAA</x:t>
        </x:is>
      </x:c>
      <x:c r="F107" s="5" t="inlineStr">
        <x:is>
          <x:t xml:space="preserve">11.01p1System.5</x:t>
        </x:is>
      </x:c>
      <x:c r="G107" s="20" t="inlineStr">
        <x:is>
          <x:t xml:space="preserve">1:Many</x:t>
        </x:is>
      </x:c>
      <x:c r="H107" s="12">
        <x:f>COUNTIFS($E:$E,E107,$F:$F,F107)</x:f>
        <x:v>1</x:v>
      </x:c>
    </x:row>
    <x:row r="108">
      <x:c r="A108" s="5" t="inlineStr">
        <x:is>
          <x:t xml:space="preserve">HITRUST e1.csv</x:t>
        </x:is>
      </x:c>
      <x:c r="B108" s="5" t="inlineStr">
        <x:is>
          <x:t xml:space="preserve">ER-25</x:t>
        </x:is>
      </x:c>
      <x:c r="C108" s="5" t="inlineStr">
        <x:is>
          <x:t xml:space="preserve">Configuration</x:t>
        </x:is>
      </x:c>
      <x:c r="D108" s="5" t="inlineStr">
        <x:is>
          <x:t xml:space="preserve">Passwords for All In-Scope Production Systems</x:t>
        </x:is>
      </x:c>
      <x:c r="E108" s="5" t="inlineStr">
        <x:is>
          <x:t xml:space="preserve">REQ-26-HIPAA</x:t>
        </x:is>
      </x:c>
      <x:c r="F108" s="5" t="inlineStr">
        <x:is>
          <x:t xml:space="preserve">10.01d1System.10</x:t>
        </x:is>
      </x:c>
      <x:c r="G108" s="18" t="inlineStr">
        <x:is>
          <x:t xml:space="preserve">1:1</x:t>
        </x:is>
      </x:c>
      <x:c r="H108" s="12">
        <x:f>COUNTIFS($E:$E,E108,$F:$F,F108)</x:f>
        <x:v>2</x:v>
      </x:c>
    </x:row>
    <x:row r="109">
      <x:c r="A109" s="5" t="inlineStr">
        <x:is>
          <x:t xml:space="preserve">HITRUST e1.csv</x:t>
        </x:is>
      </x:c>
      <x:c r="B109" s="5" t="inlineStr">
        <x:is>
          <x:t xml:space="preserve">ER-105</x:t>
        </x:is>
      </x:c>
      <x:c r="C109" s="5" t="inlineStr">
        <x:is>
          <x:t xml:space="preserve">Operational</x:t>
        </x:is>
      </x:c>
      <x:c r="D109" s="5" t="inlineStr">
        <x:is>
          <x:t xml:space="preserve">Risk Assessment</x:t>
        </x:is>
      </x:c>
      <x:c r="E109" s="5" t="inlineStr">
        <x:is>
          <x:t xml:space="preserve">REQ-110-HIPAA</x:t>
        </x:is>
      </x:c>
      <x:c r="F109" s="5" t="inlineStr">
        <x:is>
          <x:t xml:space="preserve">1704.03b1Organizational.12</x:t>
        </x:is>
      </x:c>
      <x:c r="G109" s="17" t="inlineStr">
        <x:is>
          <x:t xml:space="preserve">Many:1</x:t>
        </x:is>
      </x:c>
      <x:c r="H109" s="12">
        <x:f>COUNTIFS($E:$E,E109,$F:$F,F109)</x:f>
        <x:v>1</x:v>
      </x:c>
    </x:row>
    <x:row r="110">
      <x:c r="A110" s="5" t="inlineStr">
        <x:is>
          <x:t xml:space="preserve">HITRUST e1.csv</x:t>
        </x:is>
      </x:c>
      <x:c r="B110" s="5" t="inlineStr">
        <x:is>
          <x:t xml:space="preserve">ER-105</x:t>
        </x:is>
      </x:c>
      <x:c r="C110" s="5" t="inlineStr">
        <x:is>
          <x:t xml:space="preserve">Operational</x:t>
        </x:is>
      </x:c>
      <x:c r="D110" s="5" t="inlineStr">
        <x:is>
          <x:t xml:space="preserve">Risk Assessment</x:t>
        </x:is>
      </x:c>
      <x:c r="E110" s="5" t="inlineStr">
        <x:is>
          <x:t xml:space="preserve">REQ-17-HIPAA</x:t>
        </x:is>
      </x:c>
      <x:c r="F110" s="5" t="inlineStr">
        <x:is>
          <x:t xml:space="preserve">1704.03b1Organizational.12</x:t>
        </x:is>
      </x:c>
      <x:c r="G110" s="17" t="inlineStr">
        <x:is>
          <x:t xml:space="preserve">Many:1</x:t>
        </x:is>
      </x:c>
      <x:c r="H110" s="12">
        <x:f>COUNTIFS($E:$E,E110,$F:$F,F110)</x:f>
        <x:v>2</x:v>
      </x:c>
    </x:row>
    <x:row r="111">
      <x:c r="A111" s="5" t="inlineStr">
        <x:is>
          <x:t xml:space="preserve">HITRUST e1.csv</x:t>
        </x:is>
      </x:c>
      <x:c r="B111" s="5" t="inlineStr">
        <x:is>
          <x:t xml:space="preserve">ER-105</x:t>
        </x:is>
      </x:c>
      <x:c r="C111" s="5" t="inlineStr">
        <x:is>
          <x:t xml:space="preserve">Operational</x:t>
        </x:is>
      </x:c>
      <x:c r="D111" s="5" t="inlineStr">
        <x:is>
          <x:t xml:space="preserve">Risk Assessment</x:t>
        </x:is>
      </x:c>
      <x:c r="E111" s="5" t="inlineStr">
        <x:is>
          <x:t xml:space="preserve">REQ-20-HIPAA</x:t>
        </x:is>
      </x:c>
      <x:c r="F111" s="5" t="inlineStr">
        <x:is>
          <x:t xml:space="preserve">1704.03b1Organizational.12</x:t>
        </x:is>
      </x:c>
      <x:c r="G111" s="17" t="inlineStr">
        <x:is>
          <x:t xml:space="preserve">Many:1</x:t>
        </x:is>
      </x:c>
      <x:c r="H111" s="12">
        <x:f>COUNTIFS($E:$E,E111,$F:$F,F111)</x:f>
        <x:v>2</x:v>
      </x:c>
    </x:row>
    <x:row r="112">
      <x:c r="A112" s="5" t="inlineStr">
        <x:is>
          <x:t xml:space="preserve">HITRUST e1.csv</x:t>
        </x:is>
      </x:c>
      <x:c r="B112" s="5" t="inlineStr">
        <x:is>
          <x:t xml:space="preserve">ER-41</x:t>
        </x:is>
      </x:c>
      <x:c r="C112" s="5" t="inlineStr">
        <x:is>
          <x:t xml:space="preserve">Policy</x:t>
        </x:is>
      </x:c>
      <x:c r="D112" s="5" t="inlineStr">
        <x:is>
          <x:t xml:space="preserve">Risk Management</x:t>
        </x:is>
      </x:c>
      <x:c r="E112" s="5" t="inlineStr">
        <x:is>
          <x:t xml:space="preserve">REQ-17-HIPAA</x:t>
        </x:is>
      </x:c>
      <x:c r="F112" s="5" t="inlineStr">
        <x:is>
          <x:t xml:space="preserve">1701.03a1Organizational.12345678</x:t>
        </x:is>
      </x:c>
      <x:c r="G112" s="19" t="inlineStr">
        <x:is>
          <x:t xml:space="preserve">Many:Many</x:t>
        </x:is>
      </x:c>
      <x:c r="H112" s="12">
        <x:f>COUNTIFS($E:$E,E112,$F:$F,F112)</x:f>
        <x:v>1</x:v>
      </x:c>
    </x:row>
    <x:row r="113">
      <x:c r="A113" s="5" t="inlineStr">
        <x:is>
          <x:t xml:space="preserve">HITRUST e1.csv</x:t>
        </x:is>
      </x:c>
      <x:c r="B113" s="5" t="inlineStr">
        <x:is>
          <x:t xml:space="preserve">ER-41</x:t>
        </x:is>
      </x:c>
      <x:c r="C113" s="5" t="inlineStr">
        <x:is>
          <x:t xml:space="preserve">Policy</x:t>
        </x:is>
      </x:c>
      <x:c r="D113" s="5" t="inlineStr">
        <x:is>
          <x:t xml:space="preserve">Risk Management</x:t>
        </x:is>
      </x:c>
      <x:c r="E113" s="5" t="inlineStr">
        <x:is>
          <x:t xml:space="preserve">REQ-17-HIPAA</x:t>
        </x:is>
      </x:c>
      <x:c r="F113" s="5" t="inlineStr">
        <x:is>
          <x:t xml:space="preserve">1704.03b1Organizational.12</x:t>
        </x:is>
      </x:c>
      <x:c r="G113" s="19" t="inlineStr">
        <x:is>
          <x:t xml:space="preserve">Many:Many</x:t>
        </x:is>
      </x:c>
      <x:c r="H113" s="12">
        <x:f>COUNTIFS($E:$E,E113,$F:$F,F113)</x:f>
        <x:v>2</x:v>
      </x:c>
    </x:row>
    <x:row r="114">
      <x:c r="A114" s="5" t="inlineStr">
        <x:is>
          <x:t xml:space="preserve">HITRUST e1.csv</x:t>
        </x:is>
      </x:c>
      <x:c r="B114" s="5" t="inlineStr">
        <x:is>
          <x:t xml:space="preserve">ER-41</x:t>
        </x:is>
      </x:c>
      <x:c r="C114" s="5" t="inlineStr">
        <x:is>
          <x:t xml:space="preserve">Policy</x:t>
        </x:is>
      </x:c>
      <x:c r="D114" s="5" t="inlineStr">
        <x:is>
          <x:t xml:space="preserve">Risk Management</x:t>
        </x:is>
      </x:c>
      <x:c r="E114" s="5" t="inlineStr">
        <x:is>
          <x:t xml:space="preserve">REQ-20-HIPAA</x:t>
        </x:is>
      </x:c>
      <x:c r="F114" s="5" t="inlineStr">
        <x:is>
          <x:t xml:space="preserve">1701.03a1Organizational.12345678</x:t>
        </x:is>
      </x:c>
      <x:c r="G114" s="19" t="inlineStr">
        <x:is>
          <x:t xml:space="preserve">Many:Many</x:t>
        </x:is>
      </x:c>
      <x:c r="H114" s="12">
        <x:f>COUNTIFS($E:$E,E114,$F:$F,F114)</x:f>
        <x:v>1</x:v>
      </x:c>
    </x:row>
    <x:row r="115">
      <x:c r="A115" s="5" t="inlineStr">
        <x:is>
          <x:t xml:space="preserve">HITRUST e1.csv</x:t>
        </x:is>
      </x:c>
      <x:c r="B115" s="5" t="inlineStr">
        <x:is>
          <x:t xml:space="preserve">ER-41</x:t>
        </x:is>
      </x:c>
      <x:c r="C115" s="5" t="inlineStr">
        <x:is>
          <x:t xml:space="preserve">Policy</x:t>
        </x:is>
      </x:c>
      <x:c r="D115" s="5" t="inlineStr">
        <x:is>
          <x:t xml:space="preserve">Risk Management</x:t>
        </x:is>
      </x:c>
      <x:c r="E115" s="5" t="inlineStr">
        <x:is>
          <x:t xml:space="preserve">REQ-20-HIPAA</x:t>
        </x:is>
      </x:c>
      <x:c r="F115" s="5" t="inlineStr">
        <x:is>
          <x:t xml:space="preserve">1704.03b1Organizational.12</x:t>
        </x:is>
      </x:c>
      <x:c r="G115" s="19" t="inlineStr">
        <x:is>
          <x:t xml:space="preserve">Many:Many</x:t>
        </x:is>
      </x:c>
      <x:c r="H115" s="12">
        <x:f>COUNTIFS($E:$E,E115,$F:$F,F115)</x:f>
        <x:v>2</x:v>
      </x:c>
    </x:row>
    <x:row r="116">
      <x:c r="A116" s="5" t="inlineStr">
        <x:is>
          <x:t xml:space="preserve">HITRUST e1.csv</x:t>
        </x:is>
      </x:c>
      <x:c r="B116" s="5" t="inlineStr">
        <x:is>
          <x:t xml:space="preserve">ER-62</x:t>
        </x:is>
      </x:c>
      <x:c r="C116" s="5" t="inlineStr">
        <x:is>
          <x:t xml:space="preserve">Sample</x:t>
        </x:is>
      </x:c>
      <x:c r="D116" s="5" t="inlineStr">
        <x:is>
          <x:t xml:space="preserve">Software/Infrastructure Production Change Ticket</x:t>
        </x:is>
      </x:c>
      <x:c r="E116" s="5" t="inlineStr">
        <x:is>
          <x:t xml:space="preserve">REQ-55-HIPAA</x:t>
        </x:is>
      </x:c>
      <x:c r="F116" s="5" t="inlineStr">
        <x:is>
          <x:t xml:space="preserve">06.09b1System.2</x:t>
        </x:is>
      </x:c>
      <x:c r="G116" s="18" t="inlineStr">
        <x:is>
          <x:t xml:space="preserve">1:1</x:t>
        </x:is>
      </x:c>
      <x:c r="H116" s="12">
        <x:f>COUNTIFS($E:$E,E116,$F:$F,F116)</x:f>
        <x:v>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0" customWidth="1"/>
    <x:col min="2" max="2" width="28" customWidth="1"/>
    <x:col min="3" max="3" width="16" customWidth="1"/>
    <x:col min="4" max="4" width="72" customWidth="1"/>
    <x:col min="5" max="5" width="18" customWidth="1"/>
    <x:col min="6" max="6" width="20" customWidth="1"/>
    <x:col min="7" max="7" width="22" customWidth="1"/>
  </x:cols>
  <x:sheetData>
    <x:row r="1" ht="32" customHeight="1">
      <x:c r="A1" s="11" t="inlineStr">
        <x:is>
          <x:t xml:space="preserve">HIPAA Control</x:t>
        </x:is>
      </x:c>
      <x:c r="B1" s="11" t="inlineStr">
        <x:is>
          <x:t xml:space="preserve">HITRUST e1 Control</x:t>
        </x:is>
      </x:c>
      <x:c r="C1" s="11" t="inlineStr">
        <x:is>
          <x:t xml:space="preserve">Action Item Count</x:t>
        </x:is>
      </x:c>
      <x:c r="D1" s="11" t="inlineStr">
        <x:is>
          <x:t xml:space="preserve">Action Items</x:t>
        </x:is>
      </x:c>
      <x:c r="E1" s="11" t="inlineStr">
        <x:is>
          <x:t xml:space="preserve">Categories</x:t>
        </x:is>
      </x:c>
      <x:c r="F1" s="11" t="inlineStr">
        <x:is>
          <x:t xml:space="preserve">Source Files</x:t>
        </x:is>
      </x:c>
      <x:c r="G1" s="11" t="inlineStr">
        <x:is>
          <x:t xml:space="preserve">Mapping Types Seen</x:t>
        </x:is>
      </x:c>
    </x:row>
    <x:row r="2" ht="24" customHeight="1">
      <x:c r="A2" s="5" t="inlineStr">
        <x:is>
          <x:t xml:space="preserve">REQ-1-HIPAA</x:t>
        </x:is>
      </x:c>
      <x:c r="B2" s="5" t="inlineStr">
        <x:is>
          <x:t xml:space="preserve">0113.04a1Organizational.2</x:t>
        </x:is>
      </x:c>
      <x:c r="C2" s="12">
        <x:f>COUNTIFS(Normalized_Tuples!$E:$E,$A2,Normalized_Tuples!$F:$F,$B2)</x:f>
        <x:v>2</x:v>
      </x:c>
      <x:c r="D2" s="5" t="inlineStr">
        <x:is>
          <x:t xml:space="preserve">Information Security; Information Security Policy Repository</x:t>
        </x:is>
      </x:c>
      <x:c r="E2" s="5" t="inlineStr">
        <x:is>
          <x:t xml:space="preserve">Policy, Operational</x:t>
        </x:is>
      </x:c>
      <x:c r="F2" s="5" t="inlineStr">
        <x:is>
          <x:t xml:space="preserve">HITRUST e1.csv</x:t>
        </x:is>
      </x:c>
      <x:c r="G2" s="5" t="inlineStr">
        <x:is>
          <x:t xml:space="preserve">Many:1</x:t>
        </x:is>
      </x:c>
    </x:row>
    <x:row r="3" ht="24" customHeight="1">
      <x:c r="A3" s="5" t="inlineStr">
        <x:is>
          <x:t xml:space="preserve">REQ-12-HIPAA</x:t>
        </x:is>
      </x:c>
      <x:c r="B3" s="5" t="inlineStr">
        <x:is>
          <x:t xml:space="preserve">0113.04a1Organizational.2</x:t>
        </x:is>
      </x:c>
      <x:c r="C3" s="12">
        <x:f>COUNTIFS(Normalized_Tuples!$E:$E,$A3,Normalized_Tuples!$F:$F,$B3)</x:f>
        <x:v>2</x:v>
      </x:c>
      <x:c r="D3" s="5" t="inlineStr">
        <x:is>
          <x:t xml:space="preserve">Information Security; Information Security Policy Repository</x:t>
        </x:is>
      </x:c>
      <x:c r="E3" s="5" t="inlineStr">
        <x:is>
          <x:t xml:space="preserve">Policy, Operational</x:t>
        </x:is>
      </x:c>
      <x:c r="F3" s="5" t="inlineStr">
        <x:is>
          <x:t xml:space="preserve">HITRUST e1.csv</x:t>
        </x:is>
      </x:c>
      <x:c r="G3" s="5" t="inlineStr">
        <x:is>
          <x:t xml:space="preserve">Many:1</x:t>
        </x:is>
      </x:c>
    </x:row>
    <x:row r="4" ht="24" customHeight="1">
      <x:c r="A4" s="5" t="inlineStr">
        <x:is>
          <x:t xml:space="preserve">REQ-13-HIPAA</x:t>
        </x:is>
      </x:c>
      <x:c r="B4" s="5" t="inlineStr">
        <x:is>
          <x:t xml:space="preserve">0113.04a1Organizational.2</x:t>
        </x:is>
      </x:c>
      <x:c r="C4" s="12">
        <x:f>COUNTIFS(Normalized_Tuples!$E:$E,$A4,Normalized_Tuples!$F:$F,$B4)</x:f>
        <x:v>2</x:v>
      </x:c>
      <x:c r="D4" s="5" t="inlineStr">
        <x:is>
          <x:t xml:space="preserve">Information Security; Information Security Policy Repository</x:t>
        </x:is>
      </x:c>
      <x:c r="E4" s="5" t="inlineStr">
        <x:is>
          <x:t xml:space="preserve">Policy, Operational</x:t>
        </x:is>
      </x:c>
      <x:c r="F4" s="5" t="inlineStr">
        <x:is>
          <x:t xml:space="preserve">HITRUST e1.csv</x:t>
        </x:is>
      </x:c>
      <x:c r="G4" s="5" t="inlineStr">
        <x:is>
          <x:t xml:space="preserve">Many:1</x:t>
        </x:is>
      </x:c>
    </x:row>
    <x:row r="5" ht="24" customHeight="1">
      <x:c r="A5" s="5" t="inlineStr">
        <x:is>
          <x:t xml:space="preserve">REQ-17-HIPAA</x:t>
        </x:is>
      </x:c>
      <x:c r="B5" s="5" t="inlineStr">
        <x:is>
          <x:t xml:space="preserve">1704.03b1Organizational.12</x:t>
        </x:is>
      </x:c>
      <x:c r="C5" s="12">
        <x:f>COUNTIFS(Normalized_Tuples!$E:$E,$A5,Normalized_Tuples!$F:$F,$B5)</x:f>
        <x:v>2</x:v>
      </x:c>
      <x:c r="D5" s="5" t="inlineStr">
        <x:is>
          <x:t xml:space="preserve">Risk Assessment; Risk Management</x:t>
        </x:is>
      </x:c>
      <x:c r="E5" s="5" t="inlineStr">
        <x:is>
          <x:t xml:space="preserve">Operational, Policy</x:t>
        </x:is>
      </x:c>
      <x:c r="F5" s="5" t="inlineStr">
        <x:is>
          <x:t xml:space="preserve">HITRUST e1.csv</x:t>
        </x:is>
      </x:c>
      <x:c r="G5" s="5" t="inlineStr">
        <x:is>
          <x:t xml:space="preserve">Many:1, Many:Many</x:t>
        </x:is>
      </x:c>
    </x:row>
    <x:row r="6" ht="24" customHeight="1">
      <x:c r="A6" s="5" t="inlineStr">
        <x:is>
          <x:t xml:space="preserve">REQ-20-HIPAA</x:t>
        </x:is>
      </x:c>
      <x:c r="B6" s="5" t="inlineStr">
        <x:is>
          <x:t xml:space="preserve">1704.03b1Organizational.12</x:t>
        </x:is>
      </x:c>
      <x:c r="C6" s="12">
        <x:f>COUNTIFS(Normalized_Tuples!$E:$E,$A6,Normalized_Tuples!$F:$F,$B6)</x:f>
        <x:v>2</x:v>
      </x:c>
      <x:c r="D6" s="5" t="inlineStr">
        <x:is>
          <x:t xml:space="preserve">Risk Assessment; Risk Management</x:t>
        </x:is>
      </x:c>
      <x:c r="E6" s="5" t="inlineStr">
        <x:is>
          <x:t xml:space="preserve">Operational, Policy</x:t>
        </x:is>
      </x:c>
      <x:c r="F6" s="5" t="inlineStr">
        <x:is>
          <x:t xml:space="preserve">HITRUST e1.csv</x:t>
        </x:is>
      </x:c>
      <x:c r="G6" s="5" t="inlineStr">
        <x:is>
          <x:t xml:space="preserve">Many:1, Many:Many</x:t>
        </x:is>
      </x:c>
    </x:row>
    <x:row r="7" ht="24" customHeight="1">
      <x:c r="A7" s="5" t="inlineStr">
        <x:is>
          <x:t xml:space="preserve">REQ-26-HIPAA</x:t>
        </x:is>
      </x:c>
      <x:c r="B7" s="5" t="inlineStr">
        <x:is>
          <x:t xml:space="preserve">10.01d1System.10</x:t>
        </x:is>
      </x:c>
      <x:c r="C7" s="12">
        <x:f>COUNTIFS(Normalized_Tuples!$E:$E,$A7,Normalized_Tuples!$F:$F,$B7)</x:f>
        <x:v>2</x:v>
      </x:c>
      <x:c r="D7" s="5" t="inlineStr">
        <x:is>
          <x:t xml:space="preserve">Password and Multi-Factor Authentication; Passwords for All In-Scope Production Systems</x:t>
        </x:is>
      </x:c>
      <x:c r="E7" s="5" t="inlineStr">
        <x:is>
          <x:t xml:space="preserve">Policy, Configuration</x:t>
        </x:is>
      </x:c>
      <x:c r="F7" s="5" t="inlineStr">
        <x:is>
          <x:t xml:space="preserve">HITRUST e1.csv</x:t>
        </x:is>
      </x:c>
      <x:c r="G7" s="5" t="inlineStr">
        <x:is>
          <x:t xml:space="preserve">1:Many, 1:1</x:t>
        </x:is>
      </x:c>
    </x:row>
    <x:row r="8" ht="24" customHeight="1">
      <x:c r="A8" s="5" t="inlineStr">
        <x:is>
          <x:t xml:space="preserve">REQ-29-HIPAA</x:t>
        </x:is>
      </x:c>
      <x:c r="B8" s="5" t="inlineStr">
        <x:is>
          <x:t xml:space="preserve">11.01e1System.2</x:t>
        </x:is>
      </x:c>
      <x:c r="C8" s="12">
        <x:f>COUNTIFS(Normalized_Tuples!$E:$E,$A8,Normalized_Tuples!$F:$F,$B8)</x:f>
        <x:v>2</x:v>
      </x:c>
      <x:c r="D8" s="5" t="inlineStr">
        <x:is>
          <x:t xml:space="preserve">Access Control; Access Review Documentation</x:t>
        </x:is>
      </x:c>
      <x:c r="E8" s="5" t="inlineStr">
        <x:is>
          <x:t xml:space="preserve">Policy, Sample</x:t>
        </x:is>
      </x:c>
      <x:c r="F8" s="5" t="inlineStr">
        <x:is>
          <x:t xml:space="preserve">HITRUST e1.csv</x:t>
        </x:is>
      </x:c>
      <x:c r="G8" s="5" t="inlineStr">
        <x:is>
          <x:t xml:space="preserve">Many:1, 1:1</x:t>
        </x:is>
      </x:c>
    </x:row>
    <x:row r="9" ht="24" customHeight="1">
      <x:c r="A9" s="5" t="inlineStr">
        <x:is>
          <x:t xml:space="preserve">REQ-31-HIPAA</x:t>
        </x:is>
      </x:c>
      <x:c r="B9" s="5" t="inlineStr">
        <x:is>
          <x:t xml:space="preserve">11143.02i1Organizational.3</x:t>
        </x:is>
      </x:c>
      <x:c r="C9" s="12">
        <x:f>COUNTIFS(Normalized_Tuples!$E:$E,$A9,Normalized_Tuples!$F:$F,$B9)</x:f>
        <x:v>2</x:v>
      </x:c>
      <x:c r="D9" s="5" t="inlineStr">
        <x:is>
          <x:t xml:space="preserve">All Terminated Employees During the Review Period [INSERT EXAM PERIOD]; Employee Termination Ticket</x:t>
        </x:is>
      </x:c>
      <x:c r="E9" s="5" t="inlineStr">
        <x:is>
          <x:t xml:space="preserve">Population, Sample</x:t>
        </x:is>
      </x:c>
      <x:c r="F9" s="5" t="inlineStr">
        <x:is>
          <x:t xml:space="preserve">HITRUST e1.csv</x:t>
        </x:is>
      </x:c>
      <x:c r="G9" s="5" t="inlineStr">
        <x:is>
          <x:t xml:space="preserve">Many:1, 1:1</x:t>
        </x:is>
      </x:c>
    </x:row>
    <x:row r="10" ht="24" customHeight="1">
      <x:c r="A10" s="5" t="inlineStr">
        <x:is>
          <x:t xml:space="preserve">REQ-33-HIPAA</x:t>
        </x:is>
      </x:c>
      <x:c r="B10" s="5" t="inlineStr">
        <x:is>
          <x:t xml:space="preserve">04.01x1Organizational.5</x:t>
        </x:is>
      </x:c>
      <x:c r="C10" s="12">
        <x:f>COUNTIFS(Normalized_Tuples!$E:$E,$A10,Normalized_Tuples!$F:$F,$B10)</x:f>
        <x:v>2</x:v>
      </x:c>
      <x:c r="D10" s="5" t="inlineStr">
        <x:is>
          <x:t xml:space="preserve">Data Encryption at Rest; Encryption In Transit (Ex. TLS Protocols)</x:t>
        </x:is>
      </x:c>
      <x:c r="E10" s="5" t="inlineStr">
        <x:is>
          <x:t xml:space="preserve">Configuration</x:t>
        </x:is>
      </x:c>
      <x:c r="F10" s="5" t="inlineStr">
        <x:is>
          <x:t xml:space="preserve">HITRUST e1.csv</x:t>
        </x:is>
      </x:c>
      <x:c r="G10" s="5" t="inlineStr">
        <x:is>
          <x:t xml:space="preserve">Many:Many</x:t>
        </x:is>
      </x:c>
    </x:row>
    <x:row r="11" ht="24" customHeight="1">
      <x:c r="A11" s="5" t="inlineStr">
        <x:is>
          <x:t xml:space="preserve">REQ-35-HIPAA</x:t>
        </x:is>
      </x:c>
      <x:c r="B11" s="5" t="inlineStr">
        <x:is>
          <x:t xml:space="preserve">04.01x1Organizational.5</x:t>
        </x:is>
      </x:c>
      <x:c r="C11" s="12">
        <x:f>COUNTIFS(Normalized_Tuples!$E:$E,$A11,Normalized_Tuples!$F:$F,$B11)</x:f>
        <x:v>2</x:v>
      </x:c>
      <x:c r="D11" s="5" t="inlineStr">
        <x:is>
          <x:t xml:space="preserve">Data Encryption at Rest; Encryption In Transit (Ex. TLS Protocols)</x:t>
        </x:is>
      </x:c>
      <x:c r="E11" s="5" t="inlineStr">
        <x:is>
          <x:t xml:space="preserve">Configuration</x:t>
        </x:is>
      </x:c>
      <x:c r="F11" s="5" t="inlineStr">
        <x:is>
          <x:t xml:space="preserve">HITRUST e1.csv</x:t>
        </x:is>
      </x:c>
      <x:c r="G11" s="5" t="inlineStr">
        <x:is>
          <x:t xml:space="preserve">Many:Many</x:t>
        </x:is>
      </x:c>
    </x:row>
    <x:row r="12" ht="24" customHeight="1">
      <x:c r="A12" s="5" t="inlineStr">
        <x:is>
          <x:t xml:space="preserve">REQ-55-HIPAA</x:t>
        </x:is>
      </x:c>
      <x:c r="B12" s="5" t="inlineStr">
        <x:is>
          <x:t xml:space="preserve">06.09b1System.2</x:t>
        </x:is>
      </x:c>
      <x:c r="C12" s="12">
        <x:f>COUNTIFS(Normalized_Tuples!$E:$E,$A12,Normalized_Tuples!$F:$F,$B12)</x:f>
        <x:v>2</x:v>
      </x:c>
      <x:c r="D12" s="5" t="inlineStr">
        <x:is>
          <x:t xml:space="preserve">All Software and Infrastructure Production Changes During the Review Period [INSERT EXAM PERIOD]; Software/Infrastructure Production Change Ticket</x:t>
        </x:is>
      </x:c>
      <x:c r="E12" s="5" t="inlineStr">
        <x:is>
          <x:t xml:space="preserve">Population, Sample</x:t>
        </x:is>
      </x:c>
      <x:c r="F12" s="5" t="inlineStr">
        <x:is>
          <x:t xml:space="preserve">HITRUST e1.csv</x:t>
        </x:is>
      </x:c>
      <x:c r="G12" s="5" t="inlineStr">
        <x:is>
          <x:t xml:space="preserve">Many:Many, 1:1</x:t>
        </x:is>
      </x:c>
    </x:row>
    <x:row r="13" ht="24" customHeight="1">
      <x:c r="A13" s="5" t="inlineStr">
        <x:is>
          <x:t xml:space="preserve">REQ-61-HIPAA</x:t>
        </x:is>
      </x:c>
      <x:c r="B13" s="5" t="inlineStr">
        <x:is>
          <x:t xml:space="preserve">1616.09l1Organizational.16</x:t>
        </x:is>
      </x:c>
      <x:c r="C13" s="12">
        <x:f>COUNTIFS(Normalized_Tuples!$E:$E,$A13,Normalized_Tuples!$F:$F,$B13)</x:f>
        <x:v>2</x:v>
      </x:c>
      <x:c r="D13" s="5" t="inlineStr">
        <x:is>
          <x:t xml:space="preserve">Backups; Completed Production Data Backup Test</x:t>
        </x:is>
      </x:c>
      <x:c r="E13" s="5" t="inlineStr">
        <x:is>
          <x:t xml:space="preserve">Policy, Operational</x:t>
        </x:is>
      </x:c>
      <x:c r="F13" s="5" t="inlineStr">
        <x:is>
          <x:t xml:space="preserve">HITRUST e1.csv</x:t>
        </x:is>
      </x:c>
      <x:c r="G13" s="5" t="inlineStr">
        <x:is>
          <x:t xml:space="preserve">Many:1, 1:1</x:t>
        </x:is>
      </x:c>
    </x:row>
    <x:row r="14" ht="24" customHeight="1">
      <x:c r="A14" s="5" t="inlineStr">
        <x:is>
          <x:t xml:space="preserve">REQ-102-HIPAA</x:t>
        </x:is>
      </x:c>
      <x:c r="B14" s="5" t="inlineStr">
        <x:is>
          <x:t xml:space="preserve">07.07a1Organizational.8</x:t>
        </x:is>
      </x:c>
      <x:c r="C14" s="12">
        <x:f>COUNTIFS(Normalized_Tuples!$E:$E,$A14,Normalized_Tuples!$F:$F,$B14)</x:f>
        <x:v>1</x:v>
      </x:c>
      <x:c r="D14" s="5" t="inlineStr">
        <x:is>
          <x:t xml:space="preserve">List of All Production Systems (Servers, VMs, Data Stores)</x:t>
        </x:is>
      </x:c>
      <x:c r="E14" s="5" t="inlineStr">
        <x:is>
          <x:t xml:space="preserve">Configuration</x:t>
        </x:is>
      </x:c>
      <x:c r="F14" s="5" t="inlineStr">
        <x:is>
          <x:t xml:space="preserve">HITRUST e1.csv</x:t>
        </x:is>
      </x:c>
      <x:c r="G14" s="5" t="inlineStr">
        <x:is>
          <x:t xml:space="preserve">Many:Many</x:t>
        </x:is>
      </x:c>
    </x:row>
    <x:row r="15" ht="24" customHeight="1">
      <x:c r="A15" s="5" t="inlineStr">
        <x:is>
          <x:t xml:space="preserve">REQ-102-HIPAA</x:t>
        </x:is>
      </x:c>
      <x:c r="B15" s="5" t="inlineStr">
        <x:is>
          <x:t xml:space="preserve">0701.07a1Organizational.7</x:t>
        </x:is>
      </x:c>
      <x:c r="C15" s="12">
        <x:f>COUNTIFS(Normalized_Tuples!$E:$E,$A15,Normalized_Tuples!$F:$F,$B15)</x:f>
        <x:v>1</x:v>
      </x:c>
      <x:c r="D15" s="5" t="inlineStr">
        <x:is>
          <x:t xml:space="preserve">List of All Production Systems (Servers, VMs, Data Stores)</x:t>
        </x:is>
      </x:c>
      <x:c r="E15" s="5" t="inlineStr">
        <x:is>
          <x:t xml:space="preserve">Configuration</x:t>
        </x:is>
      </x:c>
      <x:c r="F15" s="5" t="inlineStr">
        <x:is>
          <x:t xml:space="preserve">HITRUST e1.csv</x:t>
        </x:is>
      </x:c>
      <x:c r="G15" s="5" t="inlineStr">
        <x:is>
          <x:t xml:space="preserve">Many:Many</x:t>
        </x:is>
      </x:c>
    </x:row>
    <x:row r="16" ht="24" customHeight="1">
      <x:c r="A16" s="5" t="inlineStr">
        <x:is>
          <x:t xml:space="preserve">REQ-102-HIPAA</x:t>
        </x:is>
      </x:c>
      <x:c r="B16" s="5" t="inlineStr">
        <x:is>
          <x:t xml:space="preserve">0701.07a1Organizational.8</x:t>
        </x:is>
      </x:c>
      <x:c r="C16" s="12">
        <x:f>COUNTIFS(Normalized_Tuples!$E:$E,$A16,Normalized_Tuples!$F:$F,$B16)</x:f>
        <x:v>1</x:v>
      </x:c>
      <x:c r="D16" s="5" t="inlineStr">
        <x:is>
          <x:t xml:space="preserve">List of All Production Systems (Servers, VMs, Data Stores)</x:t>
        </x:is>
      </x:c>
      <x:c r="E16" s="5" t="inlineStr">
        <x:is>
          <x:t xml:space="preserve">Configuration</x:t>
        </x:is>
      </x:c>
      <x:c r="F16" s="5" t="inlineStr">
        <x:is>
          <x:t xml:space="preserve">HITRUST e1.csv</x:t>
        </x:is>
      </x:c>
      <x:c r="G16" s="5" t="inlineStr">
        <x:is>
          <x:t xml:space="preserve">Many:Many</x:t>
        </x:is>
      </x:c>
    </x:row>
    <x:row r="17" ht="24" customHeight="1">
      <x:c r="A17" s="5" t="inlineStr">
        <x:is>
          <x:t xml:space="preserve">REQ-109-HIPAA</x:t>
        </x:is>
      </x:c>
      <x:c r="B17" s="5" t="inlineStr">
        <x:is>
          <x:t xml:space="preserve">0701.07a1Organizational.8</x:t>
        </x:is>
      </x:c>
      <x:c r="C17" s="12">
        <x:f>COUNTIFS(Normalized_Tuples!$E:$E,$A17,Normalized_Tuples!$F:$F,$B17)</x:f>
        <x:v>1</x:v>
      </x:c>
      <x:c r="D17" s="5" t="inlineStr">
        <x:is>
          <x:t xml:space="preserve">Asset Custody Log</x:t>
        </x:is>
      </x:c>
      <x:c r="E17" s="5" t="inlineStr">
        <x:is>
          <x:t xml:space="preserve">Operational</x:t>
        </x:is>
      </x:c>
      <x:c r="F17" s="5" t="inlineStr">
        <x:is>
          <x:t xml:space="preserve">HIPAA Security.csv</x:t>
        </x:is>
      </x:c>
      <x:c r="G17" s="5" t="inlineStr">
        <x:is>
          <x:t xml:space="preserve">1:Many</x:t>
        </x:is>
      </x:c>
    </x:row>
    <x:row r="18" ht="24" customHeight="1">
      <x:c r="A18" s="5" t="inlineStr">
        <x:is>
          <x:t xml:space="preserve">REQ-109-HIPAA</x:t>
        </x:is>
      </x:c>
      <x:c r="B18" s="5" t="inlineStr">
        <x:is>
          <x:t xml:space="preserve">0704.07a1Organizational.8</x:t>
        </x:is>
      </x:c>
      <x:c r="C18" s="12">
        <x:f>COUNTIFS(Normalized_Tuples!$E:$E,$A18,Normalized_Tuples!$F:$F,$B18)</x:f>
        <x:v>1</x:v>
      </x:c>
      <x:c r="D18" s="5" t="inlineStr">
        <x:is>
          <x:t xml:space="preserve">Asset Custody Log</x:t>
        </x:is>
      </x:c>
      <x:c r="E18" s="5" t="inlineStr">
        <x:is>
          <x:t xml:space="preserve">Operational</x:t>
        </x:is>
      </x:c>
      <x:c r="F18" s="5" t="inlineStr">
        <x:is>
          <x:t xml:space="preserve">HIPAA Security.csv</x:t>
        </x:is>
      </x:c>
      <x:c r="G18" s="5" t="inlineStr">
        <x:is>
          <x:t xml:space="preserve">1:Many</x:t>
        </x:is>
      </x:c>
    </x:row>
    <x:row r="19" ht="24" customHeight="1">
      <x:c r="A19" s="5" t="inlineStr">
        <x:is>
          <x:t xml:space="preserve">REQ-110-HIPAA</x:t>
        </x:is>
      </x:c>
      <x:c r="B19" s="5" t="inlineStr">
        <x:is>
          <x:t xml:space="preserve">1704.03b1Organizational.12</x:t>
        </x:is>
      </x:c>
      <x:c r="C19" s="12">
        <x:f>COUNTIFS(Normalized_Tuples!$E:$E,$A19,Normalized_Tuples!$F:$F,$B19)</x:f>
        <x:v>1</x:v>
      </x:c>
      <x:c r="D19" s="5" t="inlineStr">
        <x:is>
          <x:t xml:space="preserve">Risk Assessment</x:t>
        </x:is>
      </x:c>
      <x:c r="E19" s="5" t="inlineStr">
        <x:is>
          <x:t xml:space="preserve">Operational</x:t>
        </x:is>
      </x:c>
      <x:c r="F19" s="5" t="inlineStr">
        <x:is>
          <x:t xml:space="preserve">HITRUST e1.csv</x:t>
        </x:is>
      </x:c>
      <x:c r="G19" s="5" t="inlineStr">
        <x:is>
          <x:t xml:space="preserve">Many:1</x:t>
        </x:is>
      </x:c>
    </x:row>
    <x:row r="20" ht="24" customHeight="1">
      <x:c r="A20" s="5" t="inlineStr">
        <x:is>
          <x:t xml:space="preserve">REQ-12-HIPAA</x:t>
        </x:is>
      </x:c>
      <x:c r="B20" s="5" t="inlineStr">
        <x:is>
          <x:t xml:space="preserve">13.02e1Organizational.6</x:t>
        </x:is>
      </x:c>
      <x:c r="C20" s="12">
        <x:f>COUNTIFS(Normalized_Tuples!$E:$E,$A20,Normalized_Tuples!$F:$F,$B20)</x:f>
        <x:v>1</x:v>
      </x:c>
      <x:c r="D20" s="5" t="inlineStr">
        <x:is>
          <x:t xml:space="preserve">New Hire Security Awareness Training</x:t>
        </x:is>
      </x:c>
      <x:c r="E20" s="5" t="inlineStr">
        <x:is>
          <x:t xml:space="preserve">Sample</x:t>
        </x:is>
      </x:c>
      <x:c r="F20" s="5" t="inlineStr">
        <x:is>
          <x:t xml:space="preserve">HITRUST e1.csv</x:t>
        </x:is>
      </x:c>
      <x:c r="G20" s="5" t="inlineStr">
        <x:is>
          <x:t xml:space="preserve">1:Many</x:t>
        </x:is>
      </x:c>
    </x:row>
    <x:row r="21" ht="24" customHeight="1">
      <x:c r="A21" s="5" t="inlineStr">
        <x:is>
          <x:t xml:space="preserve">REQ-12-HIPAA</x:t>
        </x:is>
      </x:c>
      <x:c r="B21" s="5" t="inlineStr">
        <x:is>
          <x:t xml:space="preserve">1308.09j1Organizational.5.a</x:t>
        </x:is>
      </x:c>
      <x:c r="C21" s="12">
        <x:f>COUNTIFS(Normalized_Tuples!$E:$E,$A21,Normalized_Tuples!$F:$F,$B21)</x:f>
        <x:v>1</x:v>
      </x:c>
      <x:c r="D21" s="5" t="inlineStr">
        <x:is>
          <x:t xml:space="preserve">New Hire Security Awareness Training</x:t>
        </x:is>
      </x:c>
      <x:c r="E21" s="5" t="inlineStr">
        <x:is>
          <x:t xml:space="preserve">Sample</x:t>
        </x:is>
      </x:c>
      <x:c r="F21" s="5" t="inlineStr">
        <x:is>
          <x:t xml:space="preserve">HITRUST e1.csv</x:t>
        </x:is>
      </x:c>
      <x:c r="G21" s="5" t="inlineStr">
        <x:is>
          <x:t xml:space="preserve">1:Many</x:t>
        </x:is>
      </x:c>
    </x:row>
    <x:row r="22" ht="24" customHeight="1">
      <x:c r="A22" s="5" t="inlineStr">
        <x:is>
          <x:t xml:space="preserve">REQ-12-HIPAA</x:t>
        </x:is>
      </x:c>
      <x:c r="B22" s="5" t="inlineStr">
        <x:is>
          <x:t xml:space="preserve">13998.02e1Organizational.2</x:t>
        </x:is>
      </x:c>
      <x:c r="C22" s="12">
        <x:f>COUNTIFS(Normalized_Tuples!$E:$E,$A22,Normalized_Tuples!$F:$F,$B22)</x:f>
        <x:v>1</x:v>
      </x:c>
      <x:c r="D22" s="5" t="inlineStr">
        <x:is>
          <x:t xml:space="preserve">New Hire Security Awareness Training</x:t>
        </x:is>
      </x:c>
      <x:c r="E22" s="5" t="inlineStr">
        <x:is>
          <x:t xml:space="preserve">Sample</x:t>
        </x:is>
      </x:c>
      <x:c r="F22" s="5" t="inlineStr">
        <x:is>
          <x:t xml:space="preserve">HITRUST e1.csv</x:t>
        </x:is>
      </x:c>
      <x:c r="G22" s="5" t="inlineStr">
        <x:is>
          <x:t xml:space="preserve">1:Many</x:t>
        </x:is>
      </x:c>
    </x:row>
    <x:row r="23" ht="24" customHeight="1">
      <x:c r="A23" s="5" t="inlineStr">
        <x:is>
          <x:t xml:space="preserve">REQ-17-HIPAA</x:t>
        </x:is>
      </x:c>
      <x:c r="B23" s="5" t="inlineStr">
        <x:is>
          <x:t xml:space="preserve">1701.03a1Organizational.12345678</x:t>
        </x:is>
      </x:c>
      <x:c r="C23" s="12">
        <x:f>COUNTIFS(Normalized_Tuples!$E:$E,$A23,Normalized_Tuples!$F:$F,$B23)</x:f>
        <x:v>1</x:v>
      </x:c>
      <x:c r="D23" s="5" t="inlineStr">
        <x:is>
          <x:t xml:space="preserve">Risk Management</x:t>
        </x:is>
      </x:c>
      <x:c r="E23" s="5" t="inlineStr">
        <x:is>
          <x:t xml:space="preserve">Policy</x:t>
        </x:is>
      </x:c>
      <x:c r="F23" s="5" t="inlineStr">
        <x:is>
          <x:t xml:space="preserve">HITRUST e1.csv</x:t>
        </x:is>
      </x:c>
      <x:c r="G23" s="5" t="inlineStr">
        <x:is>
          <x:t xml:space="preserve">Many:Many</x:t>
        </x:is>
      </x:c>
    </x:row>
    <x:row r="24" ht="24" customHeight="1">
      <x:c r="A24" s="5" t="inlineStr">
        <x:is>
          <x:t xml:space="preserve">REQ-20-HIPAA</x:t>
        </x:is>
      </x:c>
      <x:c r="B24" s="5" t="inlineStr">
        <x:is>
          <x:t xml:space="preserve">1701.03a1Organizational.12345678</x:t>
        </x:is>
      </x:c>
      <x:c r="C24" s="12">
        <x:f>COUNTIFS(Normalized_Tuples!$E:$E,$A24,Normalized_Tuples!$F:$F,$B24)</x:f>
        <x:v>1</x:v>
      </x:c>
      <x:c r="D24" s="5" t="inlineStr">
        <x:is>
          <x:t xml:space="preserve">Risk Management</x:t>
        </x:is>
      </x:c>
      <x:c r="E24" s="5" t="inlineStr">
        <x:is>
          <x:t xml:space="preserve">Policy</x:t>
        </x:is>
      </x:c>
      <x:c r="F24" s="5" t="inlineStr">
        <x:is>
          <x:t xml:space="preserve">HITRUST e1.csv</x:t>
        </x:is>
      </x:c>
      <x:c r="G24" s="5" t="inlineStr">
        <x:is>
          <x:t xml:space="preserve">Many:Many</x:t>
        </x:is>
      </x:c>
    </x:row>
    <x:row r="25">
      <x:c r="A25" s="5" t="inlineStr">
        <x:is>
          <x:t xml:space="preserve">REQ-24-HIPAA</x:t>
        </x:is>
      </x:c>
      <x:c r="B25" s="5" t="inlineStr">
        <x:is>
          <x:t xml:space="preserve">11.01e1System.2</x:t>
        </x:is>
      </x:c>
      <x:c r="C25" s="12">
        <x:f>COUNTIFS(Normalized_Tuples!$E:$E,$A25,Normalized_Tuples!$F:$F,$B25)</x:f>
        <x:v>1</x:v>
      </x:c>
      <x:c r="D25" s="5" t="inlineStr">
        <x:is>
          <x:t xml:space="preserve">Access Control</x:t>
        </x:is>
      </x:c>
      <x:c r="E25" s="5" t="inlineStr">
        <x:is>
          <x:t xml:space="preserve">Policy</x:t>
        </x:is>
      </x:c>
      <x:c r="F25" s="5" t="inlineStr">
        <x:is>
          <x:t xml:space="preserve">HITRUST e1.csv</x:t>
        </x:is>
      </x:c>
      <x:c r="G25" s="5" t="inlineStr">
        <x:is>
          <x:t xml:space="preserve">Many:1</x:t>
        </x:is>
      </x:c>
    </x:row>
    <x:row r="26">
      <x:c r="A26" s="5" t="inlineStr">
        <x:is>
          <x:t xml:space="preserve">REQ-26-HIPAA</x:t>
        </x:is>
      </x:c>
      <x:c r="B26" s="5" t="inlineStr">
        <x:is>
          <x:t xml:space="preserve">11.01p1System.5</x:t>
        </x:is>
      </x:c>
      <x:c r="C26" s="12">
        <x:f>COUNTIFS(Normalized_Tuples!$E:$E,$A26,Normalized_Tuples!$F:$F,$B26)</x:f>
        <x:v>1</x:v>
      </x:c>
      <x:c r="D26" s="5" t="inlineStr">
        <x:is>
          <x:t xml:space="preserve">Password and Multi-Factor Authentication</x:t>
        </x:is>
      </x:c>
      <x:c r="E26" s="5" t="inlineStr">
        <x:is>
          <x:t xml:space="preserve">Policy</x:t>
        </x:is>
      </x:c>
      <x:c r="F26" s="5" t="inlineStr">
        <x:is>
          <x:t xml:space="preserve">HITRUST e1.csv</x:t>
        </x:is>
      </x:c>
      <x:c r="G26" s="5" t="inlineStr">
        <x:is>
          <x:t xml:space="preserve">1:Many</x:t>
        </x:is>
      </x:c>
    </x:row>
    <x:row r="27">
      <x:c r="A27" s="5" t="inlineStr">
        <x:is>
          <x:t xml:space="preserve">REQ-27-HIPAA</x:t>
        </x:is>
      </x:c>
      <x:c r="B27" s="5" t="inlineStr">
        <x:is>
          <x:t xml:space="preserve">11.01q1System.3</x:t>
        </x:is>
      </x:c>
      <x:c r="C27" s="12">
        <x:f>COUNTIFS(Normalized_Tuples!$E:$E,$A27,Normalized_Tuples!$F:$F,$B27)</x:f>
        <x:v>1</x:v>
      </x:c>
      <x:c r="D27" s="5" t="inlineStr">
        <x:is>
          <x:t xml:space="preserve">Evidence of Multi-Factor Authentication</x:t>
        </x:is>
      </x:c>
      <x:c r="E27" s="5" t="inlineStr">
        <x:is>
          <x:t xml:space="preserve">Configuration</x:t>
        </x:is>
      </x:c>
      <x:c r="F27" s="5" t="inlineStr">
        <x:is>
          <x:t xml:space="preserve">HITRUST e1.csv</x:t>
        </x:is>
      </x:c>
      <x:c r="G27" s="5" t="inlineStr">
        <x:is>
          <x:t xml:space="preserve">1:Many</x:t>
        </x:is>
      </x:c>
    </x:row>
    <x:row r="28">
      <x:c r="A28" s="5" t="inlineStr">
        <x:is>
          <x:t xml:space="preserve">REQ-27-HIPAA</x:t>
        </x:is>
      </x:c>
      <x:c r="B28" s="5" t="inlineStr">
        <x:is>
          <x:t xml:space="preserve">11.01q1System.4</x:t>
        </x:is>
      </x:c>
      <x:c r="C28" s="12">
        <x:f>COUNTIFS(Normalized_Tuples!$E:$E,$A28,Normalized_Tuples!$F:$F,$B28)</x:f>
        <x:v>1</x:v>
      </x:c>
      <x:c r="D28" s="5" t="inlineStr">
        <x:is>
          <x:t xml:space="preserve">Evidence of Multi-Factor Authentication</x:t>
        </x:is>
      </x:c>
      <x:c r="E28" s="5" t="inlineStr">
        <x:is>
          <x:t xml:space="preserve">Configuration</x:t>
        </x:is>
      </x:c>
      <x:c r="F28" s="5" t="inlineStr">
        <x:is>
          <x:t xml:space="preserve">HITRUST e1.csv</x:t>
        </x:is>
      </x:c>
      <x:c r="G28" s="5" t="inlineStr">
        <x:is>
          <x:t xml:space="preserve">1:Many</x:t>
        </x:is>
      </x:c>
    </x:row>
    <x:row r="29">
      <x:c r="A29" s="5" t="inlineStr">
        <x:is>
          <x:t xml:space="preserve">REQ-28-HIPAA</x:t>
        </x:is>
      </x:c>
      <x:c r="B29" s="5" t="inlineStr">
        <x:is>
          <x:t xml:space="preserve">1123.01q1System.2</x:t>
        </x:is>
      </x:c>
      <x:c r="C29" s="12">
        <x:f>COUNTIFS(Normalized_Tuples!$E:$E,$A29,Normalized_Tuples!$F:$F,$B29)</x:f>
        <x:v>1</x:v>
      </x:c>
      <x:c r="D29" s="5" t="inlineStr">
        <x:is>
          <x:t xml:space="preserve">Password Vault and Shared Accounts</x:t>
        </x:is>
      </x:c>
      <x:c r="E29" s="5" t="inlineStr">
        <x:is>
          <x:t xml:space="preserve">Configuration</x:t>
        </x:is>
      </x:c>
      <x:c r="F29" s="5" t="inlineStr">
        <x:is>
          <x:t xml:space="preserve">HITRUST e1.csv</x:t>
        </x:is>
      </x:c>
      <x:c r="G29" s="5" t="inlineStr">
        <x:is>
          <x:t xml:space="preserve">Many:1</x:t>
        </x:is>
      </x:c>
    </x:row>
    <x:row r="30">
      <x:c r="A30" s="5" t="inlineStr">
        <x:is>
          <x:t xml:space="preserve">REQ-30-HIPAA</x:t>
        </x:is>
      </x:c>
      <x:c r="B30" s="5" t="inlineStr">
        <x:is>
          <x:t xml:space="preserve">11.01e1System.2</x:t>
        </x:is>
      </x:c>
      <x:c r="C30" s="12">
        <x:f>COUNTIFS(Normalized_Tuples!$E:$E,$A30,Normalized_Tuples!$F:$F,$B30)</x:f>
        <x:v>1</x:v>
      </x:c>
      <x:c r="D30" s="5" t="inlineStr">
        <x:is>
          <x:t xml:space="preserve">Access Control</x:t>
        </x:is>
      </x:c>
      <x:c r="E30" s="5" t="inlineStr">
        <x:is>
          <x:t xml:space="preserve">Policy</x:t>
        </x:is>
      </x:c>
      <x:c r="F30" s="5" t="inlineStr">
        <x:is>
          <x:t xml:space="preserve">HITRUST e1.csv</x:t>
        </x:is>
      </x:c>
      <x:c r="G30" s="5" t="inlineStr">
        <x:is>
          <x:t xml:space="preserve">Many:1</x:t>
        </x:is>
      </x:c>
    </x:row>
    <x:row r="31">
      <x:c r="A31" s="5" t="inlineStr">
        <x:is>
          <x:t xml:space="preserve">REQ-30-HIPAA</x:t>
        </x:is>
      </x:c>
      <x:c r="B31" s="5" t="inlineStr">
        <x:is>
          <x:t xml:space="preserve">1143.01c1System.123</x:t>
        </x:is>
      </x:c>
      <x:c r="C31" s="12">
        <x:f>COUNTIFS(Normalized_Tuples!$E:$E,$A31,Normalized_Tuples!$F:$F,$B31)</x:f>
        <x:v>1</x:v>
      </x:c>
      <x:c r="D31" s="5" t="inlineStr">
        <x:is>
          <x:t xml:space="preserve">New Hire Access Request Form</x:t>
        </x:is>
      </x:c>
      <x:c r="E31" s="5" t="inlineStr">
        <x:is>
          <x:t xml:space="preserve">Sample</x:t>
        </x:is>
      </x:c>
      <x:c r="F31" s="5" t="inlineStr">
        <x:is>
          <x:t xml:space="preserve">HITRUST e1.csv</x:t>
        </x:is>
      </x:c>
      <x:c r="G31" s="5" t="inlineStr">
        <x:is>
          <x:t xml:space="preserve">1:1</x:t>
        </x:is>
      </x:c>
    </x:row>
    <x:row r="32">
      <x:c r="A32" s="5" t="inlineStr">
        <x:is>
          <x:t xml:space="preserve">REQ-31-HIPAA</x:t>
        </x:is>
      </x:c>
      <x:c r="B32" s="5" t="inlineStr">
        <x:is>
          <x:t xml:space="preserve">11.01e1System.2</x:t>
        </x:is>
      </x:c>
      <x:c r="C32" s="12">
        <x:f>COUNTIFS(Normalized_Tuples!$E:$E,$A32,Normalized_Tuples!$F:$F,$B32)</x:f>
        <x:v>1</x:v>
      </x:c>
      <x:c r="D32" s="5" t="inlineStr">
        <x:is>
          <x:t xml:space="preserve">Access Control</x:t>
        </x:is>
      </x:c>
      <x:c r="E32" s="5" t="inlineStr">
        <x:is>
          <x:t xml:space="preserve">Policy</x:t>
        </x:is>
      </x:c>
      <x:c r="F32" s="5" t="inlineStr">
        <x:is>
          <x:t xml:space="preserve">HITRUST e1.csv</x:t>
        </x:is>
      </x:c>
      <x:c r="G32" s="5" t="inlineStr">
        <x:is>
          <x:t xml:space="preserve">Many:1</x:t>
        </x:is>
      </x:c>
    </x:row>
    <x:row r="33">
      <x:c r="A33" s="5" t="inlineStr">
        <x:is>
          <x:t xml:space="preserve">REQ-31-HIPAA</x:t>
        </x:is>
      </x:c>
      <x:c r="B33" s="5" t="inlineStr">
        <x:is>
          <x:t xml:space="preserve">1123.01q1System.2</x:t>
        </x:is>
      </x:c>
      <x:c r="C33" s="12">
        <x:f>COUNTIFS(Normalized_Tuples!$E:$E,$A33,Normalized_Tuples!$F:$F,$B33)</x:f>
        <x:v>1</x:v>
      </x:c>
      <x:c r="D33" s="5" t="inlineStr">
        <x:is>
          <x:t xml:space="preserve">Password Vault and Shared Accounts</x:t>
        </x:is>
      </x:c>
      <x:c r="E33" s="5" t="inlineStr">
        <x:is>
          <x:t xml:space="preserve">Configuration</x:t>
        </x:is>
      </x:c>
      <x:c r="F33" s="5" t="inlineStr">
        <x:is>
          <x:t xml:space="preserve">HITRUST e1.csv</x:t>
        </x:is>
      </x:c>
      <x:c r="G33" s="5" t="inlineStr">
        <x:is>
          <x:t xml:space="preserve">Many:1</x:t>
        </x:is>
      </x:c>
    </x:row>
    <x:row r="34">
      <x:c r="A34" s="5" t="inlineStr">
        <x:is>
          <x:t xml:space="preserve">REQ-32-HIPAA</x:t>
        </x:is>
      </x:c>
      <x:c r="B34" s="5" t="inlineStr">
        <x:is>
          <x:t xml:space="preserve">0305.09q1Organizational.12</x:t>
        </x:is>
      </x:c>
      <x:c r="C34" s="12">
        <x:f>COUNTIFS(Normalized_Tuples!$E:$E,$A34,Normalized_Tuples!$F:$F,$B34)</x:f>
        <x:v>1</x:v>
      </x:c>
      <x:c r="D34" s="5" t="inlineStr">
        <x:is>
          <x:t xml:space="preserve">Data Classification, Retention and Disposal</x:t>
        </x:is>
      </x:c>
      <x:c r="E34" s="5" t="inlineStr">
        <x:is>
          <x:t xml:space="preserve">Policy</x:t>
        </x:is>
      </x:c>
      <x:c r="F34" s="5" t="inlineStr">
        <x:is>
          <x:t xml:space="preserve">HITRUST e1.csv</x:t>
        </x:is>
      </x:c>
      <x:c r="G34" s="5" t="inlineStr">
        <x:is>
          <x:t xml:space="preserve">Many:Many</x:t>
        </x:is>
      </x:c>
    </x:row>
    <x:row r="35">
      <x:c r="A35" s="5" t="inlineStr">
        <x:is>
          <x:t xml:space="preserve">REQ-32-HIPAA</x:t>
        </x:is>
      </x:c>
      <x:c r="B35" s="5" t="inlineStr">
        <x:is>
          <x:t xml:space="preserve">1239.09aa1System.4</x:t>
        </x:is>
      </x:c>
      <x:c r="C35" s="12">
        <x:f>COUNTIFS(Normalized_Tuples!$E:$E,$A35,Normalized_Tuples!$F:$F,$B35)</x:f>
        <x:v>1</x:v>
      </x:c>
      <x:c r="D35" s="5" t="inlineStr">
        <x:is>
          <x:t xml:space="preserve">Data Classification, Retention and Disposal</x:t>
        </x:is>
      </x:c>
      <x:c r="E35" s="5" t="inlineStr">
        <x:is>
          <x:t xml:space="preserve">Policy</x:t>
        </x:is>
      </x:c>
      <x:c r="F35" s="5" t="inlineStr">
        <x:is>
          <x:t xml:space="preserve">HITRUST e1.csv</x:t>
        </x:is>
      </x:c>
      <x:c r="G35" s="5" t="inlineStr">
        <x:is>
          <x:t xml:space="preserve">Many:Many</x:t>
        </x:is>
      </x:c>
    </x:row>
    <x:row r="36">
      <x:c r="A36" s="5" t="inlineStr">
        <x:is>
          <x:t xml:space="preserve">REQ-32-HIPAA</x:t>
        </x:is>
      </x:c>
      <x:c r="B36" s="5" t="inlineStr">
        <x:is>
          <x:t xml:space="preserve">1616.09l1Organizational.16</x:t>
        </x:is>
      </x:c>
      <x:c r="C36" s="12">
        <x:f>COUNTIFS(Normalized_Tuples!$E:$E,$A36,Normalized_Tuples!$F:$F,$B36)</x:f>
        <x:v>1</x:v>
      </x:c>
      <x:c r="D36" s="5" t="inlineStr">
        <x:is>
          <x:t xml:space="preserve">Data Classification, Retention and Disposal</x:t>
        </x:is>
      </x:c>
      <x:c r="E36" s="5" t="inlineStr">
        <x:is>
          <x:t xml:space="preserve">Policy</x:t>
        </x:is>
      </x:c>
      <x:c r="F36" s="5" t="inlineStr">
        <x:is>
          <x:t xml:space="preserve">HITRUST e1.csv</x:t>
        </x:is>
      </x:c>
      <x:c r="G36" s="5" t="inlineStr">
        <x:is>
          <x:t xml:space="preserve">Many:Many</x:t>
        </x:is>
      </x:c>
    </x:row>
    <x:row r="37">
      <x:c r="A37" s="5" t="inlineStr">
        <x:is>
          <x:t xml:space="preserve">REQ-32-HIPAA</x:t>
        </x:is>
      </x:c>
      <x:c r="B37" s="5" t="inlineStr">
        <x:is>
          <x:t xml:space="preserve">1767.07d1Organizational.2</x:t>
        </x:is>
      </x:c>
      <x:c r="C37" s="12">
        <x:f>COUNTIFS(Normalized_Tuples!$E:$E,$A37,Normalized_Tuples!$F:$F,$B37)</x:f>
        <x:v>1</x:v>
      </x:c>
      <x:c r="D37" s="5" t="inlineStr">
        <x:is>
          <x:t xml:space="preserve">Data Classification, Retention and Disposal</x:t>
        </x:is>
      </x:c>
      <x:c r="E37" s="5" t="inlineStr">
        <x:is>
          <x:t xml:space="preserve">Policy</x:t>
        </x:is>
      </x:c>
      <x:c r="F37" s="5" t="inlineStr">
        <x:is>
          <x:t xml:space="preserve">HITRUST e1.csv</x:t>
        </x:is>
      </x:c>
      <x:c r="G37" s="5" t="inlineStr">
        <x:is>
          <x:t xml:space="preserve">Many:Many</x:t>
        </x:is>
      </x:c>
    </x:row>
    <x:row r="38">
      <x:c r="A38" s="5" t="inlineStr">
        <x:is>
          <x:t xml:space="preserve">REQ-32-HIPAA</x:t>
        </x:is>
      </x:c>
      <x:c r="B38" s="5" t="inlineStr">
        <x:is>
          <x:t xml:space="preserve">19142.06c1Organizational.8</x:t>
        </x:is>
      </x:c>
      <x:c r="C38" s="12">
        <x:f>COUNTIFS(Normalized_Tuples!$E:$E,$A38,Normalized_Tuples!$F:$F,$B38)</x:f>
        <x:v>1</x:v>
      </x:c>
      <x:c r="D38" s="5" t="inlineStr">
        <x:is>
          <x:t xml:space="preserve">Data Classification, Retention and Disposal</x:t>
        </x:is>
      </x:c>
      <x:c r="E38" s="5" t="inlineStr">
        <x:is>
          <x:t xml:space="preserve">Policy</x:t>
        </x:is>
      </x:c>
      <x:c r="F38" s="5" t="inlineStr">
        <x:is>
          <x:t xml:space="preserve">HITRUST e1.csv</x:t>
        </x:is>
      </x:c>
      <x:c r="G38" s="5" t="inlineStr">
        <x:is>
          <x:t xml:space="preserve">Many:Many</x:t>
        </x:is>
      </x:c>
    </x:row>
    <x:row r="39">
      <x:c r="A39" s="5" t="inlineStr">
        <x:is>
          <x:t xml:space="preserve">REQ-33-HIPAA</x:t>
        </x:is>
      </x:c>
      <x:c r="B39" s="5" t="inlineStr">
        <x:is>
          <x:t xml:space="preserve">07.07a1Organizational.8</x:t>
        </x:is>
      </x:c>
      <x:c r="C39" s="12">
        <x:f>COUNTIFS(Normalized_Tuples!$E:$E,$A39,Normalized_Tuples!$F:$F,$B39)</x:f>
        <x:v>1</x:v>
      </x:c>
      <x:c r="D39" s="5" t="inlineStr">
        <x:is>
          <x:t xml:space="preserve">List of All Production Systems (Servers, VMs, Data Stores)</x:t>
        </x:is>
      </x:c>
      <x:c r="E39" s="5" t="inlineStr">
        <x:is>
          <x:t xml:space="preserve">Configuration</x:t>
        </x:is>
      </x:c>
      <x:c r="F39" s="5" t="inlineStr">
        <x:is>
          <x:t xml:space="preserve">HITRUST e1.csv</x:t>
        </x:is>
      </x:c>
      <x:c r="G39" s="5" t="inlineStr">
        <x:is>
          <x:t xml:space="preserve">Many:Many</x:t>
        </x:is>
      </x:c>
    </x:row>
    <x:row r="40">
      <x:c r="A40" s="5" t="inlineStr">
        <x:is>
          <x:t xml:space="preserve">REQ-33-HIPAA</x:t>
        </x:is>
      </x:c>
      <x:c r="B40" s="5" t="inlineStr">
        <x:is>
          <x:t xml:space="preserve">0701.07a1Organizational.7</x:t>
        </x:is>
      </x:c>
      <x:c r="C40" s="12">
        <x:f>COUNTIFS(Normalized_Tuples!$E:$E,$A40,Normalized_Tuples!$F:$F,$B40)</x:f>
        <x:v>1</x:v>
      </x:c>
      <x:c r="D40" s="5" t="inlineStr">
        <x:is>
          <x:t xml:space="preserve">List of All Production Systems (Servers, VMs, Data Stores)</x:t>
        </x:is>
      </x:c>
      <x:c r="E40" s="5" t="inlineStr">
        <x:is>
          <x:t xml:space="preserve">Configuration</x:t>
        </x:is>
      </x:c>
      <x:c r="F40" s="5" t="inlineStr">
        <x:is>
          <x:t xml:space="preserve">HITRUST e1.csv</x:t>
        </x:is>
      </x:c>
      <x:c r="G40" s="5" t="inlineStr">
        <x:is>
          <x:t xml:space="preserve">Many:Many</x:t>
        </x:is>
      </x:c>
    </x:row>
    <x:row r="41">
      <x:c r="A41" s="5" t="inlineStr">
        <x:is>
          <x:t xml:space="preserve">REQ-33-HIPAA</x:t>
        </x:is>
      </x:c>
      <x:c r="B41" s="5" t="inlineStr">
        <x:is>
          <x:t xml:space="preserve">0701.07a1Organizational.8</x:t>
        </x:is>
      </x:c>
      <x:c r="C41" s="12">
        <x:f>COUNTIFS(Normalized_Tuples!$E:$E,$A41,Normalized_Tuples!$F:$F,$B41)</x:f>
        <x:v>1</x:v>
      </x:c>
      <x:c r="D41" s="5" t="inlineStr">
        <x:is>
          <x:t xml:space="preserve">List of All Production Systems (Servers, VMs, Data Stores)</x:t>
        </x:is>
      </x:c>
      <x:c r="E41" s="5" t="inlineStr">
        <x:is>
          <x:t xml:space="preserve">Configuration</x:t>
        </x:is>
      </x:c>
      <x:c r="F41" s="5" t="inlineStr">
        <x:is>
          <x:t xml:space="preserve">HITRUST e1.csv</x:t>
        </x:is>
      </x:c>
      <x:c r="G41" s="5" t="inlineStr">
        <x:is>
          <x:t xml:space="preserve">Many:Many</x:t>
        </x:is>
      </x:c>
    </x:row>
    <x:row r="42">
      <x:c r="A42" s="5" t="inlineStr">
        <x:is>
          <x:t xml:space="preserve">REQ-33-HIPAA</x:t>
        </x:is>
      </x:c>
      <x:c r="B42" s="5" t="inlineStr">
        <x:is>
          <x:t xml:space="preserve">0862.09m2Organizational.8</x:t>
        </x:is>
      </x:c>
      <x:c r="C42" s="12">
        <x:f>COUNTIFS(Normalized_Tuples!$E:$E,$A42,Normalized_Tuples!$F:$F,$B42)</x:f>
        <x:v>1</x:v>
      </x:c>
      <x:c r="D42" s="5" t="inlineStr">
        <x:is>
          <x:t xml:space="preserve">Encryption In Transit (Ex. TLS Protocols)</x:t>
        </x:is>
      </x:c>
      <x:c r="E42" s="5" t="inlineStr">
        <x:is>
          <x:t xml:space="preserve">Configuration</x:t>
        </x:is>
      </x:c>
      <x:c r="F42" s="5" t="inlineStr">
        <x:is>
          <x:t xml:space="preserve">HITRUST e1.csv</x:t>
        </x:is>
      </x:c>
      <x:c r="G42" s="5" t="inlineStr">
        <x:is>
          <x:t xml:space="preserve">Many:Many</x:t>
        </x:is>
      </x:c>
    </x:row>
    <x:row r="43">
      <x:c r="A43" s="5" t="inlineStr">
        <x:is>
          <x:t xml:space="preserve">REQ-33-HIPAA</x:t>
        </x:is>
      </x:c>
      <x:c r="B43" s="5" t="inlineStr">
        <x:is>
          <x:t xml:space="preserve">0903.10f1Organizational.1.a</x:t>
        </x:is>
      </x:c>
      <x:c r="C43" s="12">
        <x:f>COUNTIFS(Normalized_Tuples!$E:$E,$A43,Normalized_Tuples!$F:$F,$B43)</x:f>
        <x:v>1</x:v>
      </x:c>
      <x:c r="D43" s="5" t="inlineStr">
        <x:is>
          <x:t xml:space="preserve">Encryption In Transit (Ex. TLS Protocols)</x:t>
        </x:is>
      </x:c>
      <x:c r="E43" s="5" t="inlineStr">
        <x:is>
          <x:t xml:space="preserve">Configuration</x:t>
        </x:is>
      </x:c>
      <x:c r="F43" s="5" t="inlineStr">
        <x:is>
          <x:t xml:space="preserve">HITRUST e1.csv</x:t>
        </x:is>
      </x:c>
      <x:c r="G43" s="5" t="inlineStr">
        <x:is>
          <x:t xml:space="preserve">Many:Many</x:t>
        </x:is>
      </x:c>
    </x:row>
    <x:row r="44">
      <x:c r="A44" s="5" t="inlineStr">
        <x:is>
          <x:t xml:space="preserve">REQ-33-HIPAA</x:t>
        </x:is>
      </x:c>
      <x:c r="B44" s="5" t="inlineStr">
        <x:is>
          <x:t xml:space="preserve">0913.09s1Organizational.5</x:t>
        </x:is>
      </x:c>
      <x:c r="C44" s="12">
        <x:f>COUNTIFS(Normalized_Tuples!$E:$E,$A44,Normalized_Tuples!$F:$F,$B44)</x:f>
        <x:v>1</x:v>
      </x:c>
      <x:c r="D44" s="5" t="inlineStr">
        <x:is>
          <x:t xml:space="preserve">Encryption In Transit (Ex. TLS Protocols)</x:t>
        </x:is>
      </x:c>
      <x:c r="E44" s="5" t="inlineStr">
        <x:is>
          <x:t xml:space="preserve">Configuration</x:t>
        </x:is>
      </x:c>
      <x:c r="F44" s="5" t="inlineStr">
        <x:is>
          <x:t xml:space="preserve">HITRUST e1.csv</x:t>
        </x:is>
      </x:c>
      <x:c r="G44" s="5" t="inlineStr">
        <x:is>
          <x:t xml:space="preserve">Many:Many</x:t>
        </x:is>
      </x:c>
    </x:row>
    <x:row r="45">
      <x:c r="A45" s="5" t="inlineStr">
        <x:is>
          <x:t xml:space="preserve">REQ-33-HIPAA</x:t>
        </x:is>
      </x:c>
      <x:c r="B45" s="5" t="inlineStr">
        <x:is>
          <x:t xml:space="preserve">0928.09v2Organizational.1</x:t>
        </x:is>
      </x:c>
      <x:c r="C45" s="12">
        <x:f>COUNTIFS(Normalized_Tuples!$E:$E,$A45,Normalized_Tuples!$F:$F,$B45)</x:f>
        <x:v>1</x:v>
      </x:c>
      <x:c r="D45" s="5" t="inlineStr">
        <x:is>
          <x:t xml:space="preserve">Encryption In Transit (Ex. TLS Protocols)</x:t>
        </x:is>
      </x:c>
      <x:c r="E45" s="5" t="inlineStr">
        <x:is>
          <x:t xml:space="preserve">Configuration</x:t>
        </x:is>
      </x:c>
      <x:c r="F45" s="5" t="inlineStr">
        <x:is>
          <x:t xml:space="preserve">HITRUST e1.csv</x:t>
        </x:is>
      </x:c>
      <x:c r="G45" s="5" t="inlineStr">
        <x:is>
          <x:t xml:space="preserve">Many:Many</x:t>
        </x:is>
      </x:c>
    </x:row>
    <x:row r="46">
      <x:c r="A46" s="5" t="inlineStr">
        <x:is>
          <x:t xml:space="preserve">REQ-33-HIPAA</x:t>
        </x:is>
      </x:c>
      <x:c r="B46" s="5" t="inlineStr">
        <x:is>
          <x:t xml:space="preserve">0945.09y1Organizational.3</x:t>
        </x:is>
      </x:c>
      <x:c r="C46" s="12">
        <x:f>COUNTIFS(Normalized_Tuples!$E:$E,$A46,Normalized_Tuples!$F:$F,$B46)</x:f>
        <x:v>1</x:v>
      </x:c>
      <x:c r="D46" s="5" t="inlineStr">
        <x:is>
          <x:t xml:space="preserve">Encryption In Transit (Ex. TLS Protocols)</x:t>
        </x:is>
      </x:c>
      <x:c r="E46" s="5" t="inlineStr">
        <x:is>
          <x:t xml:space="preserve">Configuration</x:t>
        </x:is>
      </x:c>
      <x:c r="F46" s="5" t="inlineStr">
        <x:is>
          <x:t xml:space="preserve">HITRUST e1.csv</x:t>
        </x:is>
      </x:c>
      <x:c r="G46" s="5" t="inlineStr">
        <x:is>
          <x:t xml:space="preserve">Many:Many</x:t>
        </x:is>
      </x:c>
    </x:row>
    <x:row r="47">
      <x:c r="A47" s="5" t="inlineStr">
        <x:is>
          <x:t xml:space="preserve">REQ-33-HIPAA</x:t>
        </x:is>
      </x:c>
      <x:c r="B47" s="5" t="inlineStr">
        <x:is>
          <x:t xml:space="preserve">0954.10d1System.1</x:t>
        </x:is>
      </x:c>
      <x:c r="C47" s="12">
        <x:f>COUNTIFS(Normalized_Tuples!$E:$E,$A47,Normalized_Tuples!$F:$F,$B47)</x:f>
        <x:v>1</x:v>
      </x:c>
      <x:c r="D47" s="5" t="inlineStr">
        <x:is>
          <x:t xml:space="preserve">Encryption In Transit (Ex. TLS Protocols)</x:t>
        </x:is>
      </x:c>
      <x:c r="E47" s="5" t="inlineStr">
        <x:is>
          <x:t xml:space="preserve">Configuration</x:t>
        </x:is>
      </x:c>
      <x:c r="F47" s="5" t="inlineStr">
        <x:is>
          <x:t xml:space="preserve">HITRUST e1.csv</x:t>
        </x:is>
      </x:c>
      <x:c r="G47" s="5" t="inlineStr">
        <x:is>
          <x:t xml:space="preserve">Many:Many</x:t>
        </x:is>
      </x:c>
    </x:row>
    <x:row r="48">
      <x:c r="A48" s="5" t="inlineStr">
        <x:is>
          <x:t xml:space="preserve">REQ-33-HIPAA</x:t>
        </x:is>
      </x:c>
      <x:c r="B48" s="5" t="inlineStr">
        <x:is>
          <x:t xml:space="preserve">1013.01r1System.2</x:t>
        </x:is>
      </x:c>
      <x:c r="C48" s="12">
        <x:f>COUNTIFS(Normalized_Tuples!$E:$E,$A48,Normalized_Tuples!$F:$F,$B48)</x:f>
        <x:v>1</x:v>
      </x:c>
      <x:c r="D48" s="5" t="inlineStr">
        <x:is>
          <x:t xml:space="preserve">Encryption In Transit (Ex. TLS Protocols)</x:t>
        </x:is>
      </x:c>
      <x:c r="E48" s="5" t="inlineStr">
        <x:is>
          <x:t xml:space="preserve">Configuration</x:t>
        </x:is>
      </x:c>
      <x:c r="F48" s="5" t="inlineStr">
        <x:is>
          <x:t xml:space="preserve">HITRUST e1.csv</x:t>
        </x:is>
      </x:c>
      <x:c r="G48" s="5" t="inlineStr">
        <x:is>
          <x:t xml:space="preserve">Many:Many</x:t>
        </x:is>
      </x:c>
    </x:row>
    <x:row r="49">
      <x:c r="A49" s="5" t="inlineStr">
        <x:is>
          <x:t xml:space="preserve">REQ-33-HIPAA</x:t>
        </x:is>
      </x:c>
      <x:c r="B49" s="5" t="inlineStr">
        <x:is>
          <x:t xml:space="preserve">1903.06d1Organizational.3456711</x:t>
        </x:is>
      </x:c>
      <x:c r="C49" s="12">
        <x:f>COUNTIFS(Normalized_Tuples!$E:$E,$A49,Normalized_Tuples!$F:$F,$B49)</x:f>
        <x:v>1</x:v>
      </x:c>
      <x:c r="D49" s="5" t="inlineStr">
        <x:is>
          <x:t xml:space="preserve">Data Encryption at Rest</x:t>
        </x:is>
      </x:c>
      <x:c r="E49" s="5" t="inlineStr">
        <x:is>
          <x:t xml:space="preserve">Configuration</x:t>
        </x:is>
      </x:c>
      <x:c r="F49" s="5" t="inlineStr">
        <x:is>
          <x:t xml:space="preserve">HITRUST e1.csv</x:t>
        </x:is>
      </x:c>
      <x:c r="G49" s="5" t="inlineStr">
        <x:is>
          <x:t xml:space="preserve">Many:Many</x:t>
        </x:is>
      </x:c>
    </x:row>
    <x:row r="50">
      <x:c r="A50" s="5" t="inlineStr">
        <x:is>
          <x:t xml:space="preserve">REQ-34-HIPAA</x:t>
        </x:is>
      </x:c>
      <x:c r="B50" s="5" t="inlineStr">
        <x:is>
          <x:t xml:space="preserve">04.01x1Organizational.5</x:t>
        </x:is>
      </x:c>
      <x:c r="C50" s="12">
        <x:f>COUNTIFS(Normalized_Tuples!$E:$E,$A50,Normalized_Tuples!$F:$F,$B50)</x:f>
        <x:v>1</x:v>
      </x:c>
      <x:c r="D50" s="5" t="inlineStr">
        <x:is>
          <x:t xml:space="preserve">Data Encryption at Rest</x:t>
        </x:is>
      </x:c>
      <x:c r="E50" s="5" t="inlineStr">
        <x:is>
          <x:t xml:space="preserve">Configuration</x:t>
        </x:is>
      </x:c>
      <x:c r="F50" s="5" t="inlineStr">
        <x:is>
          <x:t xml:space="preserve">HITRUST e1.csv</x:t>
        </x:is>
      </x:c>
      <x:c r="G50" s="5" t="inlineStr">
        <x:is>
          <x:t xml:space="preserve">Many:Many</x:t>
        </x:is>
      </x:c>
    </x:row>
    <x:row r="51">
      <x:c r="A51" s="5" t="inlineStr">
        <x:is>
          <x:t xml:space="preserve">REQ-34-HIPAA</x:t>
        </x:is>
      </x:c>
      <x:c r="B51" s="5" t="inlineStr">
        <x:is>
          <x:t xml:space="preserve">07.07a1Organizational.8</x:t>
        </x:is>
      </x:c>
      <x:c r="C51" s="12">
        <x:f>COUNTIFS(Normalized_Tuples!$E:$E,$A51,Normalized_Tuples!$F:$F,$B51)</x:f>
        <x:v>1</x:v>
      </x:c>
      <x:c r="D51" s="5" t="inlineStr">
        <x:is>
          <x:t xml:space="preserve">List of All Production Systems (Servers, VMs, Data Stores)</x:t>
        </x:is>
      </x:c>
      <x:c r="E51" s="5" t="inlineStr">
        <x:is>
          <x:t xml:space="preserve">Configuration</x:t>
        </x:is>
      </x:c>
      <x:c r="F51" s="5" t="inlineStr">
        <x:is>
          <x:t xml:space="preserve">HITRUST e1.csv</x:t>
        </x:is>
      </x:c>
      <x:c r="G51" s="5" t="inlineStr">
        <x:is>
          <x:t xml:space="preserve">Many:Many</x:t>
        </x:is>
      </x:c>
    </x:row>
    <x:row r="52">
      <x:c r="A52" s="5" t="inlineStr">
        <x:is>
          <x:t xml:space="preserve">REQ-34-HIPAA</x:t>
        </x:is>
      </x:c>
      <x:c r="B52" s="5" t="inlineStr">
        <x:is>
          <x:t xml:space="preserve">0701.07a1Organizational.7</x:t>
        </x:is>
      </x:c>
      <x:c r="C52" s="12">
        <x:f>COUNTIFS(Normalized_Tuples!$E:$E,$A52,Normalized_Tuples!$F:$F,$B52)</x:f>
        <x:v>1</x:v>
      </x:c>
      <x:c r="D52" s="5" t="inlineStr">
        <x:is>
          <x:t xml:space="preserve">List of All Production Systems (Servers, VMs, Data Stores)</x:t>
        </x:is>
      </x:c>
      <x:c r="E52" s="5" t="inlineStr">
        <x:is>
          <x:t xml:space="preserve">Configuration</x:t>
        </x:is>
      </x:c>
      <x:c r="F52" s="5" t="inlineStr">
        <x:is>
          <x:t xml:space="preserve">HITRUST e1.csv</x:t>
        </x:is>
      </x:c>
      <x:c r="G52" s="5" t="inlineStr">
        <x:is>
          <x:t xml:space="preserve">Many:Many</x:t>
        </x:is>
      </x:c>
    </x:row>
    <x:row r="53">
      <x:c r="A53" s="5" t="inlineStr">
        <x:is>
          <x:t xml:space="preserve">REQ-34-HIPAA</x:t>
        </x:is>
      </x:c>
      <x:c r="B53" s="5" t="inlineStr">
        <x:is>
          <x:t xml:space="preserve">0701.07a1Organizational.8</x:t>
        </x:is>
      </x:c>
      <x:c r="C53" s="12">
        <x:f>COUNTIFS(Normalized_Tuples!$E:$E,$A53,Normalized_Tuples!$F:$F,$B53)</x:f>
        <x:v>1</x:v>
      </x:c>
      <x:c r="D53" s="5" t="inlineStr">
        <x:is>
          <x:t xml:space="preserve">List of All Production Systems (Servers, VMs, Data Stores)</x:t>
        </x:is>
      </x:c>
      <x:c r="E53" s="5" t="inlineStr">
        <x:is>
          <x:t xml:space="preserve">Configuration</x:t>
        </x:is>
      </x:c>
      <x:c r="F53" s="5" t="inlineStr">
        <x:is>
          <x:t xml:space="preserve">HITRUST e1.csv</x:t>
        </x:is>
      </x:c>
      <x:c r="G53" s="5" t="inlineStr">
        <x:is>
          <x:t xml:space="preserve">Many:Many</x:t>
        </x:is>
      </x:c>
    </x:row>
    <x:row r="54">
      <x:c r="A54" s="5" t="inlineStr">
        <x:is>
          <x:t xml:space="preserve">REQ-34-HIPAA</x:t>
        </x:is>
      </x:c>
      <x:c r="B54" s="5" t="inlineStr">
        <x:is>
          <x:t xml:space="preserve">1903.06d1Organizational.3456711</x:t>
        </x:is>
      </x:c>
      <x:c r="C54" s="12">
        <x:f>COUNTIFS(Normalized_Tuples!$E:$E,$A54,Normalized_Tuples!$F:$F,$B54)</x:f>
        <x:v>1</x:v>
      </x:c>
      <x:c r="D54" s="5" t="inlineStr">
        <x:is>
          <x:t xml:space="preserve">Data Encryption at Rest</x:t>
        </x:is>
      </x:c>
      <x:c r="E54" s="5" t="inlineStr">
        <x:is>
          <x:t xml:space="preserve">Configuration</x:t>
        </x:is>
      </x:c>
      <x:c r="F54" s="5" t="inlineStr">
        <x:is>
          <x:t xml:space="preserve">HITRUST e1.csv</x:t>
        </x:is>
      </x:c>
      <x:c r="G54" s="5" t="inlineStr">
        <x:is>
          <x:t xml:space="preserve">Many:Many</x:t>
        </x:is>
      </x:c>
    </x:row>
    <x:row r="55">
      <x:c r="A55" s="5" t="inlineStr">
        <x:is>
          <x:t xml:space="preserve">REQ-35-HIPAA</x:t>
        </x:is>
      </x:c>
      <x:c r="B55" s="5" t="inlineStr">
        <x:is>
          <x:t xml:space="preserve">0862.09m2Organizational.8</x:t>
        </x:is>
      </x:c>
      <x:c r="C55" s="12">
        <x:f>COUNTIFS(Normalized_Tuples!$E:$E,$A55,Normalized_Tuples!$F:$F,$B55)</x:f>
        <x:v>1</x:v>
      </x:c>
      <x:c r="D55" s="5" t="inlineStr">
        <x:is>
          <x:t xml:space="preserve">Encryption In Transit (Ex. TLS Protocols)</x:t>
        </x:is>
      </x:c>
      <x:c r="E55" s="5" t="inlineStr">
        <x:is>
          <x:t xml:space="preserve">Configuration</x:t>
        </x:is>
      </x:c>
      <x:c r="F55" s="5" t="inlineStr">
        <x:is>
          <x:t xml:space="preserve">HITRUST e1.csv</x:t>
        </x:is>
      </x:c>
      <x:c r="G55" s="5" t="inlineStr">
        <x:is>
          <x:t xml:space="preserve">Many:Many</x:t>
        </x:is>
      </x:c>
    </x:row>
    <x:row r="56">
      <x:c r="A56" s="5" t="inlineStr">
        <x:is>
          <x:t xml:space="preserve">REQ-35-HIPAA</x:t>
        </x:is>
      </x:c>
      <x:c r="B56" s="5" t="inlineStr">
        <x:is>
          <x:t xml:space="preserve">0903.10f1Organizational.1.a</x:t>
        </x:is>
      </x:c>
      <x:c r="C56" s="12">
        <x:f>COUNTIFS(Normalized_Tuples!$E:$E,$A56,Normalized_Tuples!$F:$F,$B56)</x:f>
        <x:v>1</x:v>
      </x:c>
      <x:c r="D56" s="5" t="inlineStr">
        <x:is>
          <x:t xml:space="preserve">Encryption In Transit (Ex. TLS Protocols)</x:t>
        </x:is>
      </x:c>
      <x:c r="E56" s="5" t="inlineStr">
        <x:is>
          <x:t xml:space="preserve">Configuration</x:t>
        </x:is>
      </x:c>
      <x:c r="F56" s="5" t="inlineStr">
        <x:is>
          <x:t xml:space="preserve">HITRUST e1.csv</x:t>
        </x:is>
      </x:c>
      <x:c r="G56" s="5" t="inlineStr">
        <x:is>
          <x:t xml:space="preserve">Many:Many</x:t>
        </x:is>
      </x:c>
    </x:row>
    <x:row r="57">
      <x:c r="A57" s="5" t="inlineStr">
        <x:is>
          <x:t xml:space="preserve">REQ-35-HIPAA</x:t>
        </x:is>
      </x:c>
      <x:c r="B57" s="5" t="inlineStr">
        <x:is>
          <x:t xml:space="preserve">0913.09s1Organizational.5</x:t>
        </x:is>
      </x:c>
      <x:c r="C57" s="12">
        <x:f>COUNTIFS(Normalized_Tuples!$E:$E,$A57,Normalized_Tuples!$F:$F,$B57)</x:f>
        <x:v>1</x:v>
      </x:c>
      <x:c r="D57" s="5" t="inlineStr">
        <x:is>
          <x:t xml:space="preserve">Encryption In Transit (Ex. TLS Protocols)</x:t>
        </x:is>
      </x:c>
      <x:c r="E57" s="5" t="inlineStr">
        <x:is>
          <x:t xml:space="preserve">Configuration</x:t>
        </x:is>
      </x:c>
      <x:c r="F57" s="5" t="inlineStr">
        <x:is>
          <x:t xml:space="preserve">HITRUST e1.csv</x:t>
        </x:is>
      </x:c>
      <x:c r="G57" s="5" t="inlineStr">
        <x:is>
          <x:t xml:space="preserve">Many:Many</x:t>
        </x:is>
      </x:c>
    </x:row>
    <x:row r="58">
      <x:c r="A58" s="5" t="inlineStr">
        <x:is>
          <x:t xml:space="preserve">REQ-35-HIPAA</x:t>
        </x:is>
      </x:c>
      <x:c r="B58" s="5" t="inlineStr">
        <x:is>
          <x:t xml:space="preserve">0928.09v2Organizational.1</x:t>
        </x:is>
      </x:c>
      <x:c r="C58" s="12">
        <x:f>COUNTIFS(Normalized_Tuples!$E:$E,$A58,Normalized_Tuples!$F:$F,$B58)</x:f>
        <x:v>1</x:v>
      </x:c>
      <x:c r="D58" s="5" t="inlineStr">
        <x:is>
          <x:t xml:space="preserve">Encryption In Transit (Ex. TLS Protocols)</x:t>
        </x:is>
      </x:c>
      <x:c r="E58" s="5" t="inlineStr">
        <x:is>
          <x:t xml:space="preserve">Configuration</x:t>
        </x:is>
      </x:c>
      <x:c r="F58" s="5" t="inlineStr">
        <x:is>
          <x:t xml:space="preserve">HITRUST e1.csv</x:t>
        </x:is>
      </x:c>
      <x:c r="G58" s="5" t="inlineStr">
        <x:is>
          <x:t xml:space="preserve">Many:Many</x:t>
        </x:is>
      </x:c>
    </x:row>
    <x:row r="59">
      <x:c r="A59" s="5" t="inlineStr">
        <x:is>
          <x:t xml:space="preserve">REQ-35-HIPAA</x:t>
        </x:is>
      </x:c>
      <x:c r="B59" s="5" t="inlineStr">
        <x:is>
          <x:t xml:space="preserve">0945.09y1Organizational.3</x:t>
        </x:is>
      </x:c>
      <x:c r="C59" s="12">
        <x:f>COUNTIFS(Normalized_Tuples!$E:$E,$A59,Normalized_Tuples!$F:$F,$B59)</x:f>
        <x:v>1</x:v>
      </x:c>
      <x:c r="D59" s="5" t="inlineStr">
        <x:is>
          <x:t xml:space="preserve">Encryption In Transit (Ex. TLS Protocols)</x:t>
        </x:is>
      </x:c>
      <x:c r="E59" s="5" t="inlineStr">
        <x:is>
          <x:t xml:space="preserve">Configuration</x:t>
        </x:is>
      </x:c>
      <x:c r="F59" s="5" t="inlineStr">
        <x:is>
          <x:t xml:space="preserve">HITRUST e1.csv</x:t>
        </x:is>
      </x:c>
      <x:c r="G59" s="5" t="inlineStr">
        <x:is>
          <x:t xml:space="preserve">Many:Many</x:t>
        </x:is>
      </x:c>
    </x:row>
    <x:row r="60">
      <x:c r="A60" s="5" t="inlineStr">
        <x:is>
          <x:t xml:space="preserve">REQ-35-HIPAA</x:t>
        </x:is>
      </x:c>
      <x:c r="B60" s="5" t="inlineStr">
        <x:is>
          <x:t xml:space="preserve">0954.10d1System.1</x:t>
        </x:is>
      </x:c>
      <x:c r="C60" s="12">
        <x:f>COUNTIFS(Normalized_Tuples!$E:$E,$A60,Normalized_Tuples!$F:$F,$B60)</x:f>
        <x:v>1</x:v>
      </x:c>
      <x:c r="D60" s="5" t="inlineStr">
        <x:is>
          <x:t xml:space="preserve">Encryption In Transit (Ex. TLS Protocols)</x:t>
        </x:is>
      </x:c>
      <x:c r="E60" s="5" t="inlineStr">
        <x:is>
          <x:t xml:space="preserve">Configuration</x:t>
        </x:is>
      </x:c>
      <x:c r="F60" s="5" t="inlineStr">
        <x:is>
          <x:t xml:space="preserve">HITRUST e1.csv</x:t>
        </x:is>
      </x:c>
      <x:c r="G60" s="5" t="inlineStr">
        <x:is>
          <x:t xml:space="preserve">Many:Many</x:t>
        </x:is>
      </x:c>
    </x:row>
    <x:row r="61">
      <x:c r="A61" s="5" t="inlineStr">
        <x:is>
          <x:t xml:space="preserve">REQ-35-HIPAA</x:t>
        </x:is>
      </x:c>
      <x:c r="B61" s="5" t="inlineStr">
        <x:is>
          <x:t xml:space="preserve">1013.01r1System.2</x:t>
        </x:is>
      </x:c>
      <x:c r="C61" s="12">
        <x:f>COUNTIFS(Normalized_Tuples!$E:$E,$A61,Normalized_Tuples!$F:$F,$B61)</x:f>
        <x:v>1</x:v>
      </x:c>
      <x:c r="D61" s="5" t="inlineStr">
        <x:is>
          <x:t xml:space="preserve">Encryption In Transit (Ex. TLS Protocols)</x:t>
        </x:is>
      </x:c>
      <x:c r="E61" s="5" t="inlineStr">
        <x:is>
          <x:t xml:space="preserve">Configuration</x:t>
        </x:is>
      </x:c>
      <x:c r="F61" s="5" t="inlineStr">
        <x:is>
          <x:t xml:space="preserve">HITRUST e1.csv</x:t>
        </x:is>
      </x:c>
      <x:c r="G61" s="5" t="inlineStr">
        <x:is>
          <x:t xml:space="preserve">Many:Many</x:t>
        </x:is>
      </x:c>
    </x:row>
    <x:row r="62">
      <x:c r="A62" s="5" t="inlineStr">
        <x:is>
          <x:t xml:space="preserve">REQ-35-HIPAA</x:t>
        </x:is>
      </x:c>
      <x:c r="B62" s="5" t="inlineStr">
        <x:is>
          <x:t xml:space="preserve">1903.06d1Organizational.3456711</x:t>
        </x:is>
      </x:c>
      <x:c r="C62" s="12">
        <x:f>COUNTIFS(Normalized_Tuples!$E:$E,$A62,Normalized_Tuples!$F:$F,$B62)</x:f>
        <x:v>1</x:v>
      </x:c>
      <x:c r="D62" s="5" t="inlineStr">
        <x:is>
          <x:t xml:space="preserve">Data Encryption at Rest</x:t>
        </x:is>
      </x:c>
      <x:c r="E62" s="5" t="inlineStr">
        <x:is>
          <x:t xml:space="preserve">Configuration</x:t>
        </x:is>
      </x:c>
      <x:c r="F62" s="5" t="inlineStr">
        <x:is>
          <x:t xml:space="preserve">HITRUST e1.csv</x:t>
        </x:is>
      </x:c>
      <x:c r="G62" s="5" t="inlineStr">
        <x:is>
          <x:t xml:space="preserve">Many:Many</x:t>
        </x:is>
      </x:c>
    </x:row>
    <x:row r="63">
      <x:c r="A63" s="5" t="inlineStr">
        <x:is>
          <x:t xml:space="preserve">REQ-36-HIPAA</x:t>
        </x:is>
      </x:c>
      <x:c r="B63" s="5" t="inlineStr">
        <x:is>
          <x:t xml:space="preserve">0504.09m1Organizational.13</x:t>
        </x:is>
      </x:c>
      <x:c r="C63" s="12">
        <x:f>COUNTIFS(Normalized_Tuples!$E:$E,$A63,Normalized_Tuples!$F:$F,$B63)</x:f>
        <x:v>1</x:v>
      </x:c>
      <x:c r="D63" s="5" t="inlineStr">
        <x:is>
          <x:t xml:space="preserve">Network Diagram and Segmentation</x:t>
        </x:is>
      </x:c>
      <x:c r="E63" s="5" t="inlineStr">
        <x:is>
          <x:t xml:space="preserve">Configuration</x:t>
        </x:is>
      </x:c>
      <x:c r="F63" s="5" t="inlineStr">
        <x:is>
          <x:t xml:space="preserve">HITRUST e1.csv</x:t>
        </x:is>
      </x:c>
      <x:c r="G63" s="5" t="inlineStr">
        <x:is>
          <x:t xml:space="preserve">1:Many</x:t>
        </x:is>
      </x:c>
    </x:row>
    <x:row r="64">
      <x:c r="A64" s="5" t="inlineStr">
        <x:is>
          <x:t xml:space="preserve">REQ-36-HIPAA</x:t>
        </x:is>
      </x:c>
      <x:c r="B64" s="5" t="inlineStr">
        <x:is>
          <x:t xml:space="preserve">0805.01m1Organizational.12</x:t>
        </x:is>
      </x:c>
      <x:c r="C64" s="12">
        <x:f>COUNTIFS(Normalized_Tuples!$E:$E,$A64,Normalized_Tuples!$F:$F,$B64)</x:f>
        <x:v>1</x:v>
      </x:c>
      <x:c r="D64" s="5" t="inlineStr">
        <x:is>
          <x:t xml:space="preserve">Network Diagram and Segmentation</x:t>
        </x:is>
      </x:c>
      <x:c r="E64" s="5" t="inlineStr">
        <x:is>
          <x:t xml:space="preserve">Configuration</x:t>
        </x:is>
      </x:c>
      <x:c r="F64" s="5" t="inlineStr">
        <x:is>
          <x:t xml:space="preserve">HITRUST e1.csv</x:t>
        </x:is>
      </x:c>
      <x:c r="G64" s="5" t="inlineStr">
        <x:is>
          <x:t xml:space="preserve">1:Many</x:t>
        </x:is>
      </x:c>
    </x:row>
    <x:row r="65">
      <x:c r="A65" s="5" t="inlineStr">
        <x:is>
          <x:t xml:space="preserve">REQ-37-HIPAA</x:t>
        </x:is>
      </x:c>
      <x:c r="B65" s="5" t="inlineStr">
        <x:is>
          <x:t xml:space="preserve">0265.09m1Organizational.2</x:t>
        </x:is>
      </x:c>
      <x:c r="C65" s="12">
        <x:f>COUNTIFS(Normalized_Tuples!$E:$E,$A65,Normalized_Tuples!$F:$F,$B65)</x:f>
        <x:v>1</x:v>
      </x:c>
      <x:c r="D65" s="5" t="inlineStr">
        <x:is>
          <x:t xml:space="preserve">Firewall Rules/Security Groups</x:t>
        </x:is>
      </x:c>
      <x:c r="E65" s="5" t="inlineStr">
        <x:is>
          <x:t xml:space="preserve">Configuration</x:t>
        </x:is>
      </x:c>
      <x:c r="F65" s="5" t="inlineStr">
        <x:is>
          <x:t xml:space="preserve">HITRUST e1.csv</x:t>
        </x:is>
      </x:c>
      <x:c r="G65" s="5" t="inlineStr">
        <x:is>
          <x:t xml:space="preserve">1:Many</x:t>
        </x:is>
      </x:c>
    </x:row>
    <x:row r="66">
      <x:c r="A66" s="5" t="inlineStr">
        <x:is>
          <x:t xml:space="preserve">REQ-37-HIPAA</x:t>
        </x:is>
      </x:c>
      <x:c r="B66" s="5" t="inlineStr">
        <x:is>
          <x:t xml:space="preserve">0805.01m1Organizational.12</x:t>
        </x:is>
      </x:c>
      <x:c r="C66" s="12">
        <x:f>COUNTIFS(Normalized_Tuples!$E:$E,$A66,Normalized_Tuples!$F:$F,$B66)</x:f>
        <x:v>1</x:v>
      </x:c>
      <x:c r="D66" s="5" t="inlineStr">
        <x:is>
          <x:t xml:space="preserve">Firewall Rules/Security Groups</x:t>
        </x:is>
      </x:c>
      <x:c r="E66" s="5" t="inlineStr">
        <x:is>
          <x:t xml:space="preserve">Configuration</x:t>
        </x:is>
      </x:c>
      <x:c r="F66" s="5" t="inlineStr">
        <x:is>
          <x:t xml:space="preserve">HITRUST e1.csv</x:t>
        </x:is>
      </x:c>
      <x:c r="G66" s="5" t="inlineStr">
        <x:is>
          <x:t xml:space="preserve">1:Many</x:t>
        </x:is>
      </x:c>
    </x:row>
    <x:row r="67">
      <x:c r="A67" s="5" t="inlineStr">
        <x:is>
          <x:t xml:space="preserve">REQ-38-HIPAA</x:t>
        </x:is>
      </x:c>
      <x:c r="B67" s="5" t="inlineStr">
        <x:is>
          <x:t xml:space="preserve">0207.09j1Organizational.6</x:t>
        </x:is>
      </x:c>
      <x:c r="C67" s="12">
        <x:f>COUNTIFS(Normalized_Tuples!$E:$E,$A67,Normalized_Tuples!$F:$F,$B67)</x:f>
        <x:v>1</x:v>
      </x:c>
      <x:c r="D67" s="5" t="inlineStr">
        <x:is>
          <x:t xml:space="preserve">Anti-malware and Alerts</x:t>
        </x:is>
      </x:c>
      <x:c r="E67" s="5" t="inlineStr">
        <x:is>
          <x:t xml:space="preserve">Configuration</x:t>
        </x:is>
      </x:c>
      <x:c r="F67" s="5" t="inlineStr">
        <x:is>
          <x:t xml:space="preserve">HITRUST e1.csv</x:t>
        </x:is>
      </x:c>
      <x:c r="G67" s="5" t="inlineStr">
        <x:is>
          <x:t xml:space="preserve">1:Many</x:t>
        </x:is>
      </x:c>
    </x:row>
    <x:row r="68">
      <x:c r="A68" s="5" t="inlineStr">
        <x:is>
          <x:t xml:space="preserve">REQ-38-HIPAA</x:t>
        </x:is>
      </x:c>
      <x:c r="B68" s="5" t="inlineStr">
        <x:is>
          <x:t xml:space="preserve">0226.09k1Organizational.2</x:t>
        </x:is>
      </x:c>
      <x:c r="C68" s="12">
        <x:f>COUNTIFS(Normalized_Tuples!$E:$E,$A68,Normalized_Tuples!$F:$F,$B68)</x:f>
        <x:v>1</x:v>
      </x:c>
      <x:c r="D68" s="5" t="inlineStr">
        <x:is>
          <x:t xml:space="preserve">Anti-malware and Alerts</x:t>
        </x:is>
      </x:c>
      <x:c r="E68" s="5" t="inlineStr">
        <x:is>
          <x:t xml:space="preserve">Configuration</x:t>
        </x:is>
      </x:c>
      <x:c r="F68" s="5" t="inlineStr">
        <x:is>
          <x:t xml:space="preserve">HITRUST e1.csv</x:t>
        </x:is>
      </x:c>
      <x:c r="G68" s="5" t="inlineStr">
        <x:is>
          <x:t xml:space="preserve">1:Many</x:t>
        </x:is>
      </x:c>
    </x:row>
    <x:row r="69">
      <x:c r="A69" s="5" t="inlineStr">
        <x:is>
          <x:t xml:space="preserve">REQ-38-HIPAA</x:t>
        </x:is>
      </x:c>
      <x:c r="B69" s="5" t="inlineStr">
        <x:is>
          <x:t xml:space="preserve">02962.09j1Organizational.5</x:t>
        </x:is>
      </x:c>
      <x:c r="C69" s="12">
        <x:f>COUNTIFS(Normalized_Tuples!$E:$E,$A69,Normalized_Tuples!$F:$F,$B69)</x:f>
        <x:v>1</x:v>
      </x:c>
      <x:c r="D69" s="5" t="inlineStr">
        <x:is>
          <x:t xml:space="preserve">Anti-malware and Alerts</x:t>
        </x:is>
      </x:c>
      <x:c r="E69" s="5" t="inlineStr">
        <x:is>
          <x:t xml:space="preserve">Configuration</x:t>
        </x:is>
      </x:c>
      <x:c r="F69" s="5" t="inlineStr">
        <x:is>
          <x:t xml:space="preserve">HITRUST e1.csv</x:t>
        </x:is>
      </x:c>
      <x:c r="G69" s="5" t="inlineStr">
        <x:is>
          <x:t xml:space="preserve">1:Many</x:t>
        </x:is>
      </x:c>
    </x:row>
    <x:row r="70">
      <x:c r="A70" s="5" t="inlineStr">
        <x:is>
          <x:t xml:space="preserve">REQ-38-HIPAA</x:t>
        </x:is>
      </x:c>
      <x:c r="B70" s="5" t="inlineStr">
        <x:is>
          <x:t xml:space="preserve">08.09m1Organizational.8</x:t>
        </x:is>
      </x:c>
      <x:c r="C70" s="12">
        <x:f>COUNTIFS(Normalized_Tuples!$E:$E,$A70,Normalized_Tuples!$F:$F,$B70)</x:f>
        <x:v>1</x:v>
      </x:c>
      <x:c r="D70" s="5" t="inlineStr">
        <x:is>
          <x:t xml:space="preserve">Anti-malware and Alerts</x:t>
        </x:is>
      </x:c>
      <x:c r="E70" s="5" t="inlineStr">
        <x:is>
          <x:t xml:space="preserve">Configuration</x:t>
        </x:is>
      </x:c>
      <x:c r="F70" s="5" t="inlineStr">
        <x:is>
          <x:t xml:space="preserve">HITRUST e1.csv</x:t>
        </x:is>
      </x:c>
      <x:c r="G70" s="5" t="inlineStr">
        <x:is>
          <x:t xml:space="preserve">1:Many</x:t>
        </x:is>
      </x:c>
    </x:row>
    <x:row r="71">
      <x:c r="A71" s="5" t="inlineStr">
        <x:is>
          <x:t xml:space="preserve">REQ-43-HIPAA</x:t>
        </x:is>
      </x:c>
      <x:c r="B71" s="5" t="inlineStr">
        <x:is>
          <x:t xml:space="preserve">07.07a1Organizational.8</x:t>
        </x:is>
      </x:c>
      <x:c r="C71" s="12">
        <x:f>COUNTIFS(Normalized_Tuples!$E:$E,$A71,Normalized_Tuples!$F:$F,$B71)</x:f>
        <x:v>1</x:v>
      </x:c>
      <x:c r="D71" s="5" t="inlineStr">
        <x:is>
          <x:t xml:space="preserve">List of All Production Systems (Servers, VMs, Data Stores)</x:t>
        </x:is>
      </x:c>
      <x:c r="E71" s="5" t="inlineStr">
        <x:is>
          <x:t xml:space="preserve">Configuration</x:t>
        </x:is>
      </x:c>
      <x:c r="F71" s="5" t="inlineStr">
        <x:is>
          <x:t xml:space="preserve">HITRUST e1.csv</x:t>
        </x:is>
      </x:c>
      <x:c r="G71" s="5" t="inlineStr">
        <x:is>
          <x:t xml:space="preserve">Many:Many</x:t>
        </x:is>
      </x:c>
    </x:row>
    <x:row r="72">
      <x:c r="A72" s="5" t="inlineStr">
        <x:is>
          <x:t xml:space="preserve">REQ-43-HIPAA</x:t>
        </x:is>
      </x:c>
      <x:c r="B72" s="5" t="inlineStr">
        <x:is>
          <x:t xml:space="preserve">0701.07a1Organizational.7</x:t>
        </x:is>
      </x:c>
      <x:c r="C72" s="12">
        <x:f>COUNTIFS(Normalized_Tuples!$E:$E,$A72,Normalized_Tuples!$F:$F,$B72)</x:f>
        <x:v>1</x:v>
      </x:c>
      <x:c r="D72" s="5" t="inlineStr">
        <x:is>
          <x:t xml:space="preserve">List of All Production Systems (Servers, VMs, Data Stores)</x:t>
        </x:is>
      </x:c>
      <x:c r="E72" s="5" t="inlineStr">
        <x:is>
          <x:t xml:space="preserve">Configuration</x:t>
        </x:is>
      </x:c>
      <x:c r="F72" s="5" t="inlineStr">
        <x:is>
          <x:t xml:space="preserve">HITRUST e1.csv</x:t>
        </x:is>
      </x:c>
      <x:c r="G72" s="5" t="inlineStr">
        <x:is>
          <x:t xml:space="preserve">Many:Many</x:t>
        </x:is>
      </x:c>
    </x:row>
    <x:row r="73">
      <x:c r="A73" s="5" t="inlineStr">
        <x:is>
          <x:t xml:space="preserve">REQ-43-HIPAA</x:t>
        </x:is>
      </x:c>
      <x:c r="B73" s="5" t="inlineStr">
        <x:is>
          <x:t xml:space="preserve">0701.07a1Organizational.8</x:t>
        </x:is>
      </x:c>
      <x:c r="C73" s="12">
        <x:f>COUNTIFS(Normalized_Tuples!$E:$E,$A73,Normalized_Tuples!$F:$F,$B73)</x:f>
        <x:v>1</x:v>
      </x:c>
      <x:c r="D73" s="5" t="inlineStr">
        <x:is>
          <x:t xml:space="preserve">List of All Production Systems (Servers, VMs, Data Stores)</x:t>
        </x:is>
      </x:c>
      <x:c r="E73" s="5" t="inlineStr">
        <x:is>
          <x:t xml:space="preserve">Configuration</x:t>
        </x:is>
      </x:c>
      <x:c r="F73" s="5" t="inlineStr">
        <x:is>
          <x:t xml:space="preserve">HITRUST e1.csv</x:t>
        </x:is>
      </x:c>
      <x:c r="G73" s="5" t="inlineStr">
        <x:is>
          <x:t xml:space="preserve">Many:Many</x:t>
        </x:is>
      </x:c>
    </x:row>
    <x:row r="74">
      <x:c r="A74" s="5" t="inlineStr">
        <x:is>
          <x:t xml:space="preserve">REQ-46-HIPAA</x:t>
        </x:is>
      </x:c>
      <x:c r="B74" s="5" t="inlineStr">
        <x:is>
          <x:t xml:space="preserve">07.10m1Organizational.3</x:t>
        </x:is>
      </x:c>
      <x:c r="C74" s="12">
        <x:f>COUNTIFS(Normalized_Tuples!$E:$E,$A74,Normalized_Tuples!$F:$F,$B74)</x:f>
        <x:v>1</x:v>
      </x:c>
      <x:c r="D74" s="5" t="inlineStr">
        <x:is>
          <x:t xml:space="preserve">Evidence of Vulnerability Scan Results</x:t>
        </x:is>
      </x:c>
      <x:c r="E74" s="5" t="inlineStr">
        <x:is>
          <x:t xml:space="preserve">Sample</x:t>
        </x:is>
      </x:c>
      <x:c r="F74" s="5" t="inlineStr">
        <x:is>
          <x:t xml:space="preserve">HITRUST e1.csv</x:t>
        </x:is>
      </x:c>
      <x:c r="G74" s="5" t="inlineStr">
        <x:is>
          <x:t xml:space="preserve">Many:1</x:t>
        </x:is>
      </x:c>
    </x:row>
    <x:row r="75">
      <x:c r="A75" s="5" t="inlineStr">
        <x:is>
          <x:t xml:space="preserve">REQ-47-HIPAA</x:t>
        </x:is>
      </x:c>
      <x:c r="B75" s="5" t="inlineStr">
        <x:is>
          <x:t xml:space="preserve">07.10m1Organizational.3</x:t>
        </x:is>
      </x:c>
      <x:c r="C75" s="12">
        <x:f>COUNTIFS(Normalized_Tuples!$E:$E,$A75,Normalized_Tuples!$F:$F,$B75)</x:f>
        <x:v>1</x:v>
      </x:c>
      <x:c r="D75" s="5" t="inlineStr">
        <x:is>
          <x:t xml:space="preserve">Evidence of Vulnerability Scan Results</x:t>
        </x:is>
      </x:c>
      <x:c r="E75" s="5" t="inlineStr">
        <x:is>
          <x:t xml:space="preserve">Sample</x:t>
        </x:is>
      </x:c>
      <x:c r="F75" s="5" t="inlineStr">
        <x:is>
          <x:t xml:space="preserve">HITRUST e1.csv</x:t>
        </x:is>
      </x:c>
      <x:c r="G75" s="5" t="inlineStr">
        <x:is>
          <x:t xml:space="preserve">Many:1</x:t>
        </x:is>
      </x:c>
    </x:row>
    <x:row r="76">
      <x:c r="A76" s="5" t="inlineStr">
        <x:is>
          <x:t xml:space="preserve">REQ-48-HIPAA</x:t>
        </x:is>
      </x:c>
      <x:c r="B76" s="5" t="inlineStr">
        <x:is>
          <x:t xml:space="preserve">1561.11c1Organizational.4</x:t>
        </x:is>
      </x:c>
      <x:c r="C76" s="12">
        <x:f>COUNTIFS(Normalized_Tuples!$E:$E,$A76,Normalized_Tuples!$F:$F,$B76)</x:f>
        <x:v>1</x:v>
      </x:c>
      <x:c r="D76" s="5" t="inlineStr">
        <x:is>
          <x:t xml:space="preserve">Incident Response</x:t>
        </x:is>
      </x:c>
      <x:c r="E76" s="5" t="inlineStr">
        <x:is>
          <x:t xml:space="preserve">Policy</x:t>
        </x:is>
      </x:c>
      <x:c r="F76" s="5" t="inlineStr">
        <x:is>
          <x:t xml:space="preserve">HITRUST e1.csv</x:t>
        </x:is>
      </x:c>
      <x:c r="G76" s="5" t="inlineStr">
        <x:is>
          <x:t xml:space="preserve">Many:Many</x:t>
        </x:is>
      </x:c>
    </x:row>
    <x:row r="77">
      <x:c r="A77" s="5" t="inlineStr">
        <x:is>
          <x:t xml:space="preserve">REQ-48-HIPAA</x:t>
        </x:is>
      </x:c>
      <x:c r="B77" s="5" t="inlineStr">
        <x:is>
          <x:t xml:space="preserve">1589.11c1Organizational.5</x:t>
        </x:is>
      </x:c>
      <x:c r="C77" s="12">
        <x:f>COUNTIFS(Normalized_Tuples!$E:$E,$A77,Normalized_Tuples!$F:$F,$B77)</x:f>
        <x:v>1</x:v>
      </x:c>
      <x:c r="D77" s="5" t="inlineStr">
        <x:is>
          <x:t xml:space="preserve">Incident Response</x:t>
        </x:is>
      </x:c>
      <x:c r="E77" s="5" t="inlineStr">
        <x:is>
          <x:t xml:space="preserve">Policy</x:t>
        </x:is>
      </x:c>
      <x:c r="F77" s="5" t="inlineStr">
        <x:is>
          <x:t xml:space="preserve">HITRUST e1.csv</x:t>
        </x:is>
      </x:c>
      <x:c r="G77" s="5" t="inlineStr">
        <x:is>
          <x:t xml:space="preserve">Many:Many</x:t>
        </x:is>
      </x:c>
    </x:row>
    <x:row r="78">
      <x:c r="A78" s="5" t="inlineStr">
        <x:is>
          <x:t xml:space="preserve">REQ-49-HIPAA</x:t>
        </x:is>
      </x:c>
      <x:c r="B78" s="5" t="inlineStr">
        <x:is>
          <x:t xml:space="preserve">1561.11c1Organizational.4</x:t>
        </x:is>
      </x:c>
      <x:c r="C78" s="12">
        <x:f>COUNTIFS(Normalized_Tuples!$E:$E,$A78,Normalized_Tuples!$F:$F,$B78)</x:f>
        <x:v>1</x:v>
      </x:c>
      <x:c r="D78" s="5" t="inlineStr">
        <x:is>
          <x:t xml:space="preserve">Incident Response</x:t>
        </x:is>
      </x:c>
      <x:c r="E78" s="5" t="inlineStr">
        <x:is>
          <x:t xml:space="preserve">Policy</x:t>
        </x:is>
      </x:c>
      <x:c r="F78" s="5" t="inlineStr">
        <x:is>
          <x:t xml:space="preserve">HITRUST e1.csv</x:t>
        </x:is>
      </x:c>
      <x:c r="G78" s="5" t="inlineStr">
        <x:is>
          <x:t xml:space="preserve">Many:Many</x:t>
        </x:is>
      </x:c>
    </x:row>
    <x:row r="79">
      <x:c r="A79" s="5" t="inlineStr">
        <x:is>
          <x:t xml:space="preserve">REQ-49-HIPAA</x:t>
        </x:is>
      </x:c>
      <x:c r="B79" s="5" t="inlineStr">
        <x:is>
          <x:t xml:space="preserve">1589.11c1Organizational.5</x:t>
        </x:is>
      </x:c>
      <x:c r="C79" s="12">
        <x:f>COUNTIFS(Normalized_Tuples!$E:$E,$A79,Normalized_Tuples!$F:$F,$B79)</x:f>
        <x:v>1</x:v>
      </x:c>
      <x:c r="D79" s="5" t="inlineStr">
        <x:is>
          <x:t xml:space="preserve">Incident Response</x:t>
        </x:is>
      </x:c>
      <x:c r="E79" s="5" t="inlineStr">
        <x:is>
          <x:t xml:space="preserve">Policy</x:t>
        </x:is>
      </x:c>
      <x:c r="F79" s="5" t="inlineStr">
        <x:is>
          <x:t xml:space="preserve">HITRUST e1.csv</x:t>
        </x:is>
      </x:c>
      <x:c r="G79" s="5" t="inlineStr">
        <x:is>
          <x:t xml:space="preserve">Many:Many</x:t>
        </x:is>
      </x:c>
    </x:row>
    <x:row r="80">
      <x:c r="A80" s="5" t="inlineStr">
        <x:is>
          <x:t xml:space="preserve">REQ-50-HIPAA</x:t>
        </x:is>
      </x:c>
      <x:c r="B80" s="5" t="inlineStr">
        <x:is>
          <x:t xml:space="preserve">1561.11c1Organizational.4</x:t>
        </x:is>
      </x:c>
      <x:c r="C80" s="12">
        <x:f>COUNTIFS(Normalized_Tuples!$E:$E,$A80,Normalized_Tuples!$F:$F,$B80)</x:f>
        <x:v>1</x:v>
      </x:c>
      <x:c r="D80" s="5" t="inlineStr">
        <x:is>
          <x:t xml:space="preserve">All Incidents Identified During the Review Period [INSERT EXAM PERIOD]</x:t>
        </x:is>
      </x:c>
      <x:c r="E80" s="5" t="inlineStr">
        <x:is>
          <x:t xml:space="preserve">Population</x:t>
        </x:is>
      </x:c>
      <x:c r="F80" s="5" t="inlineStr">
        <x:is>
          <x:t xml:space="preserve">HITRUST e1.csv</x:t>
        </x:is>
      </x:c>
      <x:c r="G80" s="5" t="inlineStr">
        <x:is>
          <x:t xml:space="preserve">Many:1</x:t>
        </x:is>
      </x:c>
    </x:row>
    <x:row r="81">
      <x:c r="A81" s="5" t="inlineStr">
        <x:is>
          <x:t xml:space="preserve">REQ-53-HIPAA</x:t>
        </x:is>
      </x:c>
      <x:c r="B81" s="5" t="inlineStr">
        <x:is>
          <x:t xml:space="preserve">06.09b1System.2</x:t>
        </x:is>
      </x:c>
      <x:c r="C81" s="12">
        <x:f>COUNTIFS(Normalized_Tuples!$E:$E,$A81,Normalized_Tuples!$F:$F,$B81)</x:f>
        <x:v>1</x:v>
      </x:c>
      <x:c r="D81" s="5" t="inlineStr">
        <x:is>
          <x:t xml:space="preserve">Change Management</x:t>
        </x:is>
      </x:c>
      <x:c r="E81" s="5" t="inlineStr">
        <x:is>
          <x:t xml:space="preserve">Policy</x:t>
        </x:is>
      </x:c>
      <x:c r="F81" s="5" t="inlineStr">
        <x:is>
          <x:t xml:space="preserve">HITRUST e1.csv</x:t>
        </x:is>
      </x:c>
      <x:c r="G81" s="5" t="inlineStr">
        <x:is>
          <x:t xml:space="preserve">1:Many</x:t>
        </x:is>
      </x:c>
    </x:row>
    <x:row r="82">
      <x:c r="A82" s="5" t="inlineStr">
        <x:is>
          <x:t xml:space="preserve">REQ-53-HIPAA</x:t>
        </x:is>
      </x:c>
      <x:c r="B82" s="5" t="inlineStr">
        <x:is>
          <x:t xml:space="preserve">1769.09i1System.12</x:t>
        </x:is>
      </x:c>
      <x:c r="C82" s="12">
        <x:f>COUNTIFS(Normalized_Tuples!$E:$E,$A82,Normalized_Tuples!$F:$F,$B82)</x:f>
        <x:v>1</x:v>
      </x:c>
      <x:c r="D82" s="5" t="inlineStr">
        <x:is>
          <x:t xml:space="preserve">Change Management</x:t>
        </x:is>
      </x:c>
      <x:c r="E82" s="5" t="inlineStr">
        <x:is>
          <x:t xml:space="preserve">Policy</x:t>
        </x:is>
      </x:c>
      <x:c r="F82" s="5" t="inlineStr">
        <x:is>
          <x:t xml:space="preserve">HITRUST e1.csv</x:t>
        </x:is>
      </x:c>
      <x:c r="G82" s="5" t="inlineStr">
        <x:is>
          <x:t xml:space="preserve">1:Many</x:t>
        </x:is>
      </x:c>
    </x:row>
    <x:row r="83">
      <x:c r="A83" s="5" t="inlineStr">
        <x:is>
          <x:t xml:space="preserve">REQ-55-HIPAA</x:t>
        </x:is>
      </x:c>
      <x:c r="B83" s="5" t="inlineStr">
        <x:is>
          <x:t xml:space="preserve">1704.03b1Organizational.12</x:t>
        </x:is>
      </x:c>
      <x:c r="C83" s="12">
        <x:f>COUNTIFS(Normalized_Tuples!$E:$E,$A83,Normalized_Tuples!$F:$F,$B83)</x:f>
        <x:v>1</x:v>
      </x:c>
      <x:c r="D83" s="5" t="inlineStr">
        <x:is>
          <x:t xml:space="preserve">All Software and Infrastructure Production Changes During the Review Period [INSERT EXAM PERIOD]</x:t>
        </x:is>
      </x:c>
      <x:c r="E83" s="5" t="inlineStr">
        <x:is>
          <x:t xml:space="preserve">Population</x:t>
        </x:is>
      </x:c>
      <x:c r="F83" s="5" t="inlineStr">
        <x:is>
          <x:t xml:space="preserve">HITRUST e1.csv</x:t>
        </x:is>
      </x:c>
      <x:c r="G83" s="5" t="inlineStr">
        <x:is>
          <x:t xml:space="preserve">Many:Many</x:t>
        </x:is>
      </x:c>
    </x:row>
    <x:row r="84">
      <x:c r="A84" s="5" t="inlineStr">
        <x:is>
          <x:t xml:space="preserve">REQ-60-HIPAA</x:t>
        </x:is>
      </x:c>
      <x:c r="B84" s="5" t="inlineStr">
        <x:is>
          <x:t xml:space="preserve">1616.09l1Organizational.16</x:t>
        </x:is>
      </x:c>
      <x:c r="C84" s="12">
        <x:f>COUNTIFS(Normalized_Tuples!$E:$E,$A84,Normalized_Tuples!$F:$F,$B84)</x:f>
        <x:v>1</x:v>
      </x:c>
      <x:c r="D84" s="5" t="inlineStr">
        <x:is>
          <x:t xml:space="preserve">Backups</x:t>
        </x:is>
      </x:c>
      <x:c r="E84" s="5" t="inlineStr">
        <x:is>
          <x:t xml:space="preserve">Policy</x:t>
        </x:is>
      </x:c>
      <x:c r="F84" s="5" t="inlineStr">
        <x:is>
          <x:t xml:space="preserve">HITRUST e1.csv</x:t>
        </x:is>
      </x:c>
      <x:c r="G84" s="5" t="inlineStr">
        <x:is>
          <x:t xml:space="preserve">Many:1</x:t>
        </x:is>
      </x:c>
    </x:row>
    <x:row r="85">
      <x:c r="A85" s="5" t="inlineStr">
        <x:is>
          <x:t xml:space="preserve">REQ-62-HIPAA</x:t>
        </x:is>
      </x:c>
      <x:c r="B85" s="5" t="inlineStr">
        <x:is>
          <x:t xml:space="preserve">16.09l1Organizational.4</x:t>
        </x:is>
      </x:c>
      <x:c r="C85" s="12">
        <x:f>COUNTIFS(Normalized_Tuples!$E:$E,$A85,Normalized_Tuples!$F:$F,$B85)</x:f>
        <x:v>1</x:v>
      </x:c>
      <x:c r="D85" s="5" t="inlineStr">
        <x:is>
          <x:t xml:space="preserve">Backups and Schedules</x:t>
        </x:is>
      </x:c>
      <x:c r="E85" s="5" t="inlineStr">
        <x:is>
          <x:t xml:space="preserve">Configuration</x:t>
        </x:is>
      </x:c>
      <x:c r="F85" s="5" t="inlineStr">
        <x:is>
          <x:t xml:space="preserve">HITRUST e1.csv</x:t>
        </x:is>
      </x:c>
      <x:c r="G85" s="5" t="inlineStr">
        <x:is>
          <x:t xml:space="preserve">Many:Many</x:t>
        </x:is>
      </x:c>
    </x:row>
    <x:row r="86">
      <x:c r="A86" s="5" t="inlineStr">
        <x:is>
          <x:t xml:space="preserve">REQ-62-HIPAA</x:t>
        </x:is>
      </x:c>
      <x:c r="B86" s="5" t="inlineStr">
        <x:is>
          <x:t xml:space="preserve">1616.09l1Organizational.16</x:t>
        </x:is>
      </x:c>
      <x:c r="C86" s="12">
        <x:f>COUNTIFS(Normalized_Tuples!$E:$E,$A86,Normalized_Tuples!$F:$F,$B86)</x:f>
        <x:v>1</x:v>
      </x:c>
      <x:c r="D86" s="5" t="inlineStr">
        <x:is>
          <x:t xml:space="preserve">Backups and Schedules</x:t>
        </x:is>
      </x:c>
      <x:c r="E86" s="5" t="inlineStr">
        <x:is>
          <x:t xml:space="preserve">Configuration</x:t>
        </x:is>
      </x:c>
      <x:c r="F86" s="5" t="inlineStr">
        <x:is>
          <x:t xml:space="preserve">HITRUST e1.csv</x:t>
        </x:is>
      </x:c>
      <x:c r="G86" s="5" t="inlineStr">
        <x:is>
          <x:t xml:space="preserve">Many:Many</x:t>
        </x:is>
      </x:c>
    </x:row>
    <x:row r="87">
      <x:c r="A87" s="5" t="inlineStr">
        <x:is>
          <x:t xml:space="preserve">REQ-62-HIPAA</x:t>
        </x:is>
      </x:c>
      <x:c r="B87" s="5" t="inlineStr">
        <x:is>
          <x:t xml:space="preserve">1618.09l1Organizational.45</x:t>
        </x:is>
      </x:c>
      <x:c r="C87" s="12">
        <x:f>COUNTIFS(Normalized_Tuples!$E:$E,$A87,Normalized_Tuples!$F:$F,$B87)</x:f>
        <x:v>1</x:v>
      </x:c>
      <x:c r="D87" s="5" t="inlineStr">
        <x:is>
          <x:t xml:space="preserve">Backups and Schedules</x:t>
        </x:is>
      </x:c>
      <x:c r="E87" s="5" t="inlineStr">
        <x:is>
          <x:t xml:space="preserve">Configuration</x:t>
        </x:is>
      </x:c>
      <x:c r="F87" s="5" t="inlineStr">
        <x:is>
          <x:t xml:space="preserve">HITRUST e1.csv</x:t>
        </x:is>
      </x:c>
      <x:c r="G87" s="5" t="inlineStr">
        <x:is>
          <x:t xml:space="preserve">Many:Many</x:t>
        </x:is>
      </x:c>
    </x:row>
    <x:row r="88">
      <x:c r="A88" s="5" t="inlineStr">
        <x:is>
          <x:t xml:space="preserve">REQ-63-HIPAA</x:t>
        </x:is>
      </x:c>
      <x:c r="B88" s="5" t="inlineStr">
        <x:is>
          <x:t xml:space="preserve">16.09l1Organizational.4</x:t>
        </x:is>
      </x:c>
      <x:c r="C88" s="12">
        <x:f>COUNTIFS(Normalized_Tuples!$E:$E,$A88,Normalized_Tuples!$F:$F,$B88)</x:f>
        <x:v>1</x:v>
      </x:c>
      <x:c r="D88" s="5" t="inlineStr">
        <x:is>
          <x:t xml:space="preserve">Backups and Schedules</x:t>
        </x:is>
      </x:c>
      <x:c r="E88" s="5" t="inlineStr">
        <x:is>
          <x:t xml:space="preserve">Configuration</x:t>
        </x:is>
      </x:c>
      <x:c r="F88" s="5" t="inlineStr">
        <x:is>
          <x:t xml:space="preserve">HITRUST e1.csv</x:t>
        </x:is>
      </x:c>
      <x:c r="G88" s="5" t="inlineStr">
        <x:is>
          <x:t xml:space="preserve">Many:Many</x:t>
        </x:is>
      </x:c>
    </x:row>
    <x:row r="89">
      <x:c r="A89" s="5" t="inlineStr">
        <x:is>
          <x:t xml:space="preserve">REQ-63-HIPAA</x:t>
        </x:is>
      </x:c>
      <x:c r="B89" s="5" t="inlineStr">
        <x:is>
          <x:t xml:space="preserve">1616.09l1Organizational.16</x:t>
        </x:is>
      </x:c>
      <x:c r="C89" s="12">
        <x:f>COUNTIFS(Normalized_Tuples!$E:$E,$A89,Normalized_Tuples!$F:$F,$B89)</x:f>
        <x:v>1</x:v>
      </x:c>
      <x:c r="D89" s="5" t="inlineStr">
        <x:is>
          <x:t xml:space="preserve">Backups and Schedules</x:t>
        </x:is>
      </x:c>
      <x:c r="E89" s="5" t="inlineStr">
        <x:is>
          <x:t xml:space="preserve">Configuration</x:t>
        </x:is>
      </x:c>
      <x:c r="F89" s="5" t="inlineStr">
        <x:is>
          <x:t xml:space="preserve">HITRUST e1.csv</x:t>
        </x:is>
      </x:c>
      <x:c r="G89" s="5" t="inlineStr">
        <x:is>
          <x:t xml:space="preserve">Many:Many</x:t>
        </x:is>
      </x:c>
    </x:row>
    <x:row r="90">
      <x:c r="A90" s="5" t="inlineStr">
        <x:is>
          <x:t xml:space="preserve">REQ-63-HIPAA</x:t>
        </x:is>
      </x:c>
      <x:c r="B90" s="5" t="inlineStr">
        <x:is>
          <x:t xml:space="preserve">1618.09l1Organizational.45</x:t>
        </x:is>
      </x:c>
      <x:c r="C90" s="12">
        <x:f>COUNTIFS(Normalized_Tuples!$E:$E,$A90,Normalized_Tuples!$F:$F,$B90)</x:f>
        <x:v>1</x:v>
      </x:c>
      <x:c r="D90" s="5" t="inlineStr">
        <x:is>
          <x:t xml:space="preserve">Backups and Schedules</x:t>
        </x:is>
      </x:c>
      <x:c r="E90" s="5" t="inlineStr">
        <x:is>
          <x:t xml:space="preserve">Configuration</x:t>
        </x:is>
      </x:c>
      <x:c r="F90" s="5" t="inlineStr">
        <x:is>
          <x:t xml:space="preserve">HITRUST e1.csv</x:t>
        </x:is>
      </x:c>
      <x:c r="G90" s="5" t="inlineStr">
        <x:is>
          <x:t xml:space="preserve">Many:Many</x:t>
        </x:is>
      </x:c>
    </x:row>
    <x:row r="91">
      <x:c r="A91" s="5" t="inlineStr">
        <x:is>
          <x:t xml:space="preserve">REQ-66-HIPAA</x:t>
        </x:is>
      </x:c>
      <x:c r="B91" s="5" t="inlineStr">
        <x:is>
          <x:t xml:space="preserve">0305.09q1Organizational.12</x:t>
        </x:is>
      </x:c>
      <x:c r="C91" s="12">
        <x:f>COUNTIFS(Normalized_Tuples!$E:$E,$A91,Normalized_Tuples!$F:$F,$B91)</x:f>
        <x:v>1</x:v>
      </x:c>
      <x:c r="D91" s="5" t="inlineStr">
        <x:is>
          <x:t xml:space="preserve">Data Classification, Retention and Disposal</x:t>
        </x:is>
      </x:c>
      <x:c r="E91" s="5" t="inlineStr">
        <x:is>
          <x:t xml:space="preserve">Policy</x:t>
        </x:is>
      </x:c>
      <x:c r="F91" s="5" t="inlineStr">
        <x:is>
          <x:t xml:space="preserve">HITRUST e1.csv</x:t>
        </x:is>
      </x:c>
      <x:c r="G91" s="5" t="inlineStr">
        <x:is>
          <x:t xml:space="preserve">Many:Many</x:t>
        </x:is>
      </x:c>
    </x:row>
    <x:row r="92">
      <x:c r="A92" s="5" t="inlineStr">
        <x:is>
          <x:t xml:space="preserve">REQ-66-HIPAA</x:t>
        </x:is>
      </x:c>
      <x:c r="B92" s="5" t="inlineStr">
        <x:is>
          <x:t xml:space="preserve">1239.09aa1System.4</x:t>
        </x:is>
      </x:c>
      <x:c r="C92" s="12">
        <x:f>COUNTIFS(Normalized_Tuples!$E:$E,$A92,Normalized_Tuples!$F:$F,$B92)</x:f>
        <x:v>1</x:v>
      </x:c>
      <x:c r="D92" s="5" t="inlineStr">
        <x:is>
          <x:t xml:space="preserve">Data Classification, Retention and Disposal</x:t>
        </x:is>
      </x:c>
      <x:c r="E92" s="5" t="inlineStr">
        <x:is>
          <x:t xml:space="preserve">Policy</x:t>
        </x:is>
      </x:c>
      <x:c r="F92" s="5" t="inlineStr">
        <x:is>
          <x:t xml:space="preserve">HITRUST e1.csv</x:t>
        </x:is>
      </x:c>
      <x:c r="G92" s="5" t="inlineStr">
        <x:is>
          <x:t xml:space="preserve">Many:Many</x:t>
        </x:is>
      </x:c>
    </x:row>
    <x:row r="93">
      <x:c r="A93" s="5" t="inlineStr">
        <x:is>
          <x:t xml:space="preserve">REQ-66-HIPAA</x:t>
        </x:is>
      </x:c>
      <x:c r="B93" s="5" t="inlineStr">
        <x:is>
          <x:t xml:space="preserve">1616.09l1Organizational.16</x:t>
        </x:is>
      </x:c>
      <x:c r="C93" s="12">
        <x:f>COUNTIFS(Normalized_Tuples!$E:$E,$A93,Normalized_Tuples!$F:$F,$B93)</x:f>
        <x:v>1</x:v>
      </x:c>
      <x:c r="D93" s="5" t="inlineStr">
        <x:is>
          <x:t xml:space="preserve">Data Classification, Retention and Disposal</x:t>
        </x:is>
      </x:c>
      <x:c r="E93" s="5" t="inlineStr">
        <x:is>
          <x:t xml:space="preserve">Policy</x:t>
        </x:is>
      </x:c>
      <x:c r="F93" s="5" t="inlineStr">
        <x:is>
          <x:t xml:space="preserve">HITRUST e1.csv</x:t>
        </x:is>
      </x:c>
      <x:c r="G93" s="5" t="inlineStr">
        <x:is>
          <x:t xml:space="preserve">Many:Many</x:t>
        </x:is>
      </x:c>
    </x:row>
    <x:row r="94">
      <x:c r="A94" s="5" t="inlineStr">
        <x:is>
          <x:t xml:space="preserve">REQ-66-HIPAA</x:t>
        </x:is>
      </x:c>
      <x:c r="B94" s="5" t="inlineStr">
        <x:is>
          <x:t xml:space="preserve">1767.07d1Organizational.2</x:t>
        </x:is>
      </x:c>
      <x:c r="C94" s="12">
        <x:f>COUNTIFS(Normalized_Tuples!$E:$E,$A94,Normalized_Tuples!$F:$F,$B94)</x:f>
        <x:v>1</x:v>
      </x:c>
      <x:c r="D94" s="5" t="inlineStr">
        <x:is>
          <x:t xml:space="preserve">Data Classification, Retention and Disposal</x:t>
        </x:is>
      </x:c>
      <x:c r="E94" s="5" t="inlineStr">
        <x:is>
          <x:t xml:space="preserve">Policy</x:t>
        </x:is>
      </x:c>
      <x:c r="F94" s="5" t="inlineStr">
        <x:is>
          <x:t xml:space="preserve">HITRUST e1.csv</x:t>
        </x:is>
      </x:c>
      <x:c r="G94" s="5" t="inlineStr">
        <x:is>
          <x:t xml:space="preserve">Many:Many</x:t>
        </x:is>
      </x:c>
    </x:row>
    <x:row r="95">
      <x:c r="A95" s="5" t="inlineStr">
        <x:is>
          <x:t xml:space="preserve">REQ-66-HIPAA</x:t>
        </x:is>
      </x:c>
      <x:c r="B95" s="5" t="inlineStr">
        <x:is>
          <x:t xml:space="preserve">19142.06c1Organizational.8</x:t>
        </x:is>
      </x:c>
      <x:c r="C95" s="12">
        <x:f>COUNTIFS(Normalized_Tuples!$E:$E,$A95,Normalized_Tuples!$F:$F,$B95)</x:f>
        <x:v>1</x:v>
      </x:c>
      <x:c r="D95" s="5" t="inlineStr">
        <x:is>
          <x:t xml:space="preserve">Data Classification, Retention and Disposal</x:t>
        </x:is>
      </x:c>
      <x:c r="E95" s="5" t="inlineStr">
        <x:is>
          <x:t xml:space="preserve">Policy</x:t>
        </x:is>
      </x:c>
      <x:c r="F95" s="5" t="inlineStr">
        <x:is>
          <x:t xml:space="preserve">HITRUST e1.csv</x:t>
        </x:is>
      </x:c>
      <x:c r="G95" s="5" t="inlineStr">
        <x:is>
          <x:t xml:space="preserve">Many:Many</x:t>
        </x:is>
      </x:c>
    </x:row>
    <x:row r="96">
      <x:c r="A96" s="5" t="inlineStr">
        <x:is>
          <x:t xml:space="preserve">REQ-67-HIPAA</x:t>
        </x:is>
      </x:c>
      <x:c r="B96" s="5" t="inlineStr">
        <x:is>
          <x:t xml:space="preserve">0305.09q1Organizational.12</x:t>
        </x:is>
      </x:c>
      <x:c r="C96" s="12">
        <x:f>COUNTIFS(Normalized_Tuples!$E:$E,$A96,Normalized_Tuples!$F:$F,$B96)</x:f>
        <x:v>1</x:v>
      </x:c>
      <x:c r="D96" s="5" t="inlineStr">
        <x:is>
          <x:t xml:space="preserve">Data Classification, Retention and Disposal</x:t>
        </x:is>
      </x:c>
      <x:c r="E96" s="5" t="inlineStr">
        <x:is>
          <x:t xml:space="preserve">Policy</x:t>
        </x:is>
      </x:c>
      <x:c r="F96" s="5" t="inlineStr">
        <x:is>
          <x:t xml:space="preserve">HITRUST e1.csv</x:t>
        </x:is>
      </x:c>
      <x:c r="G96" s="5" t="inlineStr">
        <x:is>
          <x:t xml:space="preserve">Many:Many</x:t>
        </x:is>
      </x:c>
    </x:row>
    <x:row r="97">
      <x:c r="A97" s="5" t="inlineStr">
        <x:is>
          <x:t xml:space="preserve">REQ-67-HIPAA</x:t>
        </x:is>
      </x:c>
      <x:c r="B97" s="5" t="inlineStr">
        <x:is>
          <x:t xml:space="preserve">1239.09aa1System.4</x:t>
        </x:is>
      </x:c>
      <x:c r="C97" s="12">
        <x:f>COUNTIFS(Normalized_Tuples!$E:$E,$A97,Normalized_Tuples!$F:$F,$B97)</x:f>
        <x:v>1</x:v>
      </x:c>
      <x:c r="D97" s="5" t="inlineStr">
        <x:is>
          <x:t xml:space="preserve">Data Classification, Retention and Disposal</x:t>
        </x:is>
      </x:c>
      <x:c r="E97" s="5" t="inlineStr">
        <x:is>
          <x:t xml:space="preserve">Policy</x:t>
        </x:is>
      </x:c>
      <x:c r="F97" s="5" t="inlineStr">
        <x:is>
          <x:t xml:space="preserve">HITRUST e1.csv</x:t>
        </x:is>
      </x:c>
      <x:c r="G97" s="5" t="inlineStr">
        <x:is>
          <x:t xml:space="preserve">Many:Many</x:t>
        </x:is>
      </x:c>
    </x:row>
    <x:row r="98">
      <x:c r="A98" s="5" t="inlineStr">
        <x:is>
          <x:t xml:space="preserve">REQ-67-HIPAA</x:t>
        </x:is>
      </x:c>
      <x:c r="B98" s="5" t="inlineStr">
        <x:is>
          <x:t xml:space="preserve">1616.09l1Organizational.16</x:t>
        </x:is>
      </x:c>
      <x:c r="C98" s="12">
        <x:f>COUNTIFS(Normalized_Tuples!$E:$E,$A98,Normalized_Tuples!$F:$F,$B98)</x:f>
        <x:v>1</x:v>
      </x:c>
      <x:c r="D98" s="5" t="inlineStr">
        <x:is>
          <x:t xml:space="preserve">Data Classification, Retention and Disposal</x:t>
        </x:is>
      </x:c>
      <x:c r="E98" s="5" t="inlineStr">
        <x:is>
          <x:t xml:space="preserve">Policy</x:t>
        </x:is>
      </x:c>
      <x:c r="F98" s="5" t="inlineStr">
        <x:is>
          <x:t xml:space="preserve">HITRUST e1.csv</x:t>
        </x:is>
      </x:c>
      <x:c r="G98" s="5" t="inlineStr">
        <x:is>
          <x:t xml:space="preserve">Many:Many</x:t>
        </x:is>
      </x:c>
    </x:row>
    <x:row r="99">
      <x:c r="A99" s="5" t="inlineStr">
        <x:is>
          <x:t xml:space="preserve">REQ-67-HIPAA</x:t>
        </x:is>
      </x:c>
      <x:c r="B99" s="5" t="inlineStr">
        <x:is>
          <x:t xml:space="preserve">1767.07d1Organizational.2</x:t>
        </x:is>
      </x:c>
      <x:c r="C99" s="12">
        <x:f>COUNTIFS(Normalized_Tuples!$E:$E,$A99,Normalized_Tuples!$F:$F,$B99)</x:f>
        <x:v>1</x:v>
      </x:c>
      <x:c r="D99" s="5" t="inlineStr">
        <x:is>
          <x:t xml:space="preserve">Data Classification, Retention and Disposal</x:t>
        </x:is>
      </x:c>
      <x:c r="E99" s="5" t="inlineStr">
        <x:is>
          <x:t xml:space="preserve">Policy</x:t>
        </x:is>
      </x:c>
      <x:c r="F99" s="5" t="inlineStr">
        <x:is>
          <x:t xml:space="preserve">HITRUST e1.csv</x:t>
        </x:is>
      </x:c>
      <x:c r="G99" s="5" t="inlineStr">
        <x:is>
          <x:t xml:space="preserve">Many:Many</x:t>
        </x:is>
      </x:c>
    </x:row>
    <x:row r="100">
      <x:c r="A100" s="5" t="inlineStr">
        <x:is>
          <x:t xml:space="preserve">REQ-67-HIPAA</x:t>
        </x:is>
      </x:c>
      <x:c r="B100" s="5" t="inlineStr">
        <x:is>
          <x:t xml:space="preserve">19142.06c1Organizational.8</x:t>
        </x:is>
      </x:c>
      <x:c r="C100" s="12">
        <x:f>COUNTIFS(Normalized_Tuples!$E:$E,$A100,Normalized_Tuples!$F:$F,$B100)</x:f>
        <x:v>1</x:v>
      </x:c>
      <x:c r="D100" s="5" t="inlineStr">
        <x:is>
          <x:t xml:space="preserve">Data Classification, Retention and Disposal</x:t>
        </x:is>
      </x:c>
      <x:c r="E100" s="5" t="inlineStr">
        <x:is>
          <x:t xml:space="preserve">Policy</x:t>
        </x:is>
      </x:c>
      <x:c r="F100" s="5" t="inlineStr">
        <x:is>
          <x:t xml:space="preserve">HITRUST e1.csv</x:t>
        </x:is>
      </x:c>
      <x:c r="G100" s="5" t="inlineStr">
        <x:is>
          <x:t xml:space="preserve">Many:Many</x:t>
        </x:is>
      </x:c>
    </x:row>
    <x:row r="101">
      <x:c r="A101" s="5" t="inlineStr">
        <x:is>
          <x:t xml:space="preserve">REQ-995-HIPAA</x:t>
        </x:is>
      </x:c>
      <x:c r="B101" s="5" t="inlineStr">
        <x:is>
          <x:t xml:space="preserve">06.09b1System.2</x:t>
        </x:is>
      </x:c>
      <x:c r="C101" s="12">
        <x:f>COUNTIFS(Normalized_Tuples!$E:$E,$A101,Normalized_Tuples!$F:$F,$B101)</x:f>
        <x:v>1</x:v>
      </x:c>
      <x:c r="D101" s="5" t="inlineStr">
        <x:is>
          <x:t xml:space="preserve">All Software and Infrastructure Production Changes During the Review Period [INSERT EXAM PERIOD]</x:t>
        </x:is>
      </x:c>
      <x:c r="E101" s="5" t="inlineStr">
        <x:is>
          <x:t xml:space="preserve">Population</x:t>
        </x:is>
      </x:c>
      <x:c r="F101" s="5" t="inlineStr">
        <x:is>
          <x:t xml:space="preserve">HITRUST e1.csv</x:t>
        </x:is>
      </x:c>
      <x:c r="G101" s="5" t="inlineStr">
        <x:is>
          <x:t xml:space="preserve">Many:Many</x:t>
        </x:is>
      </x:c>
    </x:row>
    <x:row r="102">
      <x:c r="A102" s="5" t="inlineStr">
        <x:is>
          <x:t xml:space="preserve">REQ-995-HIPAA</x:t>
        </x:is>
      </x:c>
      <x:c r="B102" s="5" t="inlineStr">
        <x:is>
          <x:t xml:space="preserve">11143.02i1Organizational.3</x:t>
        </x:is>
      </x:c>
      <x:c r="C102" s="12">
        <x:f>COUNTIFS(Normalized_Tuples!$E:$E,$A102,Normalized_Tuples!$F:$F,$B102)</x:f>
        <x:v>1</x:v>
      </x:c>
      <x:c r="D102" s="5" t="inlineStr">
        <x:is>
          <x:t xml:space="preserve">All Terminated Employees During the Review Period [INSERT EXAM PERIOD]</x:t>
        </x:is>
      </x:c>
      <x:c r="E102" s="5" t="inlineStr">
        <x:is>
          <x:t xml:space="preserve">Population</x:t>
        </x:is>
      </x:c>
      <x:c r="F102" s="5" t="inlineStr">
        <x:is>
          <x:t xml:space="preserve">HITRUST e1.csv</x:t>
        </x:is>
      </x:c>
      <x:c r="G102" s="5" t="inlineStr">
        <x:is>
          <x:t xml:space="preserve">Many:1</x:t>
        </x:is>
      </x:c>
    </x:row>
    <x:row r="103">
      <x:c r="A103" s="5" t="inlineStr">
        <x:is>
          <x:t xml:space="preserve">REQ-995-HIPAA</x:t>
        </x:is>
      </x:c>
      <x:c r="B103" s="5" t="inlineStr">
        <x:is>
          <x:t xml:space="preserve">1561.11c1Organizational.4</x:t>
        </x:is>
      </x:c>
      <x:c r="C103" s="12">
        <x:f>COUNTIFS(Normalized_Tuples!$E:$E,$A103,Normalized_Tuples!$F:$F,$B103)</x:f>
        <x:v>1</x:v>
      </x:c>
      <x:c r="D103" s="5" t="inlineStr">
        <x:is>
          <x:t xml:space="preserve">All Incidents Identified During the Review Period [INSERT EXAM PERIOD]</x:t>
        </x:is>
      </x:c>
      <x:c r="E103" s="5" t="inlineStr">
        <x:is>
          <x:t xml:space="preserve">Population</x:t>
        </x:is>
      </x:c>
      <x:c r="F103" s="5" t="inlineStr">
        <x:is>
          <x:t xml:space="preserve">HITRUST e1.csv</x:t>
        </x:is>
      </x:c>
      <x:c r="G103" s="5" t="inlineStr">
        <x:is>
          <x:t xml:space="preserve">Many:1</x:t>
        </x:is>
      </x:c>
    </x:row>
    <x:row r="104">
      <x:c r="A104" s="5" t="inlineStr">
        <x:is>
          <x:t xml:space="preserve">REQ-995-HIPAA</x:t>
        </x:is>
      </x:c>
      <x:c r="B104" s="5" t="inlineStr">
        <x:is>
          <x:t xml:space="preserve">1704.03b1Organizational.12</x:t>
        </x:is>
      </x:c>
      <x:c r="C104" s="12">
        <x:f>COUNTIFS(Normalized_Tuples!$E:$E,$A104,Normalized_Tuples!$F:$F,$B104)</x:f>
        <x:v>1</x:v>
      </x:c>
      <x:c r="D104" s="5" t="inlineStr">
        <x:is>
          <x:t xml:space="preserve">All Software and Infrastructure Production Changes During the Review Period [INSERT EXAM PERIOD]</x:t>
        </x:is>
      </x:c>
      <x:c r="E104" s="5" t="inlineStr">
        <x:is>
          <x:t xml:space="preserve">Population</x:t>
        </x:is>
      </x:c>
      <x:c r="F104" s="5" t="inlineStr">
        <x:is>
          <x:t xml:space="preserve">HITRUST e1.csv</x:t>
        </x:is>
      </x:c>
      <x:c r="G104" s="5" t="inlineStr">
        <x:is>
          <x:t xml:space="preserve">Many:Many</x:t>
        </x:is>
      </x:c>
    </x:row>
  </x:sheetData>
  <x:pageMargins left="0.7" right="0.7" top="0.75" bottom="0.75" header="0.3" footer="0.3"/>
</x:worksheet>
</file>