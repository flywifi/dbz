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4ccffa336f473b" /></Relationships>
</file>

<file path=xl/workbook.xml><?xml version="1.0" encoding="utf-8"?>
<x:workbook xmlns:x="http://schemas.openxmlformats.org/spreadsheetml/2006/main">
  <x:sheets>
    <x:sheet xmlns:r="http://schemas.openxmlformats.org/officeDocument/2006/relationships" name="Summary" sheetId="1" r:id="Rf9d63652a4ba4a00"/>
    <x:sheet xmlns:r="http://schemas.openxmlformats.org/officeDocument/2006/relationships" name="Action_Item_Overlap" sheetId="2" r:id="R1be7bae664264776"/>
    <x:sheet xmlns:r="http://schemas.openxmlformats.org/officeDocument/2006/relationships" name="Normalized_Tuples" sheetId="3" r:id="Rb8ff7ab11aed4854"/>
    <x:sheet xmlns:r="http://schemas.openxmlformats.org/officeDocument/2006/relationships" name="Pair_Summary" sheetId="4" r:id="R55c787412a5546c5"/>
    <x:sheet xmlns:r="http://schemas.openxmlformats.org/officeDocument/2006/relationships" name="HIPAA_45CFR_Mapping" sheetId="5" r:id="R045b38bc937b428b"/>
    <x:sheet xmlns:r="http://schemas.openxmlformats.org/officeDocument/2006/relationships" name="Source_Register" sheetId="6" r:id="R3597e9fae6e046af"/>
    <x:sheet xmlns:r="http://schemas.openxmlformats.org/officeDocument/2006/relationships" name="Source_ERs_Unique" sheetId="7" r:id="R26853a3600234bbe"/>
    <x:sheet xmlns:r="http://schemas.openxmlformats.org/officeDocument/2006/relationships" name="Official_HIPAA_Citations" sheetId="8" r:id="R0986a301e14643fe"/>
    <x:sheet xmlns:r="http://schemas.openxmlformats.org/officeDocument/2006/relationships" name="Normalized_Tuples_Expanded" sheetId="9" r:id="R9e990650ae494d6c"/>
    <x:sheet xmlns:r="http://schemas.openxmlformats.org/officeDocument/2006/relationships" name="Tuple_Citation_Map" sheetId="10" r:id="R5291c97db2f148d8"/>
    <x:sheet xmlns:r="http://schemas.openxmlformats.org/officeDocument/2006/relationships" name="Action_Item_Overlap_Expanded" sheetId="11" r:id="R79b51290f2624356"/>
    <x:sheet xmlns:r="http://schemas.openxmlformats.org/officeDocument/2006/relationships" name="ActionItem_Citation_Map" sheetId="12" r:id="Ra765514c82154ed5"/>
    <x:sheet xmlns:r="http://schemas.openxmlformats.org/officeDocument/2006/relationships" name="Pair_Summary_Expanded" sheetId="13" r:id="Rcb11c634713b431d"/>
    <x:sheet xmlns:r="http://schemas.openxmlformats.org/officeDocument/2006/relationships" name="Enhanced_Source_Register" sheetId="14" r:id="R84e8b2e07d974f14"/>
  </x:sheets>
  <x:definedNames>
    <x:definedName name="_xlnm._FilterDatabase" localSheetId="6" hidden="1">'Source_ERs_Unique'!$A$1:$CE$82</x:definedName>
    <x:definedName name="_xlnm._FilterDatabase" localSheetId="7" hidden="1">'Official_HIPAA_Citations'!$A$1:$J$28</x:definedName>
    <x:definedName name="_xlnm._FilterDatabase" localSheetId="8" hidden="1">'Normalized_Tuples_Expanded'!$A$1:$AL$116</x:definedName>
    <x:definedName name="_xlnm._FilterDatabase" localSheetId="9" hidden="1">'Tuple_Citation_Map'!$A$1:$X$152</x:definedName>
    <x:definedName name="_xlnm._FilterDatabase" localSheetId="10" hidden="1">'Action_Item_Overlap_Expanded'!$A$1:$BU$32</x:definedName>
    <x:definedName name="_xlnm._FilterDatabase" localSheetId="11" hidden="1">'ActionItem_Citation_Map'!$A$1:$T$81</x:definedName>
    <x:definedName name="_xlnm._FilterDatabase" localSheetId="12" hidden="1">'Pair_Summary_Expanded'!$A$1:$AQ$104</x:definedName>
    <x:definedName name="_xlnm._FilterDatabase" localSheetId="13" hidden="1">'Enhanced_Source_Register'!$A$1:$D$23</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amily val="2"/>
      <x:scheme val="minor"/>
    </x:font>
    <x:font>
      <x:b/>
      <x:sz val="14"/>
      <x:color rgb="00FFFFFF"/>
    </x:font>
    <x:font>
      <x:b/>
      <x:sz val="11"/>
      <x:color rgb="001F4E78"/>
    </x:font>
    <x:font>
      <x:sz val="10"/>
      <x:color rgb="00000000"/>
    </x:font>
    <x:font>
      <x:i/>
      <x:sz val="10"/>
      <x:color rgb="00333333"/>
    </x:font>
    <x:font>
      <x:b/>
      <x:sz val="10"/>
      <x:color rgb="001F4E78"/>
    </x:font>
    <x:font>
      <x:b/>
      <x:sz val="11"/>
      <x:color rgb="00FFFFFF"/>
    </x:font>
    <x:font>
      <x:u val="single"/>
      <x:color rgb="000563C1"/>
    </x:font>
  </x:fonts>
  <x:fills count="9">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F3F6F9"/>
      </x:patternFill>
    </x:fill>
    <x:fill>
      <x:patternFill patternType="solid">
        <x:fgColor rgb="00EAF4FB"/>
      </x:patternFill>
    </x:fill>
    <x:fill>
      <x:patternFill patternType="solid">
        <x:fgColor rgb="00E4DFEC"/>
      </x:patternFill>
    </x:fill>
    <x:fill>
      <x:patternFill patternType="solid">
        <x:fgColor rgb="00FCE4D6"/>
      </x:patternFill>
    </x:fill>
    <x:fill>
      <x:patternFill patternType="solid">
        <x:fgColor rgb="00E2F0D9"/>
      </x:patternFill>
    </x:fill>
  </x:fills>
  <x:borders count="7">
    <x:border>
      <x:left/>
      <x:right/>
      <x:top/>
      <x:bottom/>
      <x:diagonal/>
    </x:border>
    <x:border>
      <x:bottom style="medium">
        <x:color rgb="001F4E78"/>
      </x:bottom>
    </x:border>
    <x:border>
      <x:bottom style="thin">
        <x:color rgb="00C7D1DB"/>
      </x:bottom>
    </x:border>
    <x:border>
      <x:left/>
      <x:right/>
      <x:top/>
      <x:bottom style="thin">
        <x:color rgb="00C7D1DB"/>
      </x:bottom>
      <x:diagonal/>
    </x:border>
    <x:border>
      <x:right/>
      <x:bottom style="thin">
        <x:color rgb="00C7D1DB"/>
      </x:bottom>
    </x:border>
    <x:border>
      <x:left/>
      <x:right/>
      <x:top/>
      <x:bottom style="medium">
        <x:color rgb="001F4E78"/>
      </x:bottom>
      <x:diagonal/>
    </x:border>
    <x:border>
      <x:right/>
      <x:bottom style="medium">
        <x:color rgb="001F4E78"/>
      </x:bottom>
    </x:border>
  </x:borders>
  <x:cellStyleXfs count="1">
    <x:xf numFmtId="0" fontId="0" fillId="0" borderId="0"/>
  </x:cellStyleXfs>
  <x:cellXfs count="29">
    <x:xf numFmtId="0" fontId="0" fillId="0" borderId="0" xfId="0"/>
    <x:xf numFmtId="0" fontId="1" fillId="2" borderId="0" xfId="0" applyAlignment="1">
      <x:alignment horizontal="center" vertical="center"/>
    </x:xf>
    <x:xf numFmtId="0" fontId="2" fillId="3" borderId="1" xfId="0"/>
    <x:xf numFmtId="0" fontId="2" fillId="3" borderId="1" xfId="0" applyAlignment="1">
      <x:alignment horizontal="center" vertical="center"/>
    </x:xf>
    <x:xf numFmtId="0" fontId="3" fillId="0" borderId="0" xfId="0"/>
    <x:xf numFmtId="0" fontId="3" fillId="0" borderId="2" xfId="0" applyAlignment="1">
      <x:alignment horizontal="left" vertical="top" wrapText="1"/>
    </x:xf>
    <x:xf numFmtId="0" fontId="3" fillId="0" borderId="2" xfId="0" applyAlignment="1">
      <x:alignment horizontal="center" vertical="center"/>
    </x:xf>
    <x:xf numFmtId="0" fontId="5" fillId="3" borderId="2" xfId="0" applyAlignment="1">
      <x:alignment horizontal="center" vertical="center"/>
    </x:xf>
    <x:xf numFmtId="0" fontId="4" fillId="4" borderId="2" xfId="0" applyAlignment="1">
      <x:alignment horizontal="left" vertical="top" wrapText="1"/>
    </x:xf>
    <x:xf numFmtId="0" fontId="5" fillId="0" borderId="0" xfId="0" applyAlignment="1">
      <x:alignment horizontal="left" vertical="top" wrapText="1"/>
    </x:xf>
    <x:xf numFmtId="0" fontId="3" fillId="0" borderId="0" xfId="0" applyAlignment="1">
      <x:alignment horizontal="left" vertical="top" wrapText="1"/>
    </x:xf>
    <x:xf numFmtId="0" fontId="6" fillId="2" borderId="1" xfId="0" applyAlignment="1">
      <x:alignment horizontal="center" vertical="center" wrapText="1"/>
    </x:xf>
    <x:xf numFmtId="0" fontId="3" fillId="0" borderId="2" xfId="0" applyAlignment="1">
      <x:alignment horizontal="center" vertical="center" wrapText="1"/>
    </x:xf>
    <x:xf numFmtId="0" fontId="3" fillId="5" borderId="2" xfId="0" applyAlignment="1">
      <x:alignment horizontal="center" vertical="center" wrapText="1"/>
    </x:xf>
    <x:xf numFmtId="0" fontId="3" fillId="6" borderId="2" xfId="0" applyAlignment="1">
      <x:alignment horizontal="center" vertical="center" wrapText="1"/>
    </x:xf>
    <x:xf numFmtId="0" fontId="3" fillId="7" borderId="2" xfId="0" applyAlignment="1">
      <x:alignment horizontal="center" vertical="center" wrapText="1"/>
    </x:xf>
    <x:xf numFmtId="0" fontId="3" fillId="8" borderId="2" xfId="0" applyAlignment="1">
      <x:alignment horizontal="center" vertical="center" wrapText="1"/>
    </x:xf>
    <x:xf numFmtId="0" fontId="3" fillId="7" borderId="2" xfId="0" applyAlignment="1">
      <x:alignment horizontal="left" vertical="top" wrapText="1"/>
    </x:xf>
    <x:xf numFmtId="0" fontId="3" fillId="8" borderId="2" xfId="0" applyAlignment="1">
      <x:alignment horizontal="left" vertical="top" wrapText="1"/>
    </x:xf>
    <x:xf numFmtId="0" fontId="3" fillId="6" borderId="2" xfId="0" applyAlignment="1">
      <x:alignment horizontal="left" vertical="top" wrapText="1"/>
    </x:xf>
    <x:xf numFmtId="0" fontId="3" fillId="5" borderId="2" xfId="0" applyAlignment="1">
      <x:alignment horizontal="left" vertical="top" wrapText="1"/>
    </x:xf>
    <x:xf numFmtId="0" fontId="0" fillId="0" borderId="3" xfId="0"/>
    <x:xf numFmtId="0" fontId="3" fillId="0" borderId="0" xfId="0" applyAlignment="1">
      <x:alignment vertical="top" wrapText="1"/>
    </x:xf>
    <x:xf numFmtId="0" fontId="0" fillId="0" borderId="5" xfId="0"/>
    <x:xf numFmtId="0" fontId="3" fillId="0" borderId="2" xfId="0" applyAlignment="1">
      <x:alignment vertical="top" wrapText="1"/>
    </x:xf>
    <x:xf numFmtId="0" fontId="2" fillId="3" borderId="1" xfId="0" applyAlignment="1">
      <x:alignment horizontal="center" vertical="center" wrapText="1"/>
    </x:xf>
    <x:xf numFmtId="0" fontId="3" fillId="0" borderId="3" xfId="0" applyAlignment="1">
      <x:alignment vertical="top" wrapText="1"/>
    </x:xf>
    <x:xf numFmtId="0" fontId="2" fillId="3" borderId="6" xfId="0"/>
    <x:xf numFmtId="0" fontId="7" fillId="0" borderId="2" xfId="0" applyAlignment="1">
      <x:alignment horizontal="lef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f178f73aecc4449" /><Relationship Type="http://schemas.openxmlformats.org/officeDocument/2006/relationships/theme" Target="/xl/theme/theme1.xml" Id="R6f741ab05cf6407c" /><Relationship Type="http://schemas.openxmlformats.org/officeDocument/2006/relationships/sharedStrings" Target="/xl/sharedStrings.xml" Id="R9370dcb438ea408f" /><Relationship Type="http://schemas.openxmlformats.org/officeDocument/2006/relationships/worksheet" Target="/xl/worksheets/sheet1.xml" Id="Rf9d63652a4ba4a00" /><Relationship Type="http://schemas.openxmlformats.org/officeDocument/2006/relationships/worksheet" Target="/xl/worksheets/sheet2.xml" Id="R1be7bae664264776" /><Relationship Type="http://schemas.openxmlformats.org/officeDocument/2006/relationships/worksheet" Target="/xl/worksheets/sheet3.xml" Id="Rb8ff7ab11aed4854" /><Relationship Type="http://schemas.openxmlformats.org/officeDocument/2006/relationships/worksheet" Target="/xl/worksheets/sheet4.xml" Id="R55c787412a5546c5" /><Relationship Type="http://schemas.openxmlformats.org/officeDocument/2006/relationships/worksheet" Target="/xl/worksheets/sheet5.xml" Id="R045b38bc937b428b" /><Relationship Type="http://schemas.openxmlformats.org/officeDocument/2006/relationships/worksheet" Target="/xl/worksheets/sheet6.xml" Id="R3597e9fae6e046af" /><Relationship Type="http://schemas.openxmlformats.org/officeDocument/2006/relationships/worksheet" Target="/xl/worksheets/sheet7.xml" Id="R26853a3600234bbe" /><Relationship Type="http://schemas.openxmlformats.org/officeDocument/2006/relationships/worksheet" Target="/xl/worksheets/sheet8.xml" Id="R0986a301e14643fe" /><Relationship Type="http://schemas.openxmlformats.org/officeDocument/2006/relationships/worksheet" Target="/xl/worksheets/sheet9.xml" Id="R9e990650ae494d6c" /><Relationship Type="http://schemas.openxmlformats.org/officeDocument/2006/relationships/worksheet" Target="/xl/worksheets/sheet10.xml" Id="R5291c97db2f148d8" /><Relationship Type="http://schemas.openxmlformats.org/officeDocument/2006/relationships/worksheet" Target="/xl/worksheets/sheet11.xml" Id="R79b51290f2624356" /><Relationship Type="http://schemas.openxmlformats.org/officeDocument/2006/relationships/worksheet" Target="/xl/worksheets/sheet12.xml" Id="Ra765514c82154ed5" /><Relationship Type="http://schemas.openxmlformats.org/officeDocument/2006/relationships/worksheet" Target="/xl/worksheets/sheet13.xml" Id="Rcb11c634713b431d" /><Relationship Type="http://schemas.openxmlformats.org/officeDocument/2006/relationships/worksheet" Target="/xl/worksheets/sheet14.xml" Id="R84e8b2e07d974f1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8" customWidth="1"/>
    <x:col min="2" max="2" width="70" customWidth="1"/>
    <x:col min="3" max="3" width="42" customWidth="1"/>
    <x:col min="4" max="4" width="14" customWidth="1"/>
    <x:col min="5" max="5" width="4" customWidth="1"/>
    <x:col min="6" max="6" width="20" customWidth="1"/>
    <x:col min="7" max="7" width="28" customWidth="1"/>
    <x:col min="8" max="8" width="10" customWidth="1"/>
    <x:col min="9" max="9" width="4" customWidth="1"/>
    <x:col min="10" max="10" width="4" customWidth="1"/>
    <x:col min="11" max="11" width="4" customWidth="1"/>
    <x:col min="12" max="12" width="4" customWidth="1"/>
  </x:cols>
  <x:sheetData>
    <x:row r="1" ht="24" customHeight="1">
      <x:c r="A1" s="1" t="inlineStr">
        <x:is>
          <x:t xml:space="preserve">HIPAA vs HITRUST e1 — Granular Overlap Crosswalk</x:t>
        </x:is>
      </x:c>
    </x:row>
    <x:row r="3">
      <x:c r="A3" s="2" t="inlineStr">
        <x:is>
          <x:t xml:space="preserve">Source files used</x:t>
        </x:is>
      </x:c>
      <x:c r="C3" s="3" t="inlineStr">
        <x:is>
          <x:t xml:space="preserve">Metric</x:t>
        </x:is>
      </x:c>
      <x:c r="D3" s="3" t="inlineStr">
        <x:is>
          <x:t xml:space="preserve">Value</x:t>
        </x:is>
      </x:c>
      <x:c r="F3" s="2" t="inlineStr">
        <x:is>
          <x:t xml:space="preserve">Most reused control pairs</x:t>
        </x:is>
      </x:c>
    </x:row>
    <x:row r="4">
      <x:c r="A4" s="4" t="inlineStr">
        <x:is>
          <x:t xml:space="preserve">HITRUST e1.csv</x:t>
        </x:is>
      </x:c>
      <x:c r="C4" s="5" t="inlineStr">
        <x:is>
          <x:t xml:space="preserve">Overlapping action items</x:t>
        </x:is>
      </x:c>
      <x:c r="D4" s="6" t="n">
        <x:v>31</x:v>
      </x:c>
      <x:c r="F4" s="7" t="inlineStr">
        <x:is>
          <x:t xml:space="preserve">HIPAA</x:t>
        </x:is>
      </x:c>
      <x:c r="G4" s="7" t="inlineStr">
        <x:is>
          <x:t xml:space="preserve">HITRUST</x:t>
        </x:is>
      </x:c>
      <x:c r="H4" s="7" t="inlineStr">
        <x:is>
          <x:t xml:space="preserve">Count</x:t>
        </x:is>
      </x:c>
    </x:row>
    <x:row r="5">
      <x:c r="A5" s="4" t="inlineStr">
        <x:is>
          <x:t xml:space="preserve">HIPAA Security.csv</x:t>
        </x:is>
      </x:c>
      <x:c r="C5" s="5" t="inlineStr">
        <x:is>
          <x:t xml:space="preserve">Normalized control-pair/action-item tuples</x:t>
        </x:is>
      </x:c>
      <x:c r="D5" s="6" t="n">
        <x:v>115</x:v>
      </x:c>
      <x:c r="F5" s="5" t="inlineStr">
        <x:is>
          <x:t xml:space="preserve">REQ-1-HIPAA</x:t>
        </x:is>
      </x:c>
      <x:c r="G5" s="5" t="inlineStr">
        <x:is>
          <x:t xml:space="preserve">0113.04a1Organizational.2</x:t>
        </x:is>
      </x:c>
      <x:c r="H5" s="6" t="n">
        <x:v>2</x:v>
      </x:c>
    </x:row>
    <x:row r="6">
      <x:c r="C6" s="5" t="inlineStr">
        <x:is>
          <x:t xml:space="preserve">Distinct HIPAA ↔ HITRUST control pairs</x:t>
        </x:is>
      </x:c>
      <x:c r="D6" s="6" t="n">
        <x:v>103</x:v>
      </x:c>
      <x:c r="F6" s="5" t="inlineStr">
        <x:is>
          <x:t xml:space="preserve">REQ-12-HIPAA</x:t>
        </x:is>
      </x:c>
      <x:c r="G6" s="5" t="inlineStr">
        <x:is>
          <x:t xml:space="preserve">0113.04a1Organizational.2</x:t>
        </x:is>
      </x:c>
      <x:c r="H6" s="6" t="n">
        <x:v>2</x:v>
      </x:c>
    </x:row>
    <x:row r="7">
      <x:c r="C7" s="5" t="inlineStr">
        <x:is>
          <x:t xml:space="preserve">1:1 action-item overlaps</x:t>
        </x:is>
      </x:c>
      <x:c r="D7" s="6" t="n">
        <x:v>6</x:v>
      </x:c>
      <x:c r="F7" s="5" t="inlineStr">
        <x:is>
          <x:t xml:space="preserve">REQ-13-HIPAA</x:t>
        </x:is>
      </x:c>
      <x:c r="G7" s="5" t="inlineStr">
        <x:is>
          <x:t xml:space="preserve">0113.04a1Organizational.2</x:t>
        </x:is>
      </x:c>
      <x:c r="H7" s="6" t="n">
        <x:v>2</x:v>
      </x:c>
    </x:row>
    <x:row r="8">
      <x:c r="C8" s="5" t="inlineStr">
        <x:is>
          <x:t xml:space="preserve">1:Many action-item overlaps</x:t>
        </x:is>
      </x:c>
      <x:c r="D8" s="6" t="n">
        <x:v>8</x:v>
      </x:c>
      <x:c r="F8" s="5" t="inlineStr">
        <x:is>
          <x:t xml:space="preserve">REQ-17-HIPAA</x:t>
        </x:is>
      </x:c>
      <x:c r="G8" s="5" t="inlineStr">
        <x:is>
          <x:t xml:space="preserve">1704.03b1Organizational.12</x:t>
        </x:is>
      </x:c>
      <x:c r="H8" s="6" t="n">
        <x:v>2</x:v>
      </x:c>
    </x:row>
    <x:row r="9">
      <x:c r="C9" s="5" t="inlineStr">
        <x:is>
          <x:t xml:space="preserve">Many:1 action-item overlaps</x:t>
        </x:is>
      </x:c>
      <x:c r="D9" s="6" t="n">
        <x:v>9</x:v>
      </x:c>
      <x:c r="F9" s="5" t="inlineStr">
        <x:is>
          <x:t xml:space="preserve">REQ-20-HIPAA</x:t>
        </x:is>
      </x:c>
      <x:c r="G9" s="5" t="inlineStr">
        <x:is>
          <x:t xml:space="preserve">1704.03b1Organizational.12</x:t>
        </x:is>
      </x:c>
      <x:c r="H9" s="6" t="n">
        <x:v>2</x:v>
      </x:c>
    </x:row>
    <x:row r="10">
      <x:c r="C10" s="5" t="inlineStr">
        <x:is>
          <x:t xml:space="preserve">Many:Many action-item overlaps</x:t>
        </x:is>
      </x:c>
      <x:c r="D10" s="6" t="n">
        <x:v>8</x:v>
      </x:c>
      <x:c r="F10" s="5" t="inlineStr">
        <x:is>
          <x:t xml:space="preserve">REQ-26-HIPAA</x:t>
        </x:is>
      </x:c>
      <x:c r="G10" s="5" t="inlineStr">
        <x:is>
          <x:t xml:space="preserve">10.01d1System.10</x:t>
        </x:is>
      </x:c>
      <x:c r="H10" s="6" t="n">
        <x:v>2</x:v>
      </x:c>
    </x:row>
    <x:row r="11">
      <x:c r="F11" s="5" t="inlineStr">
        <x:is>
          <x:t xml:space="preserve">REQ-29-HIPAA</x:t>
        </x:is>
      </x:c>
      <x:c r="G11" s="5" t="inlineStr">
        <x:is>
          <x:t xml:space="preserve">11.01e1System.2</x:t>
        </x:is>
      </x:c>
      <x:c r="H11" s="6" t="n">
        <x:v>2</x:v>
      </x:c>
    </x:row>
    <x:row r="12" ht="48" customHeight="1">
      <x:c r="A12" s="26" t="inlineStr">
        <x:is>
          <x:t xml:space="preserve">Second pass added 45 CFR citations from public authoritative HHS/OCR and eCFR sources. Where the uploaded spreadsheets exposed only internal HIPAA control IDs (not official section labels), the workbook marks the citation as Direct, Composite, or Best-fit based on the action-item context and OCR guidance.</x:t>
        </x:is>
      </x:c>
      <x:c r="F12" s="5" t="inlineStr">
        <x:is>
          <x:t xml:space="preserve">REQ-31-HIPAA</x:t>
        </x:is>
      </x:c>
      <x:c r="G12" s="5" t="inlineStr">
        <x:is>
          <x:t xml:space="preserve">11143.02i1Organizational.3</x:t>
        </x:is>
      </x:c>
      <x:c r="H12" s="6" t="n">
        <x:v>2</x:v>
      </x:c>
    </x:row>
    <x:row r="13" ht="10" customHeight="1">
      <x:c r="E13" s="21" t="n"/>
      <x:c r="F13" s="5" t="inlineStr">
        <x:is>
          <x:t xml:space="preserve">REQ-33-HIPAA</x:t>
        </x:is>
      </x:c>
      <x:c r="G13" s="5" t="inlineStr">
        <x:is>
          <x:t xml:space="preserve">04.01x1Organizational.5</x:t>
        </x:is>
      </x:c>
      <x:c r="H13" s="6" t="n">
        <x:v>2</x:v>
      </x:c>
    </x:row>
    <x:row r="14">
      <x:c r="F14" s="5" t="inlineStr">
        <x:is>
          <x:t xml:space="preserve">REQ-35-HIPAA</x:t>
        </x:is>
      </x:c>
      <x:c r="G14" s="5" t="inlineStr">
        <x:is>
          <x:t xml:space="preserve">04.01x1Organizational.5</x:t>
        </x:is>
      </x:c>
      <x:c r="H14" s="6" t="n">
        <x:v>2</x:v>
      </x:c>
    </x:row>
    <x:row r="15">
      <x:c r="F15" s="5" t="inlineStr">
        <x:is>
          <x:t xml:space="preserve">REQ-55-HIPAA</x:t>
        </x:is>
      </x:c>
      <x:c r="G15" s="5" t="inlineStr">
        <x:is>
          <x:t xml:space="preserve">06.09b1System.2</x:t>
        </x:is>
      </x:c>
      <x:c r="H15" s="6" t="n">
        <x:v>2</x:v>
      </x:c>
    </x:row>
    <x:row r="16">
      <x:c r="A16" s="21" t="n"/>
      <x:c r="B16" s="21" t="n"/>
      <x:c r="C16" s="21" t="n"/>
      <x:c r="D16" s="21" t="n"/>
    </x:row>
    <x:row r="18">
      <x:c r="A18" s="2" t="inlineStr">
        <x:is>
          <x:t xml:space="preserve">How to read the tabs</x:t>
        </x:is>
      </x:c>
    </x:row>
    <x:row r="19">
      <x:c r="A19" s="9" t="inlineStr">
        <x:is>
          <x:t xml:space="preserve">Action_Item_Overlap</x:t>
        </x:is>
      </x:c>
      <x:c r="B19" s="10" t="inlineStr">
        <x:is>
          <x:t xml:space="preserve">One row per shared action item, with control lists on both sides and action-level mapping cardinality.</x:t>
        </x:is>
      </x:c>
    </x:row>
    <x:row r="20">
      <x:c r="A20" s="9" t="inlineStr">
        <x:is>
          <x:t xml:space="preserve">Normalized_Tuples</x:t>
        </x:is>
      </x:c>
      <x:c r="B20" s="10" t="inlineStr">
        <x:is>
          <x:t xml:space="preserve">Most granular view: one row per HIPAA control ↔ HITRUST e1 control within a shared action item.</x:t>
        </x:is>
      </x:c>
    </x:row>
    <x:row r="21">
      <x:c r="A21" s="9" t="inlineStr">
        <x:is>
          <x:t xml:space="preserve">Pair_Summary</x:t>
        </x:is>
      </x:c>
      <x:c r="B21" s="10" t="inlineStr">
        <x:is>
          <x:t xml:space="preserve">Deduplicated control pairs, plus the action items where each pair appears.</x:t>
        </x:is>
      </x:c>
    </x:row>
    <x:row r="23">
      <x:c r="A23" s="27" t="inlineStr">
        <x:is>
          <x:t xml:space="preserve">Second-pass 45 CFR enrichment</x:t>
        </x:is>
      </x:c>
      <x:c r="B23" s="23" t="n"/>
      <x:c r="C23" s="2" t="inlineStr">
        <x:is>
          <x:t xml:space="preserve">45 CFR metric</x:t>
        </x:is>
      </x:c>
      <x:c r="D23" s="2" t="inlineStr">
        <x:is>
          <x:t xml:space="preserve">Value</x:t>
        </x:is>
      </x:c>
    </x:row>
    <x:row r="24">
      <x:c r="C24" s="4" t="inlineStr">
        <x:is>
          <x:t xml:space="preserve">Normalized tuples with added 45 CFR citations</x:t>
        </x:is>
      </x:c>
      <x:c r="D24" s="4" t="n">
        <x:v>115</x:v>
      </x:c>
    </x:row>
    <x:row r="25">
      <x:c r="C25" s="4" t="inlineStr">
        <x:is>
          <x:t xml:space="preserve">Distinct (HIPAA control, action item) citation mappings</x:t>
        </x:is>
      </x:c>
      <x:c r="D25" s="4" t="n">
        <x:v>57</x:v>
      </x:c>
    </x:row>
    <x:row r="26">
      <x:c r="C26" s="4" t="inlineStr">
        <x:is>
          <x:t xml:space="preserve">Rows with direct matches</x:t>
        </x:is>
      </x:c>
      <x:c r="D26" s="4" t="n">
        <x:v>54</x:v>
      </x:c>
    </x:row>
    <x:row r="27">
      <x:c r="C27" s="4" t="inlineStr">
        <x:is>
          <x:t xml:space="preserve">Rows with composite matches</x:t>
        </x:is>
      </x:c>
      <x:c r="D27" s="4" t="n">
        <x:v>11</x:v>
      </x:c>
    </x:row>
    <x:row r="28">
      <x:c r="C28" s="4" t="inlineStr">
        <x:is>
          <x:t xml:space="preserve">Rows with best-fit matches</x:t>
        </x:is>
      </x:c>
      <x:c r="D28" s="4" t="n">
        <x:v>50</x:v>
      </x:c>
    </x:row>
    <x:row r="30">
      <x:c r="A30" s="27" t="inlineStr">
        <x:is>
          <x:t xml:space="preserve">New tabs in this version</x:t>
        </x:is>
      </x:c>
      <x:c r="B30" s="23" t="n"/>
    </x:row>
    <x:row r="31">
      <x:c r="A31" s="4" t="inlineStr">
        <x:is>
          <x:t xml:space="preserve">HIPAA_45CFR_Mapping</x:t>
        </x:is>
      </x:c>
      <x:c r="B31" s="22" t="inlineStr">
        <x:is>
          <x:t xml:space="preserve">Unique HIPAA-control + action-item contexts with the added 45 CFR citations, confidence level, basis, and source URLs.</x:t>
        </x:is>
      </x:c>
    </x:row>
    <x:row r="32">
      <x:c r="A32" s="4" t="inlineStr">
        <x:is>
          <x:t xml:space="preserve">Source_Register</x:t>
        </x:is>
      </x:c>
      <x:c r="B32" s="22" t="inlineStr">
        <x:is>
          <x:t xml:space="preserve">Register of authoritative public HHS/OCR and eCFR sources used for the citation enrichment.</x:t>
        </x:is>
      </x:c>
    </x:row>
    <x:row r="34">
      <x:c r="A34" s="27" t="inlineStr">
        <x:is>
          <x:t xml:space="preserve">Third-pass split-column enhancement</x:t>
        </x:is>
      </x:c>
    </x:row>
    <x:row r="35">
      <x:c r="C35" s="2" t="inlineStr">
        <x:is>
          <x:t xml:space="preserve">Metric</x:t>
        </x:is>
      </x:c>
      <x:c r="D35" s="2" t="inlineStr">
        <x:is>
          <x:t xml:space="preserve">Value</x:t>
        </x:is>
      </x:c>
    </x:row>
    <x:row r="36">
      <x:c r="C36" t="inlineStr">
        <x:is>
          <x:t xml:space="preserve">Source_ERs_Unique rows</x:t>
        </x:is>
      </x:c>
      <x:c r="D36" t="n">
        <x:v>81</x:v>
      </x:c>
    </x:row>
    <x:row r="37">
      <x:c r="C37" t="inlineStr">
        <x:is>
          <x:t xml:space="preserve">Normalized_Tuples_Expanded rows</x:t>
        </x:is>
      </x:c>
      <x:c r="D37" t="n">
        <x:v>115</x:v>
      </x:c>
    </x:row>
    <x:row r="38">
      <x:c r="C38" t="inlineStr">
        <x:is>
          <x:t xml:space="preserve">Tuple_Citation_Map rows</x:t>
        </x:is>
      </x:c>
      <x:c r="D38" t="n">
        <x:v>151</x:v>
      </x:c>
    </x:row>
    <x:row r="39">
      <x:c r="C39" t="inlineStr">
        <x:is>
          <x:t xml:space="preserve">Action_Item_Overlap_Expanded rows</x:t>
        </x:is>
      </x:c>
      <x:c r="D39" t="n">
        <x:v>31</x:v>
      </x:c>
    </x:row>
    <x:row r="40">
      <x:c r="C40" t="inlineStr">
        <x:is>
          <x:t xml:space="preserve">ActionItem_Citation_Map rows</x:t>
        </x:is>
      </x:c>
      <x:c r="D40" t="n">
        <x:v>80</x:v>
      </x:c>
    </x:row>
    <x:row r="41">
      <x:c r="C41" t="inlineStr">
        <x:is>
          <x:t xml:space="preserve">Pair_Summary_Expanded rows</x:t>
        </x:is>
      </x:c>
      <x:c r="D41" t="n">
        <x:v>103</x:v>
      </x:c>
    </x:row>
    <x:row r="42">
      <x:c r="C42" t="inlineStr">
        <x:is>
          <x:t xml:space="preserve">Official_HIPAA_Citations rows</x:t>
        </x:is>
      </x:c>
      <x:c r="D42" t="n">
        <x:v>27</x:v>
      </x:c>
    </x:row>
    <x:row r="43">
      <x:c r="C43" t="inlineStr">
        <x:is>
          <x:t xml:space="preserve">Enhanced_Source_Register rows</x:t>
        </x:is>
      </x:c>
      <x:c r="D43" t="n">
        <x:v>22</x:v>
      </x:c>
    </x:row>
    <x:row r="44">
      <x:c r="C44" t="inlineStr">
        <x:is>
          <x:t xml:space="preserve">Rows with citation adjustment to standard-level IAM</x:t>
        </x:is>
      </x:c>
      <x:c r="D44" t="n">
        <x:v>1</x:v>
      </x:c>
    </x:row>
    <x:row r="46">
      <x:c r="A46" s="27" t="inlineStr">
        <x:is>
          <x:t xml:space="preserve">Additional tabs in this version</x:t>
        </x:is>
      </x:c>
    </x:row>
    <x:row r="47">
      <x:c r="A47" s="22" t="inlineStr">
        <x:is>
          <x:t xml:space="preserve">Source_ERs_Unique</x:t>
        </x:is>
      </x:c>
      <x:c r="B47" s="22" t="inlineStr">
        <x:is>
          <x:t xml:space="preserve">One row per Airtable export row with raw Thoropass notation preserved and unique split-out Tier / Local Control / Framework columns.</x:t>
        </x:is>
      </x:c>
    </x:row>
    <x:row r="48">
      <x:c r="A48" s="22" t="inlineStr">
        <x:is>
          <x:t xml:space="preserve">Official_HIPAA_Citations</x:t>
        </x:is>
      </x:c>
      <x:c r="B48" s="22" t="inlineStr">
        <x:is>
          <x:t xml:space="preserve">Register of the official HIPAA 45 C.F.R. citations used in the workbook, with requirement titles, one-sentence summaries, implementation type, and source URLs.</x:t>
        </x:is>
      </x:c>
    </x:row>
    <x:row r="49">
      <x:c r="A49" s="22" t="inlineStr">
        <x:is>
          <x:t xml:space="preserve">Normalized_Tuples_Expanded</x:t>
        </x:is>
      </x:c>
      <x:c r="B49" s="22" t="inlineStr">
        <x:is>
          <x:t xml:space="preserve">Expanded version of the granular tuple sheet with separate official citation / title / summary columns and HITRUST display columns.</x:t>
        </x:is>
      </x:c>
    </x:row>
    <x:row r="50">
      <x:c r="A50" s="22" t="inlineStr">
        <x:is>
          <x:t xml:space="preserve">Tuple_Citation_Map</x:t>
        </x:is>
      </x:c>
      <x:c r="B50" s="22" t="inlineStr">
        <x:is>
          <x:t xml:space="preserve">Most sortable legal crosswalk: one row per HIPAA control ↔ HITRUST control ↔ action item ↔ official HIPAA citation.</x:t>
        </x:is>
      </x:c>
    </x:row>
    <x:row r="51">
      <x:c r="A51" s="22" t="inlineStr">
        <x:is>
          <x:t xml:space="preserve">Action_Item_Overlap_Expanded</x:t>
        </x:is>
      </x:c>
      <x:c r="B51" s="22" t="inlineStr">
        <x:is>
          <x:t xml:space="preserve">Action-item overlap sheet with split-out HIPAA controls, HITRUST controls, and official citation / summary columns.</x:t>
        </x:is>
      </x:c>
    </x:row>
    <x:row r="52">
      <x:c r="A52" s="22" t="inlineStr">
        <x:is>
          <x:t xml:space="preserve">ActionItem_Citation_Map</x:t>
        </x:is>
      </x:c>
      <x:c r="B52" s="22" t="inlineStr">
        <x:is>
          <x:t xml:space="preserve">One row per action item ↔ HIPAA control ↔ official citation with the related HITRUST controls aggregated in separate columns.</x:t>
        </x:is>
      </x:c>
    </x:row>
    <x:row r="53">
      <x:c r="A53" s="22" t="inlineStr">
        <x:is>
          <x:t xml:space="preserve">Pair_Summary_Expanded</x:t>
        </x:is>
      </x:c>
      <x:c r="B53" s="22" t="inlineStr">
        <x:is>
          <x:t xml:space="preserve">Expanded pair summary with separate official citation / title / summary columns for each control pair.</x:t>
        </x:is>
      </x:c>
    </x:row>
    <x:row r="54">
      <x:c r="A54" s="22" t="inlineStr">
        <x:is>
          <x:t xml:space="preserve">Enhanced_Source_Register</x:t>
        </x:is>
      </x:c>
      <x:c r="B54" s="22" t="inlineStr">
        <x:is>
          <x:t xml:space="preserve">Combined register of Thoropass company sources, uploaded source files, and public authoritative HHS/OCR / eCFR sources used in the enhancement pass.</x:t>
        </x:is>
      </x:c>
    </x:row>
  </x:sheetData>
  <x:mergeCells>
    <x:mergeCell ref="A30:B30"/>
    <x:mergeCell ref="A12:E13"/>
    <x:mergeCell ref="A12:D16"/>
    <x:mergeCell ref="A34:D34"/>
    <x:mergeCell ref="A1:L1"/>
    <x:mergeCell ref="A23:B23"/>
    <x:mergeCell ref="A46:D4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8" customWidth="1"/>
    <x:col min="2" max="2" width="14" customWidth="1"/>
    <x:col min="3" max="3" width="16" customWidth="1"/>
    <x:col min="4" max="4" width="42" customWidth="1"/>
    <x:col min="5" max="5" width="36" customWidth="1"/>
    <x:col min="6" max="6" width="12" customWidth="1"/>
    <x:col min="7" max="7" width="54" customWidth="1"/>
    <x:col min="8" max="8" width="14" customWidth="1"/>
    <x:col min="9" max="9" width="12" customWidth="1"/>
    <x:col min="10" max="10" width="68" customWidth="1"/>
    <x:col min="11" max="11" width="28" customWidth="1"/>
    <x:col min="12" max="12" width="42" customWidth="1"/>
    <x:col min="13" max="13" width="22" customWidth="1"/>
    <x:col min="14" max="14" width="52" customWidth="1"/>
    <x:col min="15" max="15" width="70" customWidth="1"/>
    <x:col min="16" max="16" width="56" customWidth="1"/>
  </x:cols>
  <x:sheetData>
    <x:row r="1" ht="32" customHeight="1">
      <x:c r="A1" s="11" t="inlineStr">
        <x:is>
          <x:t xml:space="preserve">Source File</x:t>
        </x:is>
      </x:c>
      <x:c r="B1" s="11" t="inlineStr">
        <x:is>
          <x:t xml:space="preserve">Reference ID</x:t>
        </x:is>
      </x:c>
      <x:c r="C1" s="11" t="inlineStr">
        <x:is>
          <x:t xml:space="preserve">Category</x:t>
        </x:is>
      </x:c>
      <x:c r="D1" s="11" t="inlineStr">
        <x:is>
          <x:t xml:space="preserve">Action Item</x:t>
        </x:is>
      </x:c>
      <x:c r="E1" s="11" t="inlineStr">
        <x:is>
          <x:t xml:space="preserve">HIPAA Controls</x:t>
        </x:is>
      </x:c>
      <x:c r="F1" s="11" t="inlineStr">
        <x:is>
          <x:t xml:space="preserve">HIPAA Control Count</x:t>
        </x:is>
      </x:c>
      <x:c r="G1" s="11" t="inlineStr">
        <x:is>
          <x:t xml:space="preserve">HITRUST e1 Controls</x:t>
        </x:is>
      </x:c>
      <x:c r="H1" s="11" t="inlineStr">
        <x:is>
          <x:t xml:space="preserve">HITRUST Control Count</x:t>
        </x:is>
      </x:c>
      <x:c r="I1" s="11" t="inlineStr">
        <x:is>
          <x:t xml:space="preserve">Mapping Type</x:t>
        </x:is>
      </x:c>
      <x:c r="J1" s="11" t="inlineStr">
        <x:is>
          <x:t xml:space="preserve">Overlap Notes</x:t>
        </x:is>
      </x:c>
      <x:c r="K1" s="11" t="inlineStr">
        <x:is>
          <x:t xml:space="preserve">HIPAA 45 CFR Citation(s)</x:t>
        </x:is>
      </x:c>
      <x:c r="L1" s="11" t="inlineStr">
        <x:is>
          <x:t xml:space="preserve">HIPAA Standard / Spec</x:t>
        </x:is>
      </x:c>
      <x:c r="M1" s="11" t="inlineStr">
        <x:is>
          <x:t xml:space="preserve">45 CFR Mapping Confidence</x:t>
        </x:is>
      </x:c>
      <x:c r="N1" s="11" t="inlineStr">
        <x:is>
          <x:t xml:space="preserve">45 CFR Mapping Basis</x:t>
        </x:is>
      </x:c>
      <x:c r="O1" s="11" t="inlineStr">
        <x:is>
          <x:t xml:space="preserve">Authoritative Public Source URL(s)</x:t>
        </x:is>
      </x:c>
      <x:c r="P1" s="11" t="inlineStr">
        <x:is>
          <x:t xml:space="preserve">45 CFR Notes</x:t>
        </x:is>
      </x:c>
    </x:row>
    <x:row r="2" ht="36" customHeight="1">
      <x:c r="A2" s="5" t="inlineStr">
        <x:is>
          <x:t xml:space="preserve">HITRUST e1.csv</x:t>
        </x:is>
      </x:c>
      <x:c r="B2" s="5" t="inlineStr">
        <x:is>
          <x:t xml:space="preserve">ER-18</x:t>
        </x:is>
      </x:c>
      <x:c r="C2" s="5" t="inlineStr">
        <x:is>
          <x:t xml:space="preserve">Configuration</x:t>
        </x:is>
      </x:c>
      <x:c r="D2" s="5" t="inlineStr">
        <x:is>
          <x:t xml:space="preserve">Anti-malware and Alerts</x:t>
        </x:is>
      </x:c>
      <x:c r="E2" s="5" t="inlineStr">
        <x:is>
          <x:t xml:space="preserve">REQ-38-HIPAA</x:t>
        </x:is>
      </x:c>
      <x:c r="F2" s="12">
        <x:f>IF(E2="",0,LEN(E2)-LEN(SUBSTITUTE(E2,",",""))+1)</x:f>
        <x:v>1</x:v>
      </x:c>
      <x:c r="G2" s="5" t="inlineStr">
        <x:is>
          <x:t xml:space="preserve">0226.09k1Organizational.2, 08.09m1Organizational.8, 02962.09j1Organizational.5, 0207.09j1Organizational.6</x:t>
        </x:is>
      </x:c>
      <x:c r="H2" s="12">
        <x:f>IF(G2="",0,LEN(G2)-LEN(SUBSTITUTE(G2,",",""))+1)</x:f>
        <x:v>4</x:v>
      </x:c>
      <x:c r="I2" s="13" t="str">
        <x:f>IF(AND(F2=1,H2=1),"1:1",IF(AND(F2=1,H2&gt;1),"1:Many",IF(AND(F2&gt;1,H2=1),"Many:1","Many:Many")))</x:f>
        <x:v>1:Many</x:v>
      </x:c>
      <x:c r="J2" s="5" t="str">
        <x:f>IF(I2="1:1","Direct 1:1 overlap at the action-item level.",IF(I2="1:Many","One HIPAA local control decomposes into multiple HITRUST e1 controls in this action item.",IF(I2="Many:1","Multiple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2" s="24" t="inlineStr">
        <x:is>
          <x:t xml:space="preserve">45 CFR § 164.308(a)(5)(ii)(B)</x:t>
        </x:is>
      </x:c>
      <x:c r="L2" s="24" t="inlineStr">
        <x:is>
          <x:t xml:space="preserve">Security Awareness and Training — Protection from Malicious Software</x:t>
        </x:is>
      </x:c>
      <x:c r="M2" s="24" t="inlineStr">
        <x:is>
          <x:t xml:space="preserve">Direct</x:t>
        </x:is>
      </x:c>
      <x:c r="N2" s="24" t="inlineStr">
        <x:is>
          <x:t xml:space="preserve">Anti-malware evidence aligns directly to guarding against, detecting, and reporting malicious software.</x:t>
        </x:is>
      </x:c>
      <x:c r="O2"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P2" s="24" t="inlineStr">
        <x:is>
          <x:t xml:space="preserve">Alerts are treated as part of guarding against/detecting malicious software.</x:t>
        </x:is>
      </x:c>
    </x:row>
    <x:row r="3" ht="36" customHeight="1">
      <x:c r="A3" s="5" t="inlineStr">
        <x:is>
          <x:t xml:space="preserve">HITRUST e1.csv</x:t>
        </x:is>
      </x:c>
      <x:c r="B3" s="5" t="inlineStr">
        <x:is>
          <x:t xml:space="preserve">ER-114</x:t>
        </x:is>
      </x:c>
      <x:c r="C3" s="5" t="inlineStr">
        <x:is>
          <x:t xml:space="preserve">Configuration</x:t>
        </x:is>
      </x:c>
      <x:c r="D3" s="5" t="inlineStr">
        <x:is>
          <x:t xml:space="preserve">Backups and Schedules</x:t>
        </x:is>
      </x:c>
      <x:c r="E3" s="5" t="inlineStr">
        <x:is>
          <x:t xml:space="preserve">REQ-62-HIPAA, REQ-63-HIPAA</x:t>
        </x:is>
      </x:c>
      <x:c r="F3" s="12">
        <x:f>IF(E3="",0,LEN(E3)-LEN(SUBSTITUTE(E3,",",""))+1)</x:f>
        <x:v>2</x:v>
      </x:c>
      <x:c r="G3" s="5" t="inlineStr">
        <x:is>
          <x:t xml:space="preserve">1616.09l1Organizational.16, 16.09l1Organizational.4, 1618.09l1Organizational.45</x:t>
        </x:is>
      </x:c>
      <x:c r="H3" s="12">
        <x:f>IF(G3="",0,LEN(G3)-LEN(SUBSTITUTE(G3,",",""))+1)</x:f>
        <x:v>3</x:v>
      </x:c>
      <x:c r="I3" s="14" t="str">
        <x:f>IF(AND(F3=1,H3=1),"1:1",IF(AND(F3=1,H3&gt;1),"1:Many",IF(AND(F3&gt;1,H3=1),"Many:1","Many:Many")))</x:f>
        <x:v>Many:Many</x:v>
      </x:c>
      <x:c r="J3" s="5" t="str">
        <x:f>IF(I3="1:1","Direct 1:1 overlap at the action-item level.",IF(I3="1:Many","One HIPAA local control decomposes into multiple HITRUST e1 controls in this action item.",IF(I3="Many:1","Multiple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3" s="24" t="inlineStr">
        <x:is>
          <x:t xml:space="preserve">45 CFR § 164.308(a)(7)(ii)(A) | 45 CFR § 164.308(a)(7)(ii)(B)</x:t>
        </x:is>
      </x:c>
      <x:c r="L3" s="24" t="inlineStr">
        <x:is>
          <x:t xml:space="preserve">Contingency Plan — Data Backup Plan | Contingency Plan — Disaster Recovery Plan</x:t>
        </x:is>
      </x:c>
      <x:c r="M3" s="24" t="inlineStr">
        <x:is>
          <x:t xml:space="preserve">Direct | Best-fit</x:t>
        </x:is>
      </x:c>
      <x:c r="N3" s="24" t="inlineStr">
        <x:is>
          <x:t xml:space="preserve">Backup schedules most directly align to maintaining retrievable exact copies of ePHI. | Backup/replication planning most closely aligns to restoring lost data and recovering operations after a disruption.</x:t>
        </x:is>
      </x:c>
      <x:c r="O3"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 | https://www.hhs.gov/sites/default/files/ocr/privacy/hipaa/administrative/combined/hipaa-simplification-201303.pdf</x:t>
        </x:is>
      </x:c>
      <x:c r="P3" s="24" t="inlineStr">
        <x:is>
          <x:t xml:space="preserve">Used for backup schedule evidence. | Used for schedule-level backup rows when the internal control appears to emphasize recoverability/replication.</x:t>
        </x:is>
      </x:c>
    </x:row>
    <x:row r="4" ht="36" customHeight="1">
      <x:c r="A4" s="5" t="inlineStr">
        <x:is>
          <x:t xml:space="preserve">HITRUST e1.csv</x:t>
        </x:is>
      </x:c>
      <x:c r="B4" s="5" t="inlineStr">
        <x:is>
          <x:t xml:space="preserve">ER-1</x:t>
        </x:is>
      </x:c>
      <x:c r="C4" s="5" t="inlineStr">
        <x:is>
          <x:t xml:space="preserve">Configuration</x:t>
        </x:is>
      </x:c>
      <x:c r="D4" s="5" t="inlineStr">
        <x:is>
          <x:t xml:space="preserve">Data Encryption at Rest</x:t>
        </x:is>
      </x:c>
      <x:c r="E4" s="5" t="inlineStr">
        <x:is>
          <x:t xml:space="preserve">REQ-33-HIPAA, REQ-34-HIPAA, REQ-35-HIPAA</x:t>
        </x:is>
      </x:c>
      <x:c r="F4" s="12">
        <x:f>IF(E4="",0,LEN(E4)-LEN(SUBSTITUTE(E4,",",""))+1)</x:f>
        <x:v>3</x:v>
      </x:c>
      <x:c r="G4" s="5" t="inlineStr">
        <x:is>
          <x:t xml:space="preserve">04.01x1Organizational.5, 1903.06d1Organizational.3456711</x:t>
        </x:is>
      </x:c>
      <x:c r="H4" s="12">
        <x:f>IF(G4="",0,LEN(G4)-LEN(SUBSTITUTE(G4,",",""))+1)</x:f>
        <x:v>2</x:v>
      </x:c>
      <x:c r="I4" s="14" t="str">
        <x:f>IF(AND(F4=1,H4=1),"1:1",IF(AND(F4=1,H4&gt;1),"1:Many",IF(AND(F4&gt;1,H4=1),"Many:1","Many:Many")))</x:f>
        <x:v>Many:Many</x:v>
      </x:c>
      <x:c r="J4" s="5" t="str">
        <x:f>IF(I4="1:1","Direct 1:1 overlap at the action-item level.",IF(I4="1:Many","One HIPAA local control decomposes into multiple HITRUST e1 controls in this action item.",IF(I4="Many:1","Multiple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4" s="24" t="inlineStr">
        <x:is>
          <x:t xml:space="preserve">45 CFR § 164.312(a)(2)(iv)</x:t>
        </x:is>
      </x:c>
      <x:c r="L4" s="24" t="inlineStr">
        <x:is>
          <x:t xml:space="preserve">Access Control — Encryption and Decryption</x:t>
        </x:is>
      </x:c>
      <x:c r="M4" s="24" t="inlineStr">
        <x:is>
          <x:t xml:space="preserve">Direct | Best-fit</x:t>
        </x:is>
      </x:c>
      <x:c r="N4" s="24" t="inlineStr">
        <x:is>
          <x:t xml:space="preserve">At-rest encryption evidence aligns directly to the encryption/decryption implementation specification under access control. | Control/action-item context aligns to at-rest encryption. | This internal control ID also appears on an at-rest encryption row in the source spreadsheets, so the row context points to at-rest encryption even though the same control family also covers transmission encryption elsewhere.</x:t>
        </x:is>
      </x:c>
      <x:c r="O4"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P4" s="24" t="inlineStr">
        <x:is>
          <x:t xml:space="preserve">Used when the shared action item is explicitly at-rest encryption. | Used for data-encryption-at-rest rows. | Row-context mapping takes precedence over the broader internal control family.</x:t>
        </x:is>
      </x:c>
    </x:row>
    <x:row r="5" ht="36" customHeight="1">
      <x:c r="A5" s="5" t="inlineStr">
        <x:is>
          <x:t xml:space="preserve">HITRUST e1.csv</x:t>
        </x:is>
      </x:c>
      <x:c r="B5" s="5" t="inlineStr">
        <x:is>
          <x:t xml:space="preserve">ER-3</x:t>
        </x:is>
      </x:c>
      <x:c r="C5" s="5" t="inlineStr">
        <x:is>
          <x:t xml:space="preserve">Configuration</x:t>
        </x:is>
      </x:c>
      <x:c r="D5" s="5" t="inlineStr">
        <x:is>
          <x:t xml:space="preserve">Encryption In Transit (Ex. TLS Protocols)</x:t>
        </x:is>
      </x:c>
      <x:c r="E5" s="5" t="inlineStr">
        <x:is>
          <x:t xml:space="preserve">REQ-33-HIPAA, REQ-35-HIPAA</x:t>
        </x:is>
      </x:c>
      <x:c r="F5" s="12">
        <x:f>IF(E5="",0,LEN(E5)-LEN(SUBSTITUTE(E5,",",""))+1)</x:f>
        <x:v>2</x:v>
      </x:c>
      <x:c r="G5" s="5" t="inlineStr">
        <x:is>
          <x:t xml:space="preserve">04.01x1Organizational.5, 0913.09s1Organizational.5, 1013.01r1System.2, 0862.09m2Organizational.8, 0928.09v2Organizational.1, 0945.09y1Organizational.3, 0954.10d1System.1, 0903.10f1Organizational.1.a</x:t>
        </x:is>
      </x:c>
      <x:c r="H5" s="12">
        <x:f>IF(G5="",0,LEN(G5)-LEN(SUBSTITUTE(G5,",",""))+1)</x:f>
        <x:v>8</x:v>
      </x:c>
      <x:c r="I5" s="14" t="str">
        <x:f>IF(AND(F5=1,H5=1),"1:1",IF(AND(F5=1,H5&gt;1),"1:Many",IF(AND(F5&gt;1,H5=1),"Many:1","Many:Many")))</x:f>
        <x:v>Many:Many</x:v>
      </x:c>
      <x:c r="J5" s="5" t="str">
        <x:f>IF(I5="1:1","Direct 1:1 overlap at the action-item level.",IF(I5="1:Many","One HIPAA local control decomposes into multiple HITRUST e1 controls in this action item.",IF(I5="Many:1","Multiple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5" s="24" t="inlineStr">
        <x:is>
          <x:t xml:space="preserve">45 CFR § 164.312(e)(2)(ii)</x:t>
        </x:is>
      </x:c>
      <x:c r="L5" s="24" t="inlineStr">
        <x:is>
          <x:t xml:space="preserve">Transmission Security — Encryption</x:t>
        </x:is>
      </x:c>
      <x:c r="M5" s="24" t="inlineStr">
        <x:is>
          <x:t xml:space="preserve">Direct</x:t>
        </x:is>
      </x:c>
      <x:c r="N5" s="24" t="inlineStr">
        <x:is>
          <x:t xml:space="preserve">Transmission-encryption evidence aligns directly to the transmission-security encryption implementation specification. | Action item explicitly addresses encryption in transit.</x:t>
        </x:is>
      </x:c>
      <x:c r="O5"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P5" s="24" t="inlineStr">
        <x:is>
          <x:t xml:space="preserve">Used when the shared action item is explicitly in-transit encryption. | Used for transport/TLS evidence.</x:t>
        </x:is>
      </x:c>
    </x:row>
    <x:row r="6" ht="36" customHeight="1">
      <x:c r="A6" s="5" t="inlineStr">
        <x:is>
          <x:t xml:space="preserve">HITRUST e1.csv</x:t>
        </x:is>
      </x:c>
      <x:c r="B6" s="5" t="inlineStr">
        <x:is>
          <x:t xml:space="preserve">ER-88</x:t>
        </x:is>
      </x:c>
      <x:c r="C6" s="5" t="inlineStr">
        <x:is>
          <x:t xml:space="preserve">Configuration</x:t>
        </x:is>
      </x:c>
      <x:c r="D6" s="5" t="inlineStr">
        <x:is>
          <x:t xml:space="preserve">Evidence of Multi-Factor Authentication</x:t>
        </x:is>
      </x:c>
      <x:c r="E6" s="5" t="inlineStr">
        <x:is>
          <x:t xml:space="preserve">REQ-27-HIPAA</x:t>
        </x:is>
      </x:c>
      <x:c r="F6" s="12">
        <x:f>IF(E6="",0,LEN(E6)-LEN(SUBSTITUTE(E6,",",""))+1)</x:f>
        <x:v>1</x:v>
      </x:c>
      <x:c r="G6" s="5" t="inlineStr">
        <x:is>
          <x:t xml:space="preserve">11.01q1System.3, 11.01q1System.4</x:t>
        </x:is>
      </x:c>
      <x:c r="H6" s="12">
        <x:f>IF(G6="",0,LEN(G6)-LEN(SUBSTITUTE(G6,",",""))+1)</x:f>
        <x:v>2</x:v>
      </x:c>
      <x:c r="I6" s="13" t="str">
        <x:f>IF(AND(F6=1,H6=1),"1:1",IF(AND(F6=1,H6&gt;1),"1:Many",IF(AND(F6&gt;1,H6=1),"Many:1","Many:Many")))</x:f>
        <x:v>1:Many</x:v>
      </x:c>
      <x:c r="J6" s="5" t="str">
        <x:f>IF(I6="1:1","Direct 1:1 overlap at the action-item level.",IF(I6="1:Many","One HIPAA local control decomposes into multiple HITRUST e1 controls in this action item.",IF(I6="Many:1","Multiple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6" s="24" t="inlineStr">
        <x:is>
          <x:t xml:space="preserve">45 CFR § 164.312(d)</x:t>
        </x:is>
      </x:c>
      <x:c r="L6" s="24" t="inlineStr">
        <x:is>
          <x:t xml:space="preserve">Person or Entity Authentication</x:t>
        </x:is>
      </x:c>
      <x:c r="M6" s="24" t="inlineStr">
        <x:is>
          <x:t xml:space="preserve">Direct</x:t>
        </x:is>
      </x:c>
      <x:c r="N6" s="24" t="inlineStr">
        <x:is>
          <x:t xml:space="preserve">MFA evidence most directly supports verifying that the person or entity seeking access is the one claimed.</x:t>
        </x:is>
      </x:c>
      <x:c r="O6" s="24"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P6" s="24" t="inlineStr">
        <x:is>
          <x:t xml:space="preserve">HIPAA does not mandate a specific technology such as MFA in all cases, but MFA evidence is a strong implementation of this standard.</x:t>
        </x:is>
      </x:c>
    </x:row>
    <x:row r="7" ht="36" customHeight="1">
      <x:c r="A7" s="5" t="inlineStr">
        <x:is>
          <x:t xml:space="preserve">HITRUST e1.csv</x:t>
        </x:is>
      </x:c>
      <x:c r="B7" s="5" t="inlineStr">
        <x:is>
          <x:t xml:space="preserve">ER-91</x:t>
        </x:is>
      </x:c>
      <x:c r="C7" s="5" t="inlineStr">
        <x:is>
          <x:t xml:space="preserve">Configuration</x:t>
        </x:is>
      </x:c>
      <x:c r="D7" s="5" t="inlineStr">
        <x:is>
          <x:t xml:space="preserve">Firewall Rules/Security Groups</x:t>
        </x:is>
      </x:c>
      <x:c r="E7" s="5" t="inlineStr">
        <x:is>
          <x:t xml:space="preserve">REQ-37-HIPAA</x:t>
        </x:is>
      </x:c>
      <x:c r="F7" s="12">
        <x:f>IF(E7="",0,LEN(E7)-LEN(SUBSTITUTE(E7,",",""))+1)</x:f>
        <x:v>1</x:v>
      </x:c>
      <x:c r="G7" s="5" t="inlineStr">
        <x:is>
          <x:t xml:space="preserve">0265.09m1Organizational.2, 0805.01m1Organizational.12</x:t>
        </x:is>
      </x:c>
      <x:c r="H7" s="12">
        <x:f>IF(G7="",0,LEN(G7)-LEN(SUBSTITUTE(G7,",",""))+1)</x:f>
        <x:v>2</x:v>
      </x:c>
      <x:c r="I7" s="13" t="str">
        <x:f>IF(AND(F7=1,H7=1),"1:1",IF(AND(F7=1,H7&gt;1),"1:Many",IF(AND(F7&gt;1,H7=1),"Many:1","Many:Many")))</x:f>
        <x:v>1:Many</x:v>
      </x:c>
      <x:c r="J7" s="5" t="str">
        <x:f>IF(I7="1:1","Direct 1:1 overlap at the action-item level.",IF(I7="1:Many","One HIPAA local control decomposes into multiple HITRUST e1 controls in this action item.",IF(I7="Many:1","Multiple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7" s="24" t="inlineStr">
        <x:is>
          <x:t xml:space="preserve">45 CFR § 164.312(a)(1)</x:t>
        </x:is>
      </x:c>
      <x:c r="L7" s="24" t="inlineStr">
        <x:is>
          <x:t xml:space="preserve">Access Control</x:t>
        </x:is>
      </x:c>
      <x:c r="M7" s="24" t="inlineStr">
        <x:is>
          <x:t xml:space="preserve">Best-fit</x:t>
        </x:is>
      </x:c>
      <x:c r="N7" s="24" t="inlineStr">
        <x:is>
          <x:t xml:space="preserve">Firewall rules/security groups are a technical means of enforcing access restrictions around systems containing ePHI.</x:t>
        </x:is>
      </x:c>
      <x:c r="O7" s="24"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P7" s="24" t="inlineStr">
        <x:is>
          <x:t xml:space="preserve">Mapped to the broad access-control standard because HIPAA does not list firewall rules as a separate named specification.</x:t>
        </x:is>
      </x:c>
    </x:row>
    <x:row r="8" ht="36" customHeight="1">
      <x:c r="A8" s="5" t="inlineStr">
        <x:is>
          <x:t xml:space="preserve">HITRUST e1.csv</x:t>
        </x:is>
      </x:c>
      <x:c r="B8" s="5" t="inlineStr">
        <x:is>
          <x:t xml:space="preserve">ER-12</x:t>
        </x:is>
      </x:c>
      <x:c r="C8" s="5" t="inlineStr">
        <x:is>
          <x:t xml:space="preserve">Configuration</x:t>
        </x:is>
      </x:c>
      <x:c r="D8" s="5" t="inlineStr">
        <x:is>
          <x:t xml:space="preserve">List of All Production Systems (Servers, VMs, Data Stores)</x:t>
        </x:is>
      </x:c>
      <x:c r="E8" s="5" t="inlineStr">
        <x:is>
          <x:t xml:space="preserve">REQ-33-HIPAA, REQ-34-HIPAA, REQ-43-HIPAA, REQ-102-HIPAA</x:t>
        </x:is>
      </x:c>
      <x:c r="F8" s="12">
        <x:f>IF(E8="",0,LEN(E8)-LEN(SUBSTITUTE(E8,",",""))+1)</x:f>
        <x:v>4</x:v>
      </x:c>
      <x:c r="G8" s="5" t="inlineStr">
        <x:is>
          <x:t xml:space="preserve">0701.07a1Organizational.8, 0701.07a1Organizational.7, 07.07a1Organizational.8</x:t>
        </x:is>
      </x:c>
      <x:c r="H8" s="12">
        <x:f>IF(G8="",0,LEN(G8)-LEN(SUBSTITUTE(G8,",",""))+1)</x:f>
        <x:v>3</x:v>
      </x:c>
      <x:c r="I8" s="14" t="str">
        <x:f>IF(AND(F8=1,H8=1),"1:1",IF(AND(F8=1,H8&gt;1),"1:Many",IF(AND(F8&gt;1,H8=1),"Many:1","Many:Many")))</x:f>
        <x:v>Many:Many</x:v>
      </x:c>
      <x:c r="J8" s="5" t="str">
        <x:f>IF(I8="1:1","Direct 1:1 overlap at the action-item level.",IF(I8="1:Many","One HIPAA local control decomposes into multiple HITRUST e1 controls in this action item.",IF(I8="Many:1","Multiple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8" s="24" t="inlineStr">
        <x:is>
          <x:t xml:space="preserve">45 CFR § 164.308(a)(1)(ii)(A) | 45 CFR § 164.312(a)(2)(iv) | 45 CFR § 164.312(e)(2)(ii) | 45 CFR § 164.308(a)(1)(ii)(B)</x:t>
        </x:is>
      </x:c>
      <x:c r="L8" s="24" t="inlineStr">
        <x:is>
          <x:t xml:space="preserve">Security Management Process — Risk Analysis | Access Control — Encryption and Decryption | Transmission Security — Encryption | Security Management Process — Risk Management</x:t>
        </x:is>
      </x:c>
      <x:c r="M8" s="24" t="inlineStr">
        <x:is>
          <x:t xml:space="preserve">Best-fit composite | Best-fit</x:t>
        </x:is>
      </x:c>
      <x:c r="N8" s="24" t="inlineStr">
        <x:is>
          <x:t xml:space="preserve">System-inventory evidence is not explicitly named in the Security Rule, but OCR guidance treats asset inventories and system scoping as supporting accurate risk analysis and implementation of encryption safeguards. | System inventory supports scoping/coverage of at-rest encryption and accurate risk analysis. | A production-systems inventory is supporting evidence for patch coverage and vulnerability scoping under risk analysis/risk management. | HIPAA does not expressly mandate an IT asset inventory, but OCR guidance says a comprehensive technology asset inventory and ePHI data-flow diagrams are valuable tools for an accurate and thorough risk analysis.</x:t>
        </x:is>
      </x:c>
      <x:c r="O8"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P8" s="24" t="inlineStr">
        <x:is>
          <x:t xml:space="preserve">Inventory/list-of-systems evidence is supporting evidence for encryption coverage, not a standalone named HIPAA inventory mandate. | Asset inventory is supporting evidence rather than an explicit standalone at-rest-encryption requirement. | OCR guidance treats a technology asset inventory as a valuable tool for accurate and thorough risk analysis. | Mapped as supporting evidence for risk analysis rather than as a standalone named HIPAA inventory control.</x:t>
        </x:is>
      </x:c>
    </x:row>
    <x:row r="9" ht="36" customHeight="1">
      <x:c r="A9" s="5" t="inlineStr">
        <x:is>
          <x:t xml:space="preserve">HITRUST e1.csv</x:t>
        </x:is>
      </x:c>
      <x:c r="B9" s="5" t="inlineStr">
        <x:is>
          <x:t xml:space="preserve">ER-83</x:t>
        </x:is>
      </x:c>
      <x:c r="C9" s="5" t="inlineStr">
        <x:is>
          <x:t xml:space="preserve">Configuration</x:t>
        </x:is>
      </x:c>
      <x:c r="D9" s="5" t="inlineStr">
        <x:is>
          <x:t xml:space="preserve">Network Diagram and Segmentation</x:t>
        </x:is>
      </x:c>
      <x:c r="E9" s="5" t="inlineStr">
        <x:is>
          <x:t xml:space="preserve">REQ-36-HIPAA</x:t>
        </x:is>
      </x:c>
      <x:c r="F9" s="12">
        <x:f>IF(E9="",0,LEN(E9)-LEN(SUBSTITUTE(E9,",",""))+1)</x:f>
        <x:v>1</x:v>
      </x:c>
      <x:c r="G9" s="5" t="inlineStr">
        <x:is>
          <x:t xml:space="preserve">0805.01m1Organizational.12, 0504.09m1Organizational.13</x:t>
        </x:is>
      </x:c>
      <x:c r="H9" s="12">
        <x:f>IF(G9="",0,LEN(G9)-LEN(SUBSTITUTE(G9,",",""))+1)</x:f>
        <x:v>2</x:v>
      </x:c>
      <x:c r="I9" s="13" t="str">
        <x:f>IF(AND(F9=1,H9=1),"1:1",IF(AND(F9=1,H9&gt;1),"1:Many",IF(AND(F9&gt;1,H9=1),"Many:1","Many:Many")))</x:f>
        <x:v>1:Many</x:v>
      </x:c>
      <x:c r="J9" s="5" t="str">
        <x:f>IF(I9="1:1","Direct 1:1 overlap at the action-item level.",IF(I9="1:Many","One HIPAA local control decomposes into multiple HITRUST e1 controls in this action item.",IF(I9="Many:1","Multiple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9" s="24" t="inlineStr">
        <x:is>
          <x:t xml:space="preserve">45 CFR § 164.312(a)(1)</x:t>
        </x:is>
      </x:c>
      <x:c r="L9" s="24" t="inlineStr">
        <x:is>
          <x:t xml:space="preserve">Access Control</x:t>
        </x:is>
      </x:c>
      <x:c r="M9" s="24" t="inlineStr">
        <x:is>
          <x:t xml:space="preserve">Best-fit</x:t>
        </x:is>
      </x:c>
      <x:c r="N9" s="24" t="inlineStr">
        <x:is>
          <x:t xml:space="preserve">HIPAA does not explicitly name network segmentation, but OCR guidance and enforcement materials cite segmentation as a way to implement access control between systems.</x:t>
        </x:is>
      </x:c>
      <x:c r="O9" s="24"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P9" s="24" t="inlineStr">
        <x:is>
          <x:t xml:space="preserve">Mapped as an access-control implementation example rather than a standalone named HIPAA implementation specification.</x:t>
        </x:is>
      </x:c>
    </x:row>
    <x:row r="10" ht="36" customHeight="1">
      <x:c r="A10" s="5" t="inlineStr">
        <x:is>
          <x:t xml:space="preserve">HITRUST e1.csv</x:t>
        </x:is>
      </x:c>
      <x:c r="B10" s="5" t="inlineStr">
        <x:is>
          <x:t xml:space="preserve">ER-67</x:t>
        </x:is>
      </x:c>
      <x:c r="C10" s="5" t="inlineStr">
        <x:is>
          <x:t xml:space="preserve">Configuration</x:t>
        </x:is>
      </x:c>
      <x:c r="D10" s="5" t="inlineStr">
        <x:is>
          <x:t xml:space="preserve">Password Vault and Shared Accounts</x:t>
        </x:is>
      </x:c>
      <x:c r="E10" s="5" t="inlineStr">
        <x:is>
          <x:t xml:space="preserve">REQ-28-HIPAA, REQ-31-HIPAA</x:t>
        </x:is>
      </x:c>
      <x:c r="F10" s="12">
        <x:f>IF(E10="",0,LEN(E10)-LEN(SUBSTITUTE(E10,",",""))+1)</x:f>
        <x:v>2</x:v>
      </x:c>
      <x:c r="G10" s="5" t="inlineStr">
        <x:is>
          <x:t xml:space="preserve">1123.01q1System.2</x:t>
        </x:is>
      </x:c>
      <x:c r="H10" s="12">
        <x:f>IF(G10="",0,LEN(G10)-LEN(SUBSTITUTE(G10,",",""))+1)</x:f>
        <x:v>1</x:v>
      </x:c>
      <x:c r="I10" s="15" t="str">
        <x:f>IF(AND(F10=1,H10=1),"1:1",IF(AND(F10=1,H10&gt;1),"1:Many",IF(AND(F10&gt;1,H10=1),"Many:1","Many:Many")))</x:f>
        <x:v>Many:1</x:v>
      </x:c>
      <x:c r="J10" s="5" t="str">
        <x:f>IF(I10="1:1","Direct 1:1 overlap at the action-item level.",IF(I10="1:Many","One HIPAA local control decomposes into multiple HITRUST e1 controls in this action item.",IF(I10="Many:1","Multiple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10" s="24" t="inlineStr">
        <x:is>
          <x:t xml:space="preserve">45 CFR § 164.312(a)(2)(i) | 45 CFR § 164.308(a)(4)(ii)(C) | 45 CFR § 164.308(a)(3)(ii)(C)</x:t>
        </x:is>
      </x:c>
      <x:c r="L10" s="24" t="inlineStr">
        <x:is>
          <x:t xml:space="preserve">Access Control — Unique User Identification | Information Access Management — Access Establishment and Modification | Workforce Security — Termination Procedures</x:t>
        </x:is>
      </x:c>
      <x:c r="M10" s="24" t="inlineStr">
        <x:is>
          <x:t xml:space="preserve">Composite</x:t>
        </x:is>
      </x:c>
      <x:c r="N10" s="24" t="inlineStr">
        <x:is>
          <x:t xml:space="preserve">Password-vault/shared-account and privileged-access evidence supports unique attribution of user activity and management of privileged rights. | Shared-account and privileged-access listings support timely removal of departing users and accountability for access tied to individuals.</x:t>
        </x:is>
      </x:c>
      <x:c r="O10" s="24"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https://www.hhs.gov/sites/default/files/ocr/privacy/hipaa/administrative/securityrule/adminsafeguards.pdf | https://www.hhs.gov/hipaa/for-professionals/security/guidance/cybersecurity-newsletter-summer-2019/index.html</x:t>
        </x:is>
      </x:c>
      <x:c r="P10" s="24" t="inlineStr">
        <x:is>
          <x:t xml:space="preserve">Shared or generic-account controls are best matched to unique user identification, with access-right administration as a secondary basis. | Best read as supporting evidence that terminated users are removed from shared/privileged access paths.</x:t>
        </x:is>
      </x:c>
    </x:row>
    <x:row r="11" ht="36" customHeight="1">
      <x:c r="A11" s="5" t="inlineStr">
        <x:is>
          <x:t xml:space="preserve">HITRUST e1.csv</x:t>
        </x:is>
      </x:c>
      <x:c r="B11" s="5" t="inlineStr">
        <x:is>
          <x:t xml:space="preserve">ER-25</x:t>
        </x:is>
      </x:c>
      <x:c r="C11" s="5" t="inlineStr">
        <x:is>
          <x:t xml:space="preserve">Configuration</x:t>
        </x:is>
      </x:c>
      <x:c r="D11" s="5" t="inlineStr">
        <x:is>
          <x:t xml:space="preserve">Passwords for All In-Scope Production Systems</x:t>
        </x:is>
      </x:c>
      <x:c r="E11" s="5" t="inlineStr">
        <x:is>
          <x:t xml:space="preserve">REQ-26-HIPAA</x:t>
        </x:is>
      </x:c>
      <x:c r="F11" s="12">
        <x:f>IF(E11="",0,LEN(E11)-LEN(SUBSTITUTE(E11,",",""))+1)</x:f>
        <x:v>1</x:v>
      </x:c>
      <x:c r="G11" s="5" t="inlineStr">
        <x:is>
          <x:t xml:space="preserve">10.01d1System.10</x:t>
        </x:is>
      </x:c>
      <x:c r="H11" s="12">
        <x:f>IF(G11="",0,LEN(G11)-LEN(SUBSTITUTE(G11,",",""))+1)</x:f>
        <x:v>1</x:v>
      </x:c>
      <x:c r="I11" s="16" t="str">
        <x:f>IF(AND(F11=1,H11=1),"1:1",IF(AND(F11=1,H11&gt;1),"1:Many",IF(AND(F11&gt;1,H11=1),"Many:1","Many:Many")))</x:f>
        <x:v>1:1</x:v>
      </x:c>
      <x:c r="J11" s="5" t="str">
        <x:f>IF(I11="1:1","Direct 1:1 overlap at the action-item level.",IF(I11="1:Many","One HIPAA local control decomposes into multiple HITRUST e1 controls in this action item.",IF(I11="Many:1","Multiple HIPAA local controls converge on one HITRUST e1 control in this action item.","Composite overlap: multiple HIPAA and HITRUST e1 controls are satisfied by the same action item.")))</x:f>
        <x:v>Direct 1:1 overlap at the action-item level.</x:v>
      </x:c>
      <x:c r="K11" s="24" t="inlineStr">
        <x:is>
          <x:t xml:space="preserve">45 CFR § 164.308(a)(5)(ii)(D) | 45 CFR § 164.312(a)(1)</x:t>
        </x:is>
      </x:c>
      <x:c r="L11" s="24" t="inlineStr">
        <x:is>
          <x:t xml:space="preserve">Security Awareness and Training — Password Management | Access Control</x:t>
        </x:is>
      </x:c>
      <x:c r="M11" s="24" t="inlineStr">
        <x:is>
          <x:t xml:space="preserve">Composite</x:t>
        </x:is>
      </x:c>
      <x:c r="N11" s="24" t="inlineStr">
        <x:is>
          <x:t xml:space="preserve">Password configuration evidence most directly aligns to password-management requirements and the broader access-control standard.</x:t>
        </x:is>
      </x:c>
      <x:c r="O11" s="24"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P11" s="24" t="inlineStr">
        <x:is>
          <x:t xml:space="preserve">This row is password-configuration evidence; MFA is not the primary evidence artifact here.</x:t>
        </x:is>
      </x:c>
    </x:row>
    <x:row r="12" ht="36" customHeight="1">
      <x:c r="A12" s="5" t="inlineStr">
        <x:is>
          <x:t xml:space="preserve">HIPAA Security.csv</x:t>
        </x:is>
      </x:c>
      <x:c r="B12" s="5" t="inlineStr">
        <x:is>
          <x:t xml:space="preserve">ER-271</x:t>
        </x:is>
      </x:c>
      <x:c r="C12" s="5" t="inlineStr">
        <x:is>
          <x:t xml:space="preserve">Operational</x:t>
        </x:is>
      </x:c>
      <x:c r="D12" s="5" t="inlineStr">
        <x:is>
          <x:t xml:space="preserve">Asset Custody Log</x:t>
        </x:is>
      </x:c>
      <x:c r="E12" s="5" t="inlineStr">
        <x:is>
          <x:t xml:space="preserve">REQ-109-HIPAA</x:t>
        </x:is>
      </x:c>
      <x:c r="F12" s="12">
        <x:f>IF(E12="",0,LEN(E12)-LEN(SUBSTITUTE(E12,",",""))+1)</x:f>
        <x:v>1</x:v>
      </x:c>
      <x:c r="G12" s="5" t="inlineStr">
        <x:is>
          <x:t xml:space="preserve">0704.07a1Organizational.8, 0701.07a1Organizational.8</x:t>
        </x:is>
      </x:c>
      <x:c r="H12" s="12">
        <x:f>IF(G12="",0,LEN(G12)-LEN(SUBSTITUTE(G12,",",""))+1)</x:f>
        <x:v>2</x:v>
      </x:c>
      <x:c r="I12" s="13" t="str">
        <x:f>IF(AND(F12=1,H12=1),"1:1",IF(AND(F12=1,H12&gt;1),"1:Many",IF(AND(F12&gt;1,H12=1),"Many:1","Many:Many")))</x:f>
        <x:v>1:Many</x:v>
      </x:c>
      <x:c r="J12" s="5" t="str">
        <x:f>IF(I12="1:1","Direct 1:1 overlap at the action-item level.",IF(I12="1:Many","One HIPAA local control decomposes into multiple HITRUST e1 controls in this action item.",IF(I12="Many:1","Multiple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12" s="24" t="inlineStr">
        <x:is>
          <x:t xml:space="preserve">45 CFR § 164.310(d)(2)(iii)</x:t>
        </x:is>
      </x:c>
      <x:c r="L12" s="24" t="inlineStr">
        <x:is>
          <x:t xml:space="preserve">Device and Media Controls — Accountability</x:t>
        </x:is>
      </x:c>
      <x:c r="M12" s="24" t="inlineStr">
        <x:is>
          <x:t xml:space="preserve">Direct</x:t>
        </x:is>
      </x:c>
      <x:c r="N12" s="24" t="inlineStr">
        <x:is>
          <x:t xml:space="preserve">Asset custody logs align directly to maintaining a record of the movements of hardware/electronic media and the person responsible.</x:t>
        </x:is>
      </x:c>
      <x:c r="O12" s="24"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P12" s="24" t="inlineStr">
        <x:is>
          <x:t xml:space="preserve">Used for custody/chain-of-responsibility evidence.</x:t>
        </x:is>
      </x:c>
    </x:row>
    <x:row r="13" ht="36" customHeight="1">
      <x:c r="A13" s="5" t="inlineStr">
        <x:is>
          <x:t xml:space="preserve">HITRUST e1.csv</x:t>
        </x:is>
      </x:c>
      <x:c r="B13" s="5" t="inlineStr">
        <x:is>
          <x:t xml:space="preserve">ER-123</x:t>
        </x:is>
      </x:c>
      <x:c r="C13" s="5" t="inlineStr">
        <x:is>
          <x:t xml:space="preserve">Operational</x:t>
        </x:is>
      </x:c>
      <x:c r="D13" s="5" t="inlineStr">
        <x:is>
          <x:t xml:space="preserve">Completed Production Data Backup Test</x:t>
        </x:is>
      </x:c>
      <x:c r="E13" s="5" t="inlineStr">
        <x:is>
          <x:t xml:space="preserve">REQ-61-HIPAA</x:t>
        </x:is>
      </x:c>
      <x:c r="F13" s="12">
        <x:f>IF(E13="",0,LEN(E13)-LEN(SUBSTITUTE(E13,",",""))+1)</x:f>
        <x:v>1</x:v>
      </x:c>
      <x:c r="G13" s="5" t="inlineStr">
        <x:is>
          <x:t xml:space="preserve">1616.09l1Organizational.16</x:t>
        </x:is>
      </x:c>
      <x:c r="H13" s="12">
        <x:f>IF(G13="",0,LEN(G13)-LEN(SUBSTITUTE(G13,",",""))+1)</x:f>
        <x:v>1</x:v>
      </x:c>
      <x:c r="I13" s="16" t="str">
        <x:f>IF(AND(F13=1,H13=1),"1:1",IF(AND(F13=1,H13&gt;1),"1:Many",IF(AND(F13&gt;1,H13=1),"Many:1","Many:Many")))</x:f>
        <x:v>1:1</x:v>
      </x:c>
      <x:c r="J13" s="5" t="str">
        <x:f>IF(I13="1:1","Direct 1:1 overlap at the action-item level.",IF(I13="1:Many","One HIPAA local control decomposes into multiple HITRUST e1 controls in this action item.",IF(I13="Many:1","Multiple HIPAA local controls converge on one HITRUST e1 control in this action item.","Composite overlap: multiple HIPAA and HITRUST e1 controls are satisfied by the same action item.")))</x:f>
        <x:v>Direct 1:1 overlap at the action-item level.</x:v>
      </x:c>
      <x:c r="K13" s="24" t="inlineStr">
        <x:is>
          <x:t xml:space="preserve">45 CFR § 164.308(a)(7)(ii)(D)</x:t>
        </x:is>
      </x:c>
      <x:c r="L13" s="24" t="inlineStr">
        <x:is>
          <x:t xml:space="preserve">Contingency Plan — Testing and Revision Procedure</x:t>
        </x:is>
      </x:c>
      <x:c r="M13" s="24" t="inlineStr">
        <x:is>
          <x:t xml:space="preserve">Direct</x:t>
        </x:is>
      </x:c>
      <x:c r="N13" s="24" t="inlineStr">
        <x:is>
          <x:t xml:space="preserve">A completed backup test aligns directly to periodic testing/revision of contingency plans.</x:t>
        </x:is>
      </x:c>
      <x:c r="O13"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P13" s="24" t="inlineStr">
        <x:is>
          <x:t xml:space="preserve">Used for explicit backup-test evidence.</x:t>
        </x:is>
      </x:c>
    </x:row>
    <x:row r="14" ht="36" customHeight="1">
      <x:c r="A14" s="5" t="inlineStr">
        <x:is>
          <x:t xml:space="preserve">HITRUST e1.csv</x:t>
        </x:is>
      </x:c>
      <x:c r="B14" s="5" t="inlineStr">
        <x:is>
          <x:t xml:space="preserve">ER-56</x:t>
        </x:is>
      </x:c>
      <x:c r="C14" s="5" t="inlineStr">
        <x:is>
          <x:t xml:space="preserve">Operational</x:t>
        </x:is>
      </x:c>
      <x:c r="D14" s="5" t="inlineStr">
        <x:is>
          <x:t xml:space="preserve">Information Security Policy Repository</x:t>
        </x:is>
      </x:c>
      <x:c r="E14" s="5" t="inlineStr">
        <x:is>
          <x:t xml:space="preserve">REQ-1-HIPAA, REQ-12-HIPAA, REQ-13-HIPAA</x:t>
        </x:is>
      </x:c>
      <x:c r="F14" s="12">
        <x:f>IF(E14="",0,LEN(E14)-LEN(SUBSTITUTE(E14,",",""))+1)</x:f>
        <x:v>3</x:v>
      </x:c>
      <x:c r="G14" s="5" t="inlineStr">
        <x:is>
          <x:t xml:space="preserve">0113.04a1Organizational.2</x:t>
        </x:is>
      </x:c>
      <x:c r="H14" s="12">
        <x:f>IF(G14="",0,LEN(G14)-LEN(SUBSTITUTE(G14,",",""))+1)</x:f>
        <x:v>1</x:v>
      </x:c>
      <x:c r="I14" s="15" t="str">
        <x:f>IF(AND(F14=1,H14=1),"1:1",IF(AND(F14=1,H14&gt;1),"1:Many",IF(AND(F14&gt;1,H14=1),"Many:1","Many:Many")))</x:f>
        <x:v>Many:1</x:v>
      </x:c>
      <x:c r="J14" s="5" t="str">
        <x:f>IF(I14="1:1","Direct 1:1 overlap at the action-item level.",IF(I14="1:Many","One HIPAA local control decomposes into multiple HITRUST e1 controls in this action item.",IF(I14="Many:1","Multiple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14" s="24" t="inlineStr">
        <x:is>
          <x:t xml:space="preserve">45 CFR § 164.316(a) | 45 CFR § 164.316(b)(1) | 45 CFR § 164.308(a)(5)</x:t>
        </x:is>
      </x:c>
      <x:c r="L14" s="24" t="inlineStr">
        <x:is>
          <x:t xml:space="preserve">Policies and Procedures | Documentation | Security Awareness and Training</x:t>
        </x:is>
      </x:c>
      <x:c r="M14" s="24" t="inlineStr">
        <x:is>
          <x:t xml:space="preserve">Best-fit (broad policy control) | Direct</x:t>
        </x:is>
      </x:c>
      <x:c r="N14" s="24" t="inlineStr">
        <x:is>
          <x:t xml:space="preserve">Internal control/action item is a general information-security policy repository rather than a single named HIPAA implementation specification; mapped to the Security Rule's policies/procedures and documentation requirements. | Action item and control context align to workforce security-awareness training for new hires. | Action item and control context align to ongoing/current-employee security-awareness training.</x:t>
        </x:is>
      </x:c>
      <x:c r="O14" s="24" t="inlineStr">
        <x:is>
          <x:t xml:space="preserve">https://www.ecfr.gov/current/title-45/subtitle-A/subchapter-C/part-164/section-164.316 | https://www.hhs.gov/sites/default/files/ocr/privacy/hipaa/administrative/securityrule/pprequirements.pdf | https://www.hhs.gov/ocr/privacy/hipaa/administrative/securityrule/index.html | https://www.ecfr.gov/current/title-45/subtitle-A/subchapter-C/part-164/section-164.308 | https://www.hhs.gov/sites/default/files/ocr/privacy/hipaa/administrative/combined/hipaa-simplification-201303.pdf | https://www.hhs.gov/sites/default/files/ocr/privacy/hipaa/administrative/securityrule/adminsafeguards.pdf</x:t>
        </x:is>
      </x:c>
      <x:c r="P14" s="24" t="inlineStr">
        <x:is>
          <x:t xml:space="preserve">Used as the umbrella HIPAA citation for documented security policies. This is broader than any single safeguard requirement. | Mapped at the standard level because the spreadsheet does not break new-hire training into the more granular addressable sub-specifications. | Mapped at the standard level because the spreadsheet expresses periodic training broadly, not only reminders or phishing-specific sub-controls.</x:t>
        </x:is>
      </x:c>
    </x:row>
    <x:row r="15" ht="36" customHeight="1">
      <x:c r="A15" s="5" t="inlineStr">
        <x:is>
          <x:t xml:space="preserve">HITRUST e1.csv</x:t>
        </x:is>
      </x:c>
      <x:c r="B15" s="5" t="inlineStr">
        <x:is>
          <x:t xml:space="preserve">ER-105</x:t>
        </x:is>
      </x:c>
      <x:c r="C15" s="5" t="inlineStr">
        <x:is>
          <x:t xml:space="preserve">Operational</x:t>
        </x:is>
      </x:c>
      <x:c r="D15" s="5" t="inlineStr">
        <x:is>
          <x:t xml:space="preserve">Risk Assessment</x:t>
        </x:is>
      </x:c>
      <x:c r="E15" s="5" t="inlineStr">
        <x:is>
          <x:t xml:space="preserve">REQ-17-HIPAA, REQ-20-HIPAA, REQ-110-HIPAA</x:t>
        </x:is>
      </x:c>
      <x:c r="F15" s="12">
        <x:f>IF(E15="",0,LEN(E15)-LEN(SUBSTITUTE(E15,",",""))+1)</x:f>
        <x:v>3</x:v>
      </x:c>
      <x:c r="G15" s="5" t="inlineStr">
        <x:is>
          <x:t xml:space="preserve">1704.03b1Organizational.12</x:t>
        </x:is>
      </x:c>
      <x:c r="H15" s="12">
        <x:f>IF(G15="",0,LEN(G15)-LEN(SUBSTITUTE(G15,",",""))+1)</x:f>
        <x:v>1</x:v>
      </x:c>
      <x:c r="I15" s="15" t="str">
        <x:f>IF(AND(F15=1,H15=1),"1:1",IF(AND(F15=1,H15&gt;1),"1:Many",IF(AND(F15&gt;1,H15=1),"Many:1","Many:Many")))</x:f>
        <x:v>Many:1</x:v>
      </x:c>
      <x:c r="J15" s="5" t="str">
        <x:f>IF(I15="1:1","Direct 1:1 overlap at the action-item level.",IF(I15="1:Many","One HIPAA local control decomposes into multiple HITRUST e1 controls in this action item.",IF(I15="Many:1","Multiple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15" s="24" t="inlineStr">
        <x:is>
          <x:t xml:space="preserve">45 CFR § 164.308(a)(1)(ii)(A) | 45 CFR § 164.308(a)(1)(ii)(B)</x:t>
        </x:is>
      </x:c>
      <x:c r="L15" s="24" t="inlineStr">
        <x:is>
          <x:t xml:space="preserve">Security Management Process — Risk Analysis | Security Management Process — Risk Management</x:t>
        </x:is>
      </x:c>
      <x:c r="M15" s="24" t="inlineStr">
        <x:is>
          <x:t xml:space="preserve">Direct | Best-fit</x:t>
        </x:is>
      </x:c>
      <x:c r="N15" s="24" t="inlineStr">
        <x:is>
          <x:t xml:space="preserve">Control context aligns to identifying risks and vulnerabilities to ePHI. | Control context aligns to reducing identified risks and vulnerabilities to a reasonable and appropriate level. | The source spreadsheet only exposes an internal control ID on the Risk Assessment action item, so the closest authoritative HIPAA citation is Risk Analysis.</x:t>
        </x:is>
      </x:c>
      <x:c r="O15"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P15" s="24" t="inlineStr">
        <x:is>
          <x:t xml:space="preserve">Risk analysis is the most direct HIPAA citation for assessment-oriented rows. | Used for policy and operational rows focused on treatment/mitigation of identified risks. | Matched by action-item semantics because the internal control itself is not labeled with an official HIPAA section.</x:t>
        </x:is>
      </x:c>
    </x:row>
    <x:row r="16" ht="36" customHeight="1">
      <x:c r="A16" s="5" t="inlineStr">
        <x:is>
          <x:t xml:space="preserve">HITRUST e1.csv</x:t>
        </x:is>
      </x:c>
      <x:c r="B16" s="5" t="inlineStr">
        <x:is>
          <x:t xml:space="preserve">ER-86</x:t>
        </x:is>
      </x:c>
      <x:c r="C16" s="5" t="inlineStr">
        <x:is>
          <x:t xml:space="preserve">Policy</x:t>
        </x:is>
      </x:c>
      <x:c r="D16" s="5" t="inlineStr">
        <x:is>
          <x:t xml:space="preserve">Access Control</x:t>
        </x:is>
      </x:c>
      <x:c r="E16" s="5" t="inlineStr">
        <x:is>
          <x:t xml:space="preserve">REQ-29-HIPAA, REQ-24-HIPAA, REQ-30-HIPAA, REQ-31-HIPAA</x:t>
        </x:is>
      </x:c>
      <x:c r="F16" s="12">
        <x:f>IF(E16="",0,LEN(E16)-LEN(SUBSTITUTE(E16,",",""))+1)</x:f>
        <x:v>4</x:v>
      </x:c>
      <x:c r="G16" s="5" t="inlineStr">
        <x:is>
          <x:t xml:space="preserve">11.01e1System.2</x:t>
        </x:is>
      </x:c>
      <x:c r="H16" s="12">
        <x:f>IF(G16="",0,LEN(G16)-LEN(SUBSTITUTE(G16,",",""))+1)</x:f>
        <x:v>1</x:v>
      </x:c>
      <x:c r="I16" s="15" t="str">
        <x:f>IF(AND(F16=1,H16=1),"1:1",IF(AND(F16=1,H16&gt;1),"1:Many",IF(AND(F16&gt;1,H16=1),"Many:1","Many:Many")))</x:f>
        <x:v>Many:1</x:v>
      </x:c>
      <x:c r="J16" s="5" t="str">
        <x:f>IF(I16="1:1","Direct 1:1 overlap at the action-item level.",IF(I16="1:Many","One HIPAA local control decomposes into multiple HITRUST e1 controls in this action item.",IF(I16="Many:1","Multiple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16" s="24" t="inlineStr">
        <x:is>
          <x:t xml:space="preserve">45 CFR § 164.308(a)(4)(ii)(C) | 45 CFR § 164.312(a)(1) | 45 CFR § 164.308(a)(4)(i) | 45 CFR § 164.308(a)(4)(ii)(B) | 45 CFR § 164.308(a)(3)(ii)(C)</x:t>
        </x:is>
      </x:c>
      <x:c r="L16" s="24" t="inlineStr">
        <x:is>
          <x:t xml:space="preserve">Information Access Management — Access Establishment and Modification | Access Control | Information Access Management | Information Access Management — Access Authorization | Workforce Security — Termination Procedures</x:t>
        </x:is>
      </x:c>
      <x:c r="M16" s="24" t="inlineStr">
        <x:is>
          <x:t xml:space="preserve">Direct | Composite</x:t>
        </x:is>
      </x:c>
      <x:c r="N16" s="24" t="inlineStr">
        <x:is>
          <x:t xml:space="preserve">Access-review documentation aligns directly to the requirement to establish, document, review, and modify user rights of access. | Broad access-control policy control spans both the technical access-control standard and the administrative information-access-management standard. | New-hire access request and approval evidence aligns directly to access authorization. | The same internal control appears within a general access-control policy row; termination remains the most likely HIPAA basis, with access-right modification as supporting context.</x:t>
        </x:is>
      </x:c>
      <x:c r="O16"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 | https://www.ecfr.gov/current/title-45/subtitle-A/subchapter-C/part-164/section-164.312 | https://www.hhs.gov/sites/default/files/ocr/privacy/hipaa/administrative/combined/hipaa-simplification-201303.pdf | https://www.hhs.gov/hipaa/for-professionals/security/guidance/cybersecurity-newsletter-summer-2019/index.html</x:t>
        </x:is>
      </x:c>
      <x:c r="P16" s="24" t="inlineStr">
        <x:is>
          <x:t xml:space="preserve">Used for both access-review evidence and broader policy statements that emphasize periodic review/modification. | Used when the spreadsheet row is a general access-control policy without a narrower authorization/review/termination artifact. | Used for access-request forms/templates and access-control rows that center on approvals. | Mapped conservatively because the internal control ID spans both termination evidence and access-control policy language.</x:t>
        </x:is>
      </x:c>
    </x:row>
    <x:row r="17" ht="36" customHeight="1">
      <x:c r="A17" s="5" t="inlineStr">
        <x:is>
          <x:t xml:space="preserve">HITRUST e1.csv</x:t>
        </x:is>
      </x:c>
      <x:c r="B17" s="5" t="inlineStr">
        <x:is>
          <x:t xml:space="preserve">ER-115</x:t>
        </x:is>
      </x:c>
      <x:c r="C17" s="5" t="inlineStr">
        <x:is>
          <x:t xml:space="preserve">Policy</x:t>
        </x:is>
      </x:c>
      <x:c r="D17" s="5" t="inlineStr">
        <x:is>
          <x:t xml:space="preserve">Backups</x:t>
        </x:is>
      </x:c>
      <x:c r="E17" s="5" t="inlineStr">
        <x:is>
          <x:t xml:space="preserve">REQ-61-HIPAA, REQ-60-HIPAA</x:t>
        </x:is>
      </x:c>
      <x:c r="F17" s="12">
        <x:f>IF(E17="",0,LEN(E17)-LEN(SUBSTITUTE(E17,",",""))+1)</x:f>
        <x:v>2</x:v>
      </x:c>
      <x:c r="G17" s="5" t="inlineStr">
        <x:is>
          <x:t xml:space="preserve">1616.09l1Organizational.16</x:t>
        </x:is>
      </x:c>
      <x:c r="H17" s="12">
        <x:f>IF(G17="",0,LEN(G17)-LEN(SUBSTITUTE(G17,",",""))+1)</x:f>
        <x:v>1</x:v>
      </x:c>
      <x:c r="I17" s="15" t="str">
        <x:f>IF(AND(F17=1,H17=1),"1:1",IF(AND(F17=1,H17&gt;1),"1:Many",IF(AND(F17&gt;1,H17=1),"Many:1","Many:Many")))</x:f>
        <x:v>Many:1</x:v>
      </x:c>
      <x:c r="J17" s="5" t="str">
        <x:f>IF(I17="1:1","Direct 1:1 overlap at the action-item level.",IF(I17="1:Many","One HIPAA local control decomposes into multiple HITRUST e1 controls in this action item.",IF(I17="Many:1","Multiple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17" s="24" t="inlineStr">
        <x:is>
          <x:t xml:space="preserve">45 CFR § 164.308(a)(7)(ii)(A) | 45 CFR § 164.308(a)(7)(ii)(D)</x:t>
        </x:is>
      </x:c>
      <x:c r="L17" s="24" t="inlineStr">
        <x:is>
          <x:t xml:space="preserve">Contingency Plan — Data Backup Plan | Contingency Plan — Testing and Revision Procedure</x:t>
        </x:is>
      </x:c>
      <x:c r="M17" s="24" t="inlineStr">
        <x:is>
          <x:t xml:space="preserve">Composite | Direct</x:t>
        </x:is>
      </x:c>
      <x:c r="N17" s="24" t="inlineStr">
        <x:is>
          <x:t xml:space="preserve">This internal control appears on general backup-policy rows and explicit backup-test rows, so both backup-plan and test/revision citations are included. | Backup policy aligns directly to creation and maintenance of retrievable exact copies of ePHI.</x:t>
        </x:is>
      </x:c>
      <x:c r="O17"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 | https://www.hhs.gov/sites/default/files/ocr/privacy/hipaa/administrative/combined/hipaa-simplification-201303.pdf</x:t>
        </x:is>
      </x:c>
      <x:c r="P17" s="24" t="inlineStr">
        <x:is>
          <x:t xml:space="preserve">Broader than a single implementation specification because the source spreadsheet uses the same control across planning and testing evidence. | Used for backup-policy rows.</x:t>
        </x:is>
      </x:c>
    </x:row>
    <x:row r="18" ht="36" customHeight="1">
      <x:c r="A18" s="5" t="inlineStr">
        <x:is>
          <x:t xml:space="preserve">HITRUST e1.csv</x:t>
        </x:is>
      </x:c>
      <x:c r="B18" s="5" t="inlineStr">
        <x:is>
          <x:t xml:space="preserve">ER-61</x:t>
        </x:is>
      </x:c>
      <x:c r="C18" s="5" t="inlineStr">
        <x:is>
          <x:t xml:space="preserve">Policy</x:t>
        </x:is>
      </x:c>
      <x:c r="D18" s="5" t="inlineStr">
        <x:is>
          <x:t xml:space="preserve">Change Management</x:t>
        </x:is>
      </x:c>
      <x:c r="E18" s="5" t="inlineStr">
        <x:is>
          <x:t xml:space="preserve">REQ-53-HIPAA</x:t>
        </x:is>
      </x:c>
      <x:c r="F18" s="12">
        <x:f>IF(E18="",0,LEN(E18)-LEN(SUBSTITUTE(E18,",",""))+1)</x:f>
        <x:v>1</x:v>
      </x:c>
      <x:c r="G18" s="5" t="inlineStr">
        <x:is>
          <x:t xml:space="preserve">06.09b1System.2, 1769.09i1System.12</x:t>
        </x:is>
      </x:c>
      <x:c r="H18" s="12">
        <x:f>IF(G18="",0,LEN(G18)-LEN(SUBSTITUTE(G18,",",""))+1)</x:f>
        <x:v>2</x:v>
      </x:c>
      <x:c r="I18" s="13" t="str">
        <x:f>IF(AND(F18=1,H18=1),"1:1",IF(AND(F18=1,H18&gt;1),"1:Many",IF(AND(F18&gt;1,H18=1),"Many:1","Many:Many")))</x:f>
        <x:v>1:Many</x:v>
      </x:c>
      <x:c r="J18" s="5" t="str">
        <x:f>IF(I18="1:1","Direct 1:1 overlap at the action-item level.",IF(I18="1:Many","One HIPAA local control decomposes into multiple HITRUST e1 controls in this action item.",IF(I18="Many:1","Multiple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18" s="24" t="inlineStr">
        <x:is>
          <x:t xml:space="preserve">45 CFR § 164.308(a)(8) | 45 CFR § 164.306(e) | 45 CFR § 164.316(b)(2)(iii)</x:t>
        </x:is>
      </x:c>
      <x:c r="L18" s="24" t="inlineStr">
        <x:is>
          <x:t xml:space="preserve">Evaluation | Maintenance | Documentation — Updates</x:t>
        </x:is>
      </x:c>
      <x:c r="M18" s="24" t="inlineStr">
        <x:is>
          <x:t xml:space="preserve">Best-fit composite</x:t>
        </x:is>
      </x:c>
      <x:c r="N18" s="24" t="inlineStr">
        <x:is>
          <x:t xml:space="preserve">HIPAA does not expressly name change management, but OCR guidance links environmental/operational changes to ongoing evaluation, maintenance, and updating of security documentation.</x:t>
        </x:is>
      </x:c>
      <x:c r="O18" s="24"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P18" s="24" t="inlineStr">
        <x:is>
          <x:t xml:space="preserve">Used for the change-management policy row as the closest HIPAA analogue.</x:t>
        </x:is>
      </x:c>
    </x:row>
    <x:row r="19" ht="36" customHeight="1">
      <x:c r="A19" s="5" t="inlineStr">
        <x:is>
          <x:t xml:space="preserve">HITRUST e1.csv</x:t>
        </x:is>
      </x:c>
      <x:c r="B19" s="5" t="inlineStr">
        <x:is>
          <x:t xml:space="preserve">ER-108</x:t>
        </x:is>
      </x:c>
      <x:c r="C19" s="5" t="inlineStr">
        <x:is>
          <x:t xml:space="preserve">Policy</x:t>
        </x:is>
      </x:c>
      <x:c r="D19" s="5" t="inlineStr">
        <x:is>
          <x:t xml:space="preserve">Data Classification, Retention and Disposal</x:t>
        </x:is>
      </x:c>
      <x:c r="E19" s="5" t="inlineStr">
        <x:is>
          <x:t xml:space="preserve">REQ-32-HIPAA, REQ-67-HIPAA, REQ-66-HIPAA</x:t>
        </x:is>
      </x:c>
      <x:c r="F19" s="12">
        <x:f>IF(E19="",0,LEN(E19)-LEN(SUBSTITUTE(E19,",",""))+1)</x:f>
        <x:v>3</x:v>
      </x:c>
      <x:c r="G19" s="5" t="inlineStr">
        <x:is>
          <x:t xml:space="preserve">1239.09aa1System.4, 1616.09l1Organizational.16, 1767.07d1Organizational.2, 0305.09q1Organizational.12, 19142.06c1Organizational.8</x:t>
        </x:is>
      </x:c>
      <x:c r="H19" s="12">
        <x:f>IF(G19="",0,LEN(G19)-LEN(SUBSTITUTE(G19,",",""))+1)</x:f>
        <x:v>5</x:v>
      </x:c>
      <x:c r="I19" s="14" t="str">
        <x:f>IF(AND(F19=1,H19=1),"1:1",IF(AND(F19=1,H19&gt;1),"1:Many",IF(AND(F19&gt;1,H19=1),"Many:1","Many:Many")))</x:f>
        <x:v>Many:Many</x:v>
      </x:c>
      <x:c r="J19" s="5" t="str">
        <x:f>IF(I19="1:1","Direct 1:1 overlap at the action-item level.",IF(I19="1:Many","One HIPAA local control decomposes into multiple HITRUST e1 controls in this action item.",IF(I19="Many:1","Multiple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19" s="24" t="inlineStr">
        <x:is>
          <x:t xml:space="preserve">45 CFR § 164.310(d)(2)(i) | 45 CFR § 164.310(d)(2)(ii)</x:t>
        </x:is>
      </x:c>
      <x:c r="L19" s="24" t="inlineStr">
        <x:is>
          <x:t xml:space="preserve">Device and Media Controls — Disposal | Device and Media Controls — Media Re-use</x:t>
        </x:is>
      </x:c>
      <x:c r="M19" s="24" t="inlineStr">
        <x:is>
          <x:t xml:space="preserve">Best-fit</x:t>
        </x:is>
      </x:c>
      <x:c r="N19" s="24" t="inlineStr">
        <x:is>
          <x:t xml:space="preserve">The direct HIPAA overlap in this action item is final disposition/disposal; HIPAA does not explicitly name data classification or retention as standalone Security Rule specifications. | In this overlap set, the control appears through a data-retention/disposal action item, so disposal is the closest direct HIPAA citation. | Within the data-retention/disposal action item, this internal control is best matched to sanitization/reuse of media; HIPAA does not separately name classification or retention.</x:t>
        </x:is>
      </x:c>
      <x:c r="O19"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P19" s="24" t="inlineStr">
        <x:is>
          <x:t xml:space="preserve">Only the disposal portion of the action item maps directly to an express HIPAA implementation specification. | This same internal control also appears on customer-contract rows elsewhere in the uploaded spreadsheets, but that contractual context is not the shared action item here. | Only the media-reuse/sanitization aspect maps directly to an express HIPAA specification.</x:t>
        </x:is>
      </x:c>
    </x:row>
    <x:row r="20" ht="36" customHeight="1">
      <x:c r="A20" s="5" t="inlineStr">
        <x:is>
          <x:t xml:space="preserve">HITRUST e1.csv</x:t>
        </x:is>
      </x:c>
      <x:c r="B20" s="5" t="inlineStr">
        <x:is>
          <x:t xml:space="preserve">ER-55</x:t>
        </x:is>
      </x:c>
      <x:c r="C20" s="5" t="inlineStr">
        <x:is>
          <x:t xml:space="preserve">Policy</x:t>
        </x:is>
      </x:c>
      <x:c r="D20" s="5" t="inlineStr">
        <x:is>
          <x:t xml:space="preserve">Incident Response</x:t>
        </x:is>
      </x:c>
      <x:c r="E20" s="5" t="inlineStr">
        <x:is>
          <x:t xml:space="preserve">REQ-48-HIPAA, REQ-49-HIPAA</x:t>
        </x:is>
      </x:c>
      <x:c r="F20" s="12">
        <x:f>IF(E20="",0,LEN(E20)-LEN(SUBSTITUTE(E20,",",""))+1)</x:f>
        <x:v>2</x:v>
      </x:c>
      <x:c r="G20" s="5" t="inlineStr">
        <x:is>
          <x:t xml:space="preserve">1561.11c1Organizational.4, 1589.11c1Organizational.5</x:t>
        </x:is>
      </x:c>
      <x:c r="H20" s="12">
        <x:f>IF(G20="",0,LEN(G20)-LEN(SUBSTITUTE(G20,",",""))+1)</x:f>
        <x:v>2</x:v>
      </x:c>
      <x:c r="I20" s="14" t="str">
        <x:f>IF(AND(F20=1,H20=1),"1:1",IF(AND(F20=1,H20&gt;1),"1:Many",IF(AND(F20&gt;1,H20=1),"Many:1","Many:Many")))</x:f>
        <x:v>Many:Many</x:v>
      </x:c>
      <x:c r="J20" s="5" t="str">
        <x:f>IF(I20="1:1","Direct 1:1 overlap at the action-item level.",IF(I20="1:Many","One HIPAA local control decomposes into multiple HITRUST e1 controls in this action item.",IF(I20="Many:1","Multiple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20" s="24" t="inlineStr">
        <x:is>
          <x:t xml:space="preserve">45 CFR § 164.308(a)(6)(i) | 45 CFR § 164.308(a)(6)(ii)</x:t>
        </x:is>
      </x:c>
      <x:c r="L20" s="24" t="inlineStr">
        <x:is>
          <x:t xml:space="preserve">Security Incident Procedures | Security Incident Procedures — Response and Reporting</x:t>
        </x:is>
      </x:c>
      <x:c r="M20" s="24" t="inlineStr">
        <x:is>
          <x:t xml:space="preserve">Direct</x:t>
        </x:is>
      </x:c>
      <x:c r="N20" s="24" t="inlineStr">
        <x:is>
          <x:t xml:space="preserve">Incident-response policy aligns directly to the Security Incident Procedures standard. | This internal control best aligns to the response/reporting implementation specification under incident procedures.</x:t>
        </x:is>
      </x:c>
      <x:c r="O20"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P20" s="24" t="inlineStr">
        <x:is>
          <x:t xml:space="preserve">Used for policy-level incident-response rows. | Used where the spreadsheet distinguishes the response/reporting component of incident handling.</x:t>
        </x:is>
      </x:c>
    </x:row>
    <x:row r="21" ht="36" customHeight="1">
      <x:c r="A21" s="5" t="inlineStr">
        <x:is>
          <x:t xml:space="preserve">HITRUST e1.csv</x:t>
        </x:is>
      </x:c>
      <x:c r="B21" s="5" t="inlineStr">
        <x:is>
          <x:t xml:space="preserve">ER-57</x:t>
        </x:is>
      </x:c>
      <x:c r="C21" s="5" t="inlineStr">
        <x:is>
          <x:t xml:space="preserve">Policy</x:t>
        </x:is>
      </x:c>
      <x:c r="D21" s="5" t="inlineStr">
        <x:is>
          <x:t xml:space="preserve">Information Security</x:t>
        </x:is>
      </x:c>
      <x:c r="E21" s="5" t="inlineStr">
        <x:is>
          <x:t xml:space="preserve">REQ-1-HIPAA, REQ-12-HIPAA, REQ-13-HIPAA</x:t>
        </x:is>
      </x:c>
      <x:c r="F21" s="12">
        <x:f>IF(E21="",0,LEN(E21)-LEN(SUBSTITUTE(E21,",",""))+1)</x:f>
        <x:v>3</x:v>
      </x:c>
      <x:c r="G21" s="5" t="inlineStr">
        <x:is>
          <x:t xml:space="preserve">0113.04a1Organizational.2</x:t>
        </x:is>
      </x:c>
      <x:c r="H21" s="12">
        <x:f>IF(G21="",0,LEN(G21)-LEN(SUBSTITUTE(G21,",",""))+1)</x:f>
        <x:v>1</x:v>
      </x:c>
      <x:c r="I21" s="15" t="str">
        <x:f>IF(AND(F21=1,H21=1),"1:1",IF(AND(F21=1,H21&gt;1),"1:Many",IF(AND(F21&gt;1,H21=1),"Many:1","Many:Many")))</x:f>
        <x:v>Many:1</x:v>
      </x:c>
      <x:c r="J21" s="5" t="str">
        <x:f>IF(I21="1:1","Direct 1:1 overlap at the action-item level.",IF(I21="1:Many","One HIPAA local control decomposes into multiple HITRUST e1 controls in this action item.",IF(I21="Many:1","Multiple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21" s="24" t="inlineStr">
        <x:is>
          <x:t xml:space="preserve">45 CFR § 164.316(a) | 45 CFR § 164.316(b)(1) | 45 CFR § 164.308(a)(5)</x:t>
        </x:is>
      </x:c>
      <x:c r="L21" s="24" t="inlineStr">
        <x:is>
          <x:t xml:space="preserve">Policies and Procedures | Documentation | Security Awareness and Training</x:t>
        </x:is>
      </x:c>
      <x:c r="M21" s="24" t="inlineStr">
        <x:is>
          <x:t xml:space="preserve">Best-fit (broad policy control) | Direct</x:t>
        </x:is>
      </x:c>
      <x:c r="N21" s="24" t="inlineStr">
        <x:is>
          <x:t xml:space="preserve">Internal control/action item is a general information-security policy repository rather than a single named HIPAA implementation specification; mapped to the Security Rule's policies/procedures and documentation requirements. | Action item and control context align to workforce security-awareness training for new hires. | Action item and control context align to ongoing/current-employee security-awareness training.</x:t>
        </x:is>
      </x:c>
      <x:c r="O21" s="24" t="inlineStr">
        <x:is>
          <x:t xml:space="preserve">https://www.ecfr.gov/current/title-45/subtitle-A/subchapter-C/part-164/section-164.316 | https://www.hhs.gov/sites/default/files/ocr/privacy/hipaa/administrative/securityrule/pprequirements.pdf | https://www.hhs.gov/ocr/privacy/hipaa/administrative/securityrule/index.html | https://www.ecfr.gov/current/title-45/subtitle-A/subchapter-C/part-164/section-164.308 | https://www.hhs.gov/sites/default/files/ocr/privacy/hipaa/administrative/combined/hipaa-simplification-201303.pdf | https://www.hhs.gov/sites/default/files/ocr/privacy/hipaa/administrative/securityrule/adminsafeguards.pdf</x:t>
        </x:is>
      </x:c>
      <x:c r="P21" s="24" t="inlineStr">
        <x:is>
          <x:t xml:space="preserve">Used as the umbrella HIPAA citation for documented security policies. This is broader than any single safeguard requirement. | Mapped at the standard level because the spreadsheet does not break new-hire training into the more granular addressable sub-specifications. | Mapped at the standard level because the spreadsheet expresses periodic training broadly, not only reminders or phishing-specific sub-controls.</x:t>
        </x:is>
      </x:c>
    </x:row>
    <x:row r="22" ht="36" customHeight="1">
      <x:c r="A22" s="5" t="inlineStr">
        <x:is>
          <x:t xml:space="preserve">HITRUST e1.csv</x:t>
        </x:is>
      </x:c>
      <x:c r="B22" s="5" t="inlineStr">
        <x:is>
          <x:t xml:space="preserve">ER-24</x:t>
        </x:is>
      </x:c>
      <x:c r="C22" s="5" t="inlineStr">
        <x:is>
          <x:t xml:space="preserve">Policy</x:t>
        </x:is>
      </x:c>
      <x:c r="D22" s="5" t="inlineStr">
        <x:is>
          <x:t xml:space="preserve">Password and Multi-Factor Authentication</x:t>
        </x:is>
      </x:c>
      <x:c r="E22" s="5" t="inlineStr">
        <x:is>
          <x:t xml:space="preserve">REQ-26-HIPAA</x:t>
        </x:is>
      </x:c>
      <x:c r="F22" s="12">
        <x:f>IF(E22="",0,LEN(E22)-LEN(SUBSTITUTE(E22,",",""))+1)</x:f>
        <x:v>1</x:v>
      </x:c>
      <x:c r="G22" s="5" t="inlineStr">
        <x:is>
          <x:t xml:space="preserve">10.01d1System.10, 11.01p1System.5</x:t>
        </x:is>
      </x:c>
      <x:c r="H22" s="12">
        <x:f>IF(G22="",0,LEN(G22)-LEN(SUBSTITUTE(G22,",",""))+1)</x:f>
        <x:v>2</x:v>
      </x:c>
      <x:c r="I22" s="13" t="str">
        <x:f>IF(AND(F22=1,H22=1),"1:1",IF(AND(F22=1,H22&gt;1),"1:Many",IF(AND(F22&gt;1,H22=1),"Many:1","Many:Many")))</x:f>
        <x:v>1:Many</x:v>
      </x:c>
      <x:c r="J22" s="5" t="str">
        <x:f>IF(I22="1:1","Direct 1:1 overlap at the action-item level.",IF(I22="1:Many","One HIPAA local control decomposes into multiple HITRUST e1 controls in this action item.",IF(I22="Many:1","Multiple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22" s="24" t="inlineStr">
        <x:is>
          <x:t xml:space="preserve">45 CFR § 164.308(a)(5)(ii)(D) | 45 CFR § 164.312(d)</x:t>
        </x:is>
      </x:c>
      <x:c r="L22" s="24" t="inlineStr">
        <x:is>
          <x:t xml:space="preserve">Security Awareness and Training — Password Management | Person or Entity Authentication</x:t>
        </x:is>
      </x:c>
      <x:c r="M22" s="24" t="inlineStr">
        <x:is>
          <x:t xml:space="preserve">Composite</x:t>
        </x:is>
      </x:c>
      <x:c r="N22" s="24" t="inlineStr">
        <x:is>
          <x:t xml:space="preserve">Action item explicitly combines password controls with MFA, so both password management and authentication verification are cited.</x:t>
        </x:is>
      </x:c>
      <x:c r="O22" s="24"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P22" s="24" t="inlineStr">
        <x:is>
          <x:t xml:space="preserve">Covers password creation/change/safeguarding and MFA-style authentication evidence.</x:t>
        </x:is>
      </x:c>
    </x:row>
    <x:row r="23" ht="36" customHeight="1">
      <x:c r="A23" s="5" t="inlineStr">
        <x:is>
          <x:t xml:space="preserve">HITRUST e1.csv</x:t>
        </x:is>
      </x:c>
      <x:c r="B23" s="5" t="inlineStr">
        <x:is>
          <x:t xml:space="preserve">ER-41</x:t>
        </x:is>
      </x:c>
      <x:c r="C23" s="5" t="inlineStr">
        <x:is>
          <x:t xml:space="preserve">Policy</x:t>
        </x:is>
      </x:c>
      <x:c r="D23" s="5" t="inlineStr">
        <x:is>
          <x:t xml:space="preserve">Risk Management</x:t>
        </x:is>
      </x:c>
      <x:c r="E23" s="5" t="inlineStr">
        <x:is>
          <x:t xml:space="preserve">REQ-17-HIPAA, REQ-20-HIPAA</x:t>
        </x:is>
      </x:c>
      <x:c r="F23" s="12">
        <x:f>IF(E23="",0,LEN(E23)-LEN(SUBSTITUTE(E23,",",""))+1)</x:f>
        <x:v>2</x:v>
      </x:c>
      <x:c r="G23" s="5" t="inlineStr">
        <x:is>
          <x:t xml:space="preserve">1704.03b1Organizational.12, 1701.03a1Organizational.12345678</x:t>
        </x:is>
      </x:c>
      <x:c r="H23" s="12">
        <x:f>IF(G23="",0,LEN(G23)-LEN(SUBSTITUTE(G23,",",""))+1)</x:f>
        <x:v>2</x:v>
      </x:c>
      <x:c r="I23" s="14" t="str">
        <x:f>IF(AND(F23=1,H23=1),"1:1",IF(AND(F23=1,H23&gt;1),"1:Many",IF(AND(F23&gt;1,H23=1),"Many:1","Many:Many")))</x:f>
        <x:v>Many:Many</x:v>
      </x:c>
      <x:c r="J23" s="5" t="str">
        <x:f>IF(I23="1:1","Direct 1:1 overlap at the action-item level.",IF(I23="1:Many","One HIPAA local control decomposes into multiple HITRUST e1 controls in this action item.",IF(I23="Many:1","Multiple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23" s="24" t="inlineStr">
        <x:is>
          <x:t xml:space="preserve">45 CFR § 164.308(a)(1)(ii)(A) | 45 CFR § 164.308(a)(1)(ii)(B)</x:t>
        </x:is>
      </x:c>
      <x:c r="L23" s="24" t="inlineStr">
        <x:is>
          <x:t xml:space="preserve">Security Management Process — Risk Analysis | Security Management Process — Risk Management</x:t>
        </x:is>
      </x:c>
      <x:c r="M23" s="24" t="inlineStr">
        <x:is>
          <x:t xml:space="preserve">Direct</x:t>
        </x:is>
      </x:c>
      <x:c r="N23" s="24" t="inlineStr">
        <x:is>
          <x:t xml:space="preserve">Control context aligns to identifying risks and vulnerabilities to ePHI. | Control context aligns to reducing identified risks and vulnerabilities to a reasonable and appropriate level.</x:t>
        </x:is>
      </x:c>
      <x:c r="O23"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P23" s="24" t="inlineStr">
        <x:is>
          <x:t xml:space="preserve">Risk analysis is the most direct HIPAA citation for assessment-oriented rows. | Used for policy and operational rows focused on treatment/mitigation of identified risks.</x:t>
        </x:is>
      </x:c>
    </x:row>
    <x:row r="24" ht="36" customHeight="1">
      <x:c r="A24" s="5" t="inlineStr">
        <x:is>
          <x:t xml:space="preserve">HITRUST e1.csv</x:t>
        </x:is>
      </x:c>
      <x:c r="B24" s="5" t="inlineStr">
        <x:is>
          <x:t xml:space="preserve">ER-141</x:t>
        </x:is>
      </x:c>
      <x:c r="C24" s="5" t="inlineStr">
        <x:is>
          <x:t xml:space="preserve">Population</x:t>
        </x:is>
      </x:c>
      <x:c r="D24" s="5" t="inlineStr">
        <x:is>
          <x:t xml:space="preserve">All Incidents Identified During the Review Period [INSERT EXAM PERIOD]</x:t>
        </x:is>
      </x:c>
      <x:c r="E24" s="5" t="inlineStr">
        <x:is>
          <x:t xml:space="preserve">REQ-50-HIPAA, REQ-995-HIPAA</x:t>
        </x:is>
      </x:c>
      <x:c r="F24" s="12">
        <x:f>IF(E24="",0,LEN(E24)-LEN(SUBSTITUTE(E24,",",""))+1)</x:f>
        <x:v>2</x:v>
      </x:c>
      <x:c r="G24" s="5" t="inlineStr">
        <x:is>
          <x:t xml:space="preserve">1561.11c1Organizational.4</x:t>
        </x:is>
      </x:c>
      <x:c r="H24" s="12">
        <x:f>IF(G24="",0,LEN(G24)-LEN(SUBSTITUTE(G24,",",""))+1)</x:f>
        <x:v>1</x:v>
      </x:c>
      <x:c r="I24" s="15" t="str">
        <x:f>IF(AND(F24=1,H24=1),"1:1",IF(AND(F24=1,H24&gt;1),"1:Many",IF(AND(F24&gt;1,H24=1),"Many:1","Many:Many")))</x:f>
        <x:v>Many:1</x:v>
      </x:c>
      <x:c r="J24" s="5" t="str">
        <x:f>IF(I24="1:1","Direct 1:1 overlap at the action-item level.",IF(I24="1:Many","One HIPAA local control decomposes into multiple HITRUST e1 controls in this action item.",IF(I24="Many:1","Multiple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24" s="24" t="inlineStr">
        <x:is>
          <x:t xml:space="preserve">45 CFR § 164.308(a)(6)(ii) | 45 CFR § 164.316(b)(1)</x:t>
        </x:is>
      </x:c>
      <x:c r="L24" s="24" t="inlineStr">
        <x:is>
          <x:t xml:space="preserve">Security Incident Procedures — Response and Reporting | Documentation</x:t>
        </x:is>
      </x:c>
      <x:c r="M24" s="24" t="inlineStr">
        <x:is>
          <x:t xml:space="preserve">Composite | Best-fit composite</x:t>
        </x:is>
      </x:c>
      <x:c r="N24" s="24" t="inlineStr">
        <x:is>
          <x:t xml:space="preserve">Incident tickets/population evidence show response/reporting activities and the required documentation of incidents and outcomes. | Generic population/evidence control used to show incidents and outcomes during the review period.</x:t>
        </x:is>
      </x:c>
      <x:c r="O24" s="24"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P24" s="24" t="inlineStr">
        <x:is>
          <x:t xml:space="preserve">Documentation is added because the evidence row is a ticket/log of incidents during the review period. | Internal control is generic; citation follows the specific evidence row context.</x:t>
        </x:is>
      </x:c>
    </x:row>
    <x:row r="25" ht="36" customHeight="1">
      <x:c r="A25" s="5" t="inlineStr">
        <x:is>
          <x:t xml:space="preserve">HITRUST e1.csv</x:t>
        </x:is>
      </x:c>
      <x:c r="B25" s="5" t="inlineStr">
        <x:is>
          <x:t xml:space="preserve">ER-139</x:t>
        </x:is>
      </x:c>
      <x:c r="C25" s="5" t="inlineStr">
        <x:is>
          <x:t xml:space="preserve">Population</x:t>
        </x:is>
      </x:c>
      <x:c r="D25" s="5" t="inlineStr">
        <x:is>
          <x:t xml:space="preserve">All Software and Infrastructure Production Changes During the Review Period [INSERT EXAM PERIOD]</x:t>
        </x:is>
      </x:c>
      <x:c r="E25" s="5" t="inlineStr">
        <x:is>
          <x:t xml:space="preserve">REQ-55-HIPAA, REQ-995-HIPAA</x:t>
        </x:is>
      </x:c>
      <x:c r="F25" s="12">
        <x:f>IF(E25="",0,LEN(E25)-LEN(SUBSTITUTE(E25,",",""))+1)</x:f>
        <x:v>2</x:v>
      </x:c>
      <x:c r="G25" s="5" t="inlineStr">
        <x:is>
          <x:t xml:space="preserve">06.09b1System.2, 1704.03b1Organizational.12</x:t>
        </x:is>
      </x:c>
      <x:c r="H25" s="12">
        <x:f>IF(G25="",0,LEN(G25)-LEN(SUBSTITUTE(G25,",",""))+1)</x:f>
        <x:v>2</x:v>
      </x:c>
      <x:c r="I25" s="14" t="str">
        <x:f>IF(AND(F25=1,H25=1),"1:1",IF(AND(F25=1,H25&gt;1),"1:Many",IF(AND(F25&gt;1,H25=1),"Many:1","Many:Many")))</x:f>
        <x:v>Many:Many</x:v>
      </x:c>
      <x:c r="J25" s="5" t="str">
        <x:f>IF(I25="1:1","Direct 1:1 overlap at the action-item level.",IF(I25="1:Many","One HIPAA local control decomposes into multiple HITRUST e1 controls in this action item.",IF(I25="Many:1","Multiple HIPAA local controls converge on one HITRUST e1 control in this action item.","Composite overlap: multiple HIPAA and HITRUST e1 controls are satisfied by the same action item.")))</x:f>
        <x:v>Composite overlap: multiple HIPAA and HITRUST e1 controls are satisfied by the same action item.</x:v>
      </x:c>
      <x:c r="K25" s="24" t="inlineStr">
        <x:is>
          <x:t xml:space="preserve">45 CFR § 164.308(a)(8) | 45 CFR § 164.316(b)(1)</x:t>
        </x:is>
      </x:c>
      <x:c r="L25" s="24" t="inlineStr">
        <x:is>
          <x:t xml:space="preserve">Evaluation | Documentation</x:t>
        </x:is>
      </x:c>
      <x:c r="M25" s="24" t="inlineStr">
        <x:is>
          <x:t xml:space="preserve">Best-fit composite</x:t>
        </x:is>
      </x:c>
      <x:c r="N25" s="24" t="inlineStr">
        <x:is>
          <x:t xml:space="preserve">Production-change tickets/population evidence are not a named HIPAA specification, but they are strong evidence of evaluating and documenting operational changes affecting ePHI safeguards. | Generic population/evidence control used to show production changes during the review period.</x:t>
        </x:is>
      </x:c>
      <x:c r="O25"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P25" s="24" t="inlineStr">
        <x:is>
          <x:t xml:space="preserve">Best-fit evidence mapping; HIPAA does not mandate a particular ticketing mechanism. | Internal control is generic; citation follows the specific evidence row context.</x:t>
        </x:is>
      </x:c>
    </x:row>
    <x:row r="26" ht="36" customHeight="1">
      <x:c r="A26" s="5" t="inlineStr">
        <x:is>
          <x:t xml:space="preserve">HITRUST e1.csv</x:t>
        </x:is>
      </x:c>
      <x:c r="B26" s="5" t="inlineStr">
        <x:is>
          <x:t xml:space="preserve">ER-136</x:t>
        </x:is>
      </x:c>
      <x:c r="C26" s="5" t="inlineStr">
        <x:is>
          <x:t xml:space="preserve">Population</x:t>
        </x:is>
      </x:c>
      <x:c r="D26" s="5" t="inlineStr">
        <x:is>
          <x:t xml:space="preserve">All Terminated Employees During the Review Period [INSERT EXAM PERIOD]</x:t>
        </x:is>
      </x:c>
      <x:c r="E26" s="5" t="inlineStr">
        <x:is>
          <x:t xml:space="preserve">REQ-31-HIPAA, REQ-995-HIPAA</x:t>
        </x:is>
      </x:c>
      <x:c r="F26" s="12">
        <x:f>IF(E26="",0,LEN(E26)-LEN(SUBSTITUTE(E26,",",""))+1)</x:f>
        <x:v>2</x:v>
      </x:c>
      <x:c r="G26" s="5" t="inlineStr">
        <x:is>
          <x:t xml:space="preserve">11143.02i1Organizational.3</x:t>
        </x:is>
      </x:c>
      <x:c r="H26" s="12">
        <x:f>IF(G26="",0,LEN(G26)-LEN(SUBSTITUTE(G26,",",""))+1)</x:f>
        <x:v>1</x:v>
      </x:c>
      <x:c r="I26" s="15" t="str">
        <x:f>IF(AND(F26=1,H26=1),"1:1",IF(AND(F26=1,H26&gt;1),"1:Many",IF(AND(F26&gt;1,H26=1),"Many:1","Many:Many")))</x:f>
        <x:v>Many:1</x:v>
      </x:c>
      <x:c r="J26" s="5" t="str">
        <x:f>IF(I26="1:1","Direct 1:1 overlap at the action-item level.",IF(I26="1:Many","One HIPAA local control decomposes into multiple HITRUST e1 controls in this action item.",IF(I26="Many:1","Multiple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26" s="24" t="inlineStr">
        <x:is>
          <x:t xml:space="preserve">45 CFR § 164.308(a)(3)(ii)(C) | 45 CFR § 164.316(b)(1)</x:t>
        </x:is>
      </x:c>
      <x:c r="L26" s="24" t="inlineStr">
        <x:is>
          <x:t xml:space="preserve">Workforce Security — Termination Procedures | Documentation</x:t>
        </x:is>
      </x:c>
      <x:c r="M26" s="24" t="inlineStr">
        <x:is>
          <x:t xml:space="preserve">Composite | Best-fit composite</x:t>
        </x:is>
      </x:c>
      <x:c r="N26" s="24" t="inlineStr">
        <x:is>
          <x:t xml:space="preserve">Termination tickets/population evidence align directly to terminating access and documenting the action taken. | Generic population/evidence control used to show termination-related access removals during the review period.</x:t>
        </x:is>
      </x:c>
      <x:c r="O26" s="24"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P26" s="24" t="inlineStr">
        <x:is>
          <x:t xml:space="preserve">Documentation is added because the row is explicit evidence that access-removal events were carried out and recorded. | Internal control is generic; citation follows the specific evidence row context.</x:t>
        </x:is>
      </x:c>
    </x:row>
    <x:row r="27" ht="36" customHeight="1">
      <x:c r="A27" s="5" t="inlineStr">
        <x:is>
          <x:t xml:space="preserve">HITRUST e1.csv</x:t>
        </x:is>
      </x:c>
      <x:c r="B27" s="5" t="inlineStr">
        <x:is>
          <x:t xml:space="preserve">ER-87</x:t>
        </x:is>
      </x:c>
      <x:c r="C27" s="5" t="inlineStr">
        <x:is>
          <x:t xml:space="preserve">Sample</x:t>
        </x:is>
      </x:c>
      <x:c r="D27" s="5" t="inlineStr">
        <x:is>
          <x:t xml:space="preserve">Access Review Documentation</x:t>
        </x:is>
      </x:c>
      <x:c r="E27" s="5" t="inlineStr">
        <x:is>
          <x:t xml:space="preserve">REQ-29-HIPAA</x:t>
        </x:is>
      </x:c>
      <x:c r="F27" s="12">
        <x:f>IF(E27="",0,LEN(E27)-LEN(SUBSTITUTE(E27,",",""))+1)</x:f>
        <x:v>1</x:v>
      </x:c>
      <x:c r="G27" s="5" t="inlineStr">
        <x:is>
          <x:t xml:space="preserve">11.01e1System.2</x:t>
        </x:is>
      </x:c>
      <x:c r="H27" s="12">
        <x:f>IF(G27="",0,LEN(G27)-LEN(SUBSTITUTE(G27,",",""))+1)</x:f>
        <x:v>1</x:v>
      </x:c>
      <x:c r="I27" s="16" t="str">
        <x:f>IF(AND(F27=1,H27=1),"1:1",IF(AND(F27=1,H27&gt;1),"1:Many",IF(AND(F27&gt;1,H27=1),"Many:1","Many:Many")))</x:f>
        <x:v>1:1</x:v>
      </x:c>
      <x:c r="J27" s="5" t="str">
        <x:f>IF(I27="1:1","Direct 1:1 overlap at the action-item level.",IF(I27="1:Many","One HIPAA local control decomposes into multiple HITRUST e1 controls in this action item.",IF(I27="Many:1","Multiple HIPAA local controls converge on one HITRUST e1 control in this action item.","Composite overlap: multiple HIPAA and HITRUST e1 controls are satisfied by the same action item.")))</x:f>
        <x:v>Direct 1:1 overlap at the action-item level.</x:v>
      </x:c>
      <x:c r="K27" s="24" t="inlineStr">
        <x:is>
          <x:t xml:space="preserve">45 CFR § 164.308(a)(4)(ii)(C)</x:t>
        </x:is>
      </x:c>
      <x:c r="L27" s="24" t="inlineStr">
        <x:is>
          <x:t xml:space="preserve">Information Access Management — Access Establishment and Modification</x:t>
        </x:is>
      </x:c>
      <x:c r="M27" s="24" t="inlineStr">
        <x:is>
          <x:t xml:space="preserve">Direct</x:t>
        </x:is>
      </x:c>
      <x:c r="N27" s="24" t="inlineStr">
        <x:is>
          <x:t xml:space="preserve">Access-review documentation aligns directly to the requirement to establish, document, review, and modify user rights of access.</x:t>
        </x:is>
      </x:c>
      <x:c r="O27"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P27" s="24" t="inlineStr">
        <x:is>
          <x:t xml:space="preserve">Used for both access-review evidence and broader policy statements that emphasize periodic review/modification.</x:t>
        </x:is>
      </x:c>
    </x:row>
    <x:row r="28" ht="36" customHeight="1">
      <x:c r="A28" s="5" t="inlineStr">
        <x:is>
          <x:t xml:space="preserve">HITRUST e1.csv</x:t>
        </x:is>
      </x:c>
      <x:c r="B28" s="5" t="inlineStr">
        <x:is>
          <x:t xml:space="preserve">ER-84</x:t>
        </x:is>
      </x:c>
      <x:c r="C28" s="5" t="inlineStr">
        <x:is>
          <x:t xml:space="preserve">Sample</x:t>
        </x:is>
      </x:c>
      <x:c r="D28" s="5" t="inlineStr">
        <x:is>
          <x:t xml:space="preserve">Employee Termination Ticket</x:t>
        </x:is>
      </x:c>
      <x:c r="E28" s="5" t="inlineStr">
        <x:is>
          <x:t xml:space="preserve">REQ-31-HIPAA</x:t>
        </x:is>
      </x:c>
      <x:c r="F28" s="12">
        <x:f>IF(E28="",0,LEN(E28)-LEN(SUBSTITUTE(E28,",",""))+1)</x:f>
        <x:v>1</x:v>
      </x:c>
      <x:c r="G28" s="5" t="inlineStr">
        <x:is>
          <x:t xml:space="preserve">11143.02i1Organizational.3</x:t>
        </x:is>
      </x:c>
      <x:c r="H28" s="12">
        <x:f>IF(G28="",0,LEN(G28)-LEN(SUBSTITUTE(G28,",",""))+1)</x:f>
        <x:v>1</x:v>
      </x:c>
      <x:c r="I28" s="16" t="str">
        <x:f>IF(AND(F28=1,H28=1),"1:1",IF(AND(F28=1,H28&gt;1),"1:Many",IF(AND(F28&gt;1,H28=1),"Many:1","Many:Many")))</x:f>
        <x:v>1:1</x:v>
      </x:c>
      <x:c r="J28" s="5" t="str">
        <x:f>IF(I28="1:1","Direct 1:1 overlap at the action-item level.",IF(I28="1:Many","One HIPAA local control decomposes into multiple HITRUST e1 controls in this action item.",IF(I28="Many:1","Multiple HIPAA local controls converge on one HITRUST e1 control in this action item.","Composite overlap: multiple HIPAA and HITRUST e1 controls are satisfied by the same action item.")))</x:f>
        <x:v>Direct 1:1 overlap at the action-item level.</x:v>
      </x:c>
      <x:c r="K28" s="24" t="inlineStr">
        <x:is>
          <x:t xml:space="preserve">45 CFR § 164.308(a)(3)(ii)(C) | 45 CFR § 164.316(b)(1)</x:t>
        </x:is>
      </x:c>
      <x:c r="L28" s="24" t="inlineStr">
        <x:is>
          <x:t xml:space="preserve">Workforce Security — Termination Procedures | Documentation</x:t>
        </x:is>
      </x:c>
      <x:c r="M28" s="24" t="inlineStr">
        <x:is>
          <x:t xml:space="preserve">Composite</x:t>
        </x:is>
      </x:c>
      <x:c r="N28" s="24" t="inlineStr">
        <x:is>
          <x:t xml:space="preserve">Termination tickets/population evidence align directly to terminating access and documenting the action taken.</x:t>
        </x:is>
      </x:c>
      <x:c r="O28" s="24"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P28" s="24" t="inlineStr">
        <x:is>
          <x:t xml:space="preserve">Documentation is added because the row is explicit evidence that access-removal events were carried out and recorded.</x:t>
        </x:is>
      </x:c>
    </x:row>
    <x:row r="29" ht="36" customHeight="1">
      <x:c r="A29" s="5" t="inlineStr">
        <x:is>
          <x:t xml:space="preserve">HITRUST e1.csv</x:t>
        </x:is>
      </x:c>
      <x:c r="B29" s="5" t="inlineStr">
        <x:is>
          <x:t xml:space="preserve">ER-53</x:t>
        </x:is>
      </x:c>
      <x:c r="C29" s="5" t="inlineStr">
        <x:is>
          <x:t xml:space="preserve">Sample</x:t>
        </x:is>
      </x:c>
      <x:c r="D29" s="5" t="inlineStr">
        <x:is>
          <x:t xml:space="preserve">Evidence of Vulnerability Scan Results</x:t>
        </x:is>
      </x:c>
      <x:c r="E29" s="5" t="inlineStr">
        <x:is>
          <x:t xml:space="preserve">REQ-46-HIPAA, REQ-47-HIPAA</x:t>
        </x:is>
      </x:c>
      <x:c r="F29" s="12">
        <x:f>IF(E29="",0,LEN(E29)-LEN(SUBSTITUTE(E29,",",""))+1)</x:f>
        <x:v>2</x:v>
      </x:c>
      <x:c r="G29" s="5" t="inlineStr">
        <x:is>
          <x:t xml:space="preserve">07.10m1Organizational.3</x:t>
        </x:is>
      </x:c>
      <x:c r="H29" s="12">
        <x:f>IF(G29="",0,LEN(G29)-LEN(SUBSTITUTE(G29,",",""))+1)</x:f>
        <x:v>1</x:v>
      </x:c>
      <x:c r="I29" s="15" t="str">
        <x:f>IF(AND(F29=1,H29=1),"1:1",IF(AND(F29=1,H29&gt;1),"1:Many",IF(AND(F29&gt;1,H29=1),"Many:1","Many:Many")))</x:f>
        <x:v>Many:1</x:v>
      </x:c>
      <x:c r="J29" s="5" t="str">
        <x:f>IF(I29="1:1","Direct 1:1 overlap at the action-item level.",IF(I29="1:Many","One HIPAA local control decomposes into multiple HITRUST e1 controls in this action item.",IF(I29="Many:1","Multiple HIPAA local controls converge on one HITRUST e1 control in this action item.","Composite overlap: multiple HIPAA and HITRUST e1 controls are satisfied by the same action item.")))</x:f>
        <x:v>Multiple HIPAA local controls converge on one HITRUST e1 control in this action item.</x:v>
      </x:c>
      <x:c r="K29" s="24" t="inlineStr">
        <x:is>
          <x:t xml:space="preserve">45 CFR § 164.308(a)(1)(ii)(A) | 45 CFR § 164.308(a)(1)(ii)(B)</x:t>
        </x:is>
      </x:c>
      <x:c r="L29" s="24" t="inlineStr">
        <x:is>
          <x:t xml:space="preserve">Security Management Process — Risk Analysis | Security Management Process — Risk Management</x:t>
        </x:is>
      </x:c>
      <x:c r="M29" s="24" t="inlineStr">
        <x:is>
          <x:t xml:space="preserve">Best-fit</x:t>
        </x:is>
      </x:c>
      <x:c r="N29" s="24" t="inlineStr">
        <x:is>
          <x:t xml:space="preserve">OCR guidance identifies vulnerability scanning as one way to identify risks and vulnerabilities to ePHI. | Vulnerability remediation is the treatment/mitigation step after risks are identified.</x:t>
        </x:is>
      </x:c>
      <x:c r="O29" s="24"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P29" s="24" t="inlineStr">
        <x:is>
          <x:t xml:space="preserve">Used for vulnerability-scan result evidence. | Used for remediation evidence and related patch/vulnerability-management policy rows.</x:t>
        </x:is>
      </x:c>
    </x:row>
    <x:row r="30" ht="36" customHeight="1">
      <x:c r="A30" s="5" t="inlineStr">
        <x:is>
          <x:t xml:space="preserve">HITRUST e1.csv</x:t>
        </x:is>
      </x:c>
      <x:c r="B30" s="5" t="inlineStr">
        <x:is>
          <x:t xml:space="preserve">ER-89</x:t>
        </x:is>
      </x:c>
      <x:c r="C30" s="5" t="inlineStr">
        <x:is>
          <x:t xml:space="preserve">Sample</x:t>
        </x:is>
      </x:c>
      <x:c r="D30" s="5" t="inlineStr">
        <x:is>
          <x:t xml:space="preserve">New Hire Access Request Form</x:t>
        </x:is>
      </x:c>
      <x:c r="E30" s="5" t="inlineStr">
        <x:is>
          <x:t xml:space="preserve">REQ-30-HIPAA</x:t>
        </x:is>
      </x:c>
      <x:c r="F30" s="12">
        <x:f>IF(E30="",0,LEN(E30)-LEN(SUBSTITUTE(E30,",",""))+1)</x:f>
        <x:v>1</x:v>
      </x:c>
      <x:c r="G30" s="5" t="inlineStr">
        <x:is>
          <x:t xml:space="preserve">1143.01c1System.123</x:t>
        </x:is>
      </x:c>
      <x:c r="H30" s="12">
        <x:f>IF(G30="",0,LEN(G30)-LEN(SUBSTITUTE(G30,",",""))+1)</x:f>
        <x:v>1</x:v>
      </x:c>
      <x:c r="I30" s="16" t="str">
        <x:f>IF(AND(F30=1,H30=1),"1:1",IF(AND(F30=1,H30&gt;1),"1:Many",IF(AND(F30&gt;1,H30=1),"Many:1","Many:Many")))</x:f>
        <x:v>1:1</x:v>
      </x:c>
      <x:c r="J30" s="5" t="str">
        <x:f>IF(I30="1:1","Direct 1:1 overlap at the action-item level.",IF(I30="1:Many","One HIPAA local control decomposes into multiple HITRUST e1 controls in this action item.",IF(I30="Many:1","Multiple HIPAA local controls converge on one HITRUST e1 control in this action item.","Composite overlap: multiple HIPAA and HITRUST e1 controls are satisfied by the same action item.")))</x:f>
        <x:v>Direct 1:1 overlap at the action-item level.</x:v>
      </x:c>
      <x:c r="K30" s="24" t="inlineStr">
        <x:is>
          <x:t xml:space="preserve">45 CFR § 164.308(a)(4)(ii)(B)</x:t>
        </x:is>
      </x:c>
      <x:c r="L30" s="24" t="inlineStr">
        <x:is>
          <x:t xml:space="preserve">Information Access Management — Access Authorization</x:t>
        </x:is>
      </x:c>
      <x:c r="M30" s="24" t="inlineStr">
        <x:is>
          <x:t xml:space="preserve">Direct</x:t>
        </x:is>
      </x:c>
      <x:c r="N30" s="24" t="inlineStr">
        <x:is>
          <x:t xml:space="preserve">New-hire access request and approval evidence aligns directly to access authorization.</x:t>
        </x:is>
      </x:c>
      <x:c r="O30"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P30" s="24" t="inlineStr">
        <x:is>
          <x:t xml:space="preserve">Used for access-request forms/templates and access-control rows that center on approvals.</x:t>
        </x:is>
      </x:c>
    </x:row>
    <x:row r="31" ht="36" customHeight="1">
      <x:c r="A31" s="5" t="inlineStr">
        <x:is>
          <x:t xml:space="preserve">HITRUST e1.csv</x:t>
        </x:is>
      </x:c>
      <x:c r="B31" s="5" t="inlineStr">
        <x:is>
          <x:t xml:space="preserve">ER-33</x:t>
        </x:is>
      </x:c>
      <x:c r="C31" s="5" t="inlineStr">
        <x:is>
          <x:t xml:space="preserve">Sample</x:t>
        </x:is>
      </x:c>
      <x:c r="D31" s="5" t="inlineStr">
        <x:is>
          <x:t xml:space="preserve">New Hire Security Awareness Training</x:t>
        </x:is>
      </x:c>
      <x:c r="E31" s="5" t="inlineStr">
        <x:is>
          <x:t xml:space="preserve">REQ-12-HIPAA</x:t>
        </x:is>
      </x:c>
      <x:c r="F31" s="12">
        <x:f>IF(E31="",0,LEN(E31)-LEN(SUBSTITUTE(E31,",",""))+1)</x:f>
        <x:v>1</x:v>
      </x:c>
      <x:c r="G31" s="5" t="inlineStr">
        <x:is>
          <x:t xml:space="preserve">1308.09j1Organizational.5.a, 13998.02e1Organizational.2, 13.02e1Organizational.6</x:t>
        </x:is>
      </x:c>
      <x:c r="H31" s="12">
        <x:f>IF(G31="",0,LEN(G31)-LEN(SUBSTITUTE(G31,",",""))+1)</x:f>
        <x:v>3</x:v>
      </x:c>
      <x:c r="I31" s="13" t="str">
        <x:f>IF(AND(F31=1,H31=1),"1:1",IF(AND(F31=1,H31&gt;1),"1:Many",IF(AND(F31&gt;1,H31=1),"Many:1","Many:Many")))</x:f>
        <x:v>1:Many</x:v>
      </x:c>
      <x:c r="J31" s="5" t="str">
        <x:f>IF(I31="1:1","Direct 1:1 overlap at the action-item level.",IF(I31="1:Many","One HIPAA local control decomposes into multiple HITRUST e1 controls in this action item.",IF(I31="Many:1","Multiple HIPAA local controls converge on one HITRUST e1 control in this action item.","Composite overlap: multiple HIPAA and HITRUST e1 controls are satisfied by the same action item.")))</x:f>
        <x:v>One HIPAA local control decomposes into multiple HITRUST e1 controls in this action item.</x:v>
      </x:c>
      <x:c r="K31" s="24" t="inlineStr">
        <x:is>
          <x:t xml:space="preserve">45 CFR § 164.308(a)(5)</x:t>
        </x:is>
      </x:c>
      <x:c r="L31" s="24" t="inlineStr">
        <x:is>
          <x:t xml:space="preserve">Security Awareness and Training</x:t>
        </x:is>
      </x:c>
      <x:c r="M31" s="24" t="inlineStr">
        <x:is>
          <x:t xml:space="preserve">Direct</x:t>
        </x:is>
      </x:c>
      <x:c r="N31" s="24" t="inlineStr">
        <x:is>
          <x:t xml:space="preserve">Action item and control context align to workforce security-awareness training for new hires.</x:t>
        </x:is>
      </x:c>
      <x:c r="O31"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P31" s="24" t="inlineStr">
        <x:is>
          <x:t xml:space="preserve">Mapped at the standard level because the spreadsheet does not break new-hire training into the more granular addressable sub-specifications.</x:t>
        </x:is>
      </x:c>
    </x:row>
    <x:row r="32" ht="36" customHeight="1">
      <x:c r="A32" s="5" t="inlineStr">
        <x:is>
          <x:t xml:space="preserve">HITRUST e1.csv</x:t>
        </x:is>
      </x:c>
      <x:c r="B32" s="5" t="inlineStr">
        <x:is>
          <x:t xml:space="preserve">ER-62</x:t>
        </x:is>
      </x:c>
      <x:c r="C32" s="5" t="inlineStr">
        <x:is>
          <x:t xml:space="preserve">Sample</x:t>
        </x:is>
      </x:c>
      <x:c r="D32" s="5" t="inlineStr">
        <x:is>
          <x:t xml:space="preserve">Software/Infrastructure Production Change Ticket</x:t>
        </x:is>
      </x:c>
      <x:c r="E32" s="5" t="inlineStr">
        <x:is>
          <x:t xml:space="preserve">REQ-55-HIPAA</x:t>
        </x:is>
      </x:c>
      <x:c r="F32" s="12">
        <x:f>IF(E32="",0,LEN(E32)-LEN(SUBSTITUTE(E32,",",""))+1)</x:f>
        <x:v>1</x:v>
      </x:c>
      <x:c r="G32" s="5" t="inlineStr">
        <x:is>
          <x:t xml:space="preserve">06.09b1System.2</x:t>
        </x:is>
      </x:c>
      <x:c r="H32" s="12">
        <x:f>IF(G32="",0,LEN(G32)-LEN(SUBSTITUTE(G32,",",""))+1)</x:f>
        <x:v>1</x:v>
      </x:c>
      <x:c r="I32" s="16" t="str">
        <x:f>IF(AND(F32=1,H32=1),"1:1",IF(AND(F32=1,H32&gt;1),"1:Many",IF(AND(F32&gt;1,H32=1),"Many:1","Many:Many")))</x:f>
        <x:v>1:1</x:v>
      </x:c>
      <x:c r="J32" s="5" t="str">
        <x:f>IF(I32="1:1","Direct 1:1 overlap at the action-item level.",IF(I32="1:Many","One HIPAA local control decomposes into multiple HITRUST e1 controls in this action item.",IF(I32="Many:1","Multiple HIPAA local controls converge on one HITRUST e1 control in this action item.","Composite overlap: multiple HIPAA and HITRUST e1 controls are satisfied by the same action item.")))</x:f>
        <x:v>Direct 1:1 overlap at the action-item level.</x:v>
      </x:c>
      <x:c r="K32" s="24" t="inlineStr">
        <x:is>
          <x:t xml:space="preserve">45 CFR § 164.308(a)(8) | 45 CFR § 164.316(b)(1)</x:t>
        </x:is>
      </x:c>
      <x:c r="L32" s="24" t="inlineStr">
        <x:is>
          <x:t xml:space="preserve">Evaluation | Documentation</x:t>
        </x:is>
      </x:c>
      <x:c r="M32" s="24" t="inlineStr">
        <x:is>
          <x:t xml:space="preserve">Best-fit composite</x:t>
        </x:is>
      </x:c>
      <x:c r="N32" s="24" t="inlineStr">
        <x:is>
          <x:t xml:space="preserve">Production-change tickets/population evidence are not a named HIPAA specification, but they are strong evidence of evaluating and documenting operational changes affecting ePHI safeguards.</x:t>
        </x:is>
      </x:c>
      <x:c r="O32"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P32" s="24" t="inlineStr">
        <x:is>
          <x:t xml:space="preserve">Best-fit evidence mapping; HIPAA does not mandate a particular ticketing mechanism.</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14" customWidth="1"/>
    <x:col min="3" max="3" width="16" customWidth="1"/>
    <x:col min="4" max="4" width="42" customWidth="1"/>
    <x:col min="5" max="5" width="20" customWidth="1"/>
    <x:col min="6" max="6" width="28" customWidth="1"/>
    <x:col min="7" max="7" width="18" customWidth="1"/>
    <x:col min="8" max="8" width="14" customWidth="1"/>
    <x:col min="9" max="9" width="28" customWidth="1"/>
    <x:col min="10" max="10" width="42" customWidth="1"/>
    <x:col min="11" max="11" width="22" customWidth="1"/>
    <x:col min="12" max="12" width="52" customWidth="1"/>
    <x:col min="13" max="13" width="70" customWidth="1"/>
    <x:col min="14" max="14" width="56" customWidth="1"/>
  </x:cols>
  <x:sheetData>
    <x:row r="1" ht="32" customHeight="1">
      <x:c r="A1" s="11" t="inlineStr">
        <x:is>
          <x:t xml:space="preserve">Source File</x:t>
        </x:is>
      </x:c>
      <x:c r="B1" s="11" t="inlineStr">
        <x:is>
          <x:t xml:space="preserve">Reference ID</x:t>
        </x:is>
      </x:c>
      <x:c r="C1" s="11" t="inlineStr">
        <x:is>
          <x:t xml:space="preserve">Category</x:t>
        </x:is>
      </x:c>
      <x:c r="D1" s="11" t="inlineStr">
        <x:is>
          <x:t xml:space="preserve">Action Item</x:t>
        </x:is>
      </x:c>
      <x:c r="E1" s="11" t="inlineStr">
        <x:is>
          <x:t xml:space="preserve">HIPAA Control</x:t>
        </x:is>
      </x:c>
      <x:c r="F1" s="11" t="inlineStr">
        <x:is>
          <x:t xml:space="preserve">HITRUST e1 Control</x:t>
        </x:is>
      </x:c>
      <x:c r="G1" s="11" t="inlineStr">
        <x:is>
          <x:t xml:space="preserve">Action-Item Mapping Type</x:t>
        </x:is>
      </x:c>
      <x:c r="H1" s="11" t="inlineStr">
        <x:is>
          <x:t xml:space="preserve">Pair Reuse Count</x:t>
        </x:is>
      </x:c>
      <x:c r="I1" s="11" t="inlineStr">
        <x:is>
          <x:t xml:space="preserve">HIPAA 45 CFR Citation(s)</x:t>
        </x:is>
      </x:c>
      <x:c r="J1" s="11" t="inlineStr">
        <x:is>
          <x:t xml:space="preserve">HIPAA Standard / Spec</x:t>
        </x:is>
      </x:c>
      <x:c r="K1" s="11" t="inlineStr">
        <x:is>
          <x:t xml:space="preserve">45 CFR Mapping Confidence</x:t>
        </x:is>
      </x:c>
      <x:c r="L1" s="11" t="inlineStr">
        <x:is>
          <x:t xml:space="preserve">45 CFR Mapping Basis</x:t>
        </x:is>
      </x:c>
      <x:c r="M1" s="11" t="inlineStr">
        <x:is>
          <x:t xml:space="preserve">Authoritative Public Source URL(s)</x:t>
        </x:is>
      </x:c>
      <x:c r="N1" s="11" t="inlineStr">
        <x:is>
          <x:t xml:space="preserve">45 CFR Notes</x:t>
        </x:is>
      </x:c>
    </x:row>
    <x:row r="2" ht="30" customHeight="1">
      <x:c r="A2" s="5" t="inlineStr">
        <x:is>
          <x:t xml:space="preserve">HITRUST e1.csv</x:t>
        </x:is>
      </x:c>
      <x:c r="B2" s="5" t="inlineStr">
        <x:is>
          <x:t xml:space="preserve">ER-86</x:t>
        </x:is>
      </x:c>
      <x:c r="C2" s="5" t="inlineStr">
        <x:is>
          <x:t xml:space="preserve">Policy</x:t>
        </x:is>
      </x:c>
      <x:c r="D2" s="5" t="inlineStr">
        <x:is>
          <x:t xml:space="preserve">Access Control</x:t>
        </x:is>
      </x:c>
      <x:c r="E2" s="5" t="inlineStr">
        <x:is>
          <x:t xml:space="preserve">REQ-24-HIPAA</x:t>
        </x:is>
      </x:c>
      <x:c r="F2" s="5" t="inlineStr">
        <x:is>
          <x:t xml:space="preserve">11.01e1System.2</x:t>
        </x:is>
      </x:c>
      <x:c r="G2" s="17" t="inlineStr">
        <x:is>
          <x:t xml:space="preserve">Many:1</x:t>
        </x:is>
      </x:c>
      <x:c r="H2" s="12">
        <x:f>COUNTIFS($E:$E,E2,$F:$F,F2)</x:f>
        <x:v>1</x:v>
      </x:c>
      <x:c r="I2" s="24" t="inlineStr">
        <x:is>
          <x:t xml:space="preserve">45 CFR § 164.312(a)(1); 45 CFR § 164.308(a)(4)(i)</x:t>
        </x:is>
      </x:c>
      <x:c r="J2" s="24" t="inlineStr">
        <x:is>
          <x:t xml:space="preserve">Access Control; Information Access Management</x:t>
        </x:is>
      </x:c>
      <x:c r="K2" s="24" t="inlineStr">
        <x:is>
          <x:t xml:space="preserve">Composite</x:t>
        </x:is>
      </x:c>
      <x:c r="L2" s="24" t="inlineStr">
        <x:is>
          <x:t xml:space="preserve">Broad access-control policy control spans both the technical access-control standard and the administrative information-access-management standard.</x:t>
        </x:is>
      </x:c>
      <x:c r="M2" s="24"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https://www.hhs.gov/sites/default/files/ocr/privacy/hipaa/administrative/combined/hipaa-simplification-201303.pdf</x:t>
        </x:is>
      </x:c>
      <x:c r="N2" s="24" t="inlineStr">
        <x:is>
          <x:t xml:space="preserve">Used when the spreadsheet row is a general access-control policy without a narrower authorization/review/termination artifact.</x:t>
        </x:is>
      </x:c>
    </x:row>
    <x:row r="3" ht="30" customHeight="1">
      <x:c r="A3" s="5" t="inlineStr">
        <x:is>
          <x:t xml:space="preserve">HITRUST e1.csv</x:t>
        </x:is>
      </x:c>
      <x:c r="B3" s="5" t="inlineStr">
        <x:is>
          <x:t xml:space="preserve">ER-86</x:t>
        </x:is>
      </x:c>
      <x:c r="C3" s="5" t="inlineStr">
        <x:is>
          <x:t xml:space="preserve">Policy</x:t>
        </x:is>
      </x:c>
      <x:c r="D3" s="5" t="inlineStr">
        <x:is>
          <x:t xml:space="preserve">Access Control</x:t>
        </x:is>
      </x:c>
      <x:c r="E3" s="5" t="inlineStr">
        <x:is>
          <x:t xml:space="preserve">REQ-29-HIPAA</x:t>
        </x:is>
      </x:c>
      <x:c r="F3" s="5" t="inlineStr">
        <x:is>
          <x:t xml:space="preserve">11.01e1System.2</x:t>
        </x:is>
      </x:c>
      <x:c r="G3" s="17" t="inlineStr">
        <x:is>
          <x:t xml:space="preserve">Many:1</x:t>
        </x:is>
      </x:c>
      <x:c r="H3" s="12">
        <x:f>COUNTIFS($E:$E,E3,$F:$F,F3)</x:f>
        <x:v>2</x:v>
      </x:c>
      <x:c r="I3" s="24" t="inlineStr">
        <x:is>
          <x:t xml:space="preserve">45 CFR § 164.308(a)(4)(ii)(C)</x:t>
        </x:is>
      </x:c>
      <x:c r="J3" s="24" t="inlineStr">
        <x:is>
          <x:t xml:space="preserve">Information Access Management — Access Establishment and Modification</x:t>
        </x:is>
      </x:c>
      <x:c r="K3" s="24" t="inlineStr">
        <x:is>
          <x:t xml:space="preserve">Direct</x:t>
        </x:is>
      </x:c>
      <x:c r="L3" s="24" t="inlineStr">
        <x:is>
          <x:t xml:space="preserve">Access-review documentation aligns directly to the requirement to establish, document, review, and modify user rights of access.</x:t>
        </x:is>
      </x:c>
      <x:c r="M3"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3" s="24" t="inlineStr">
        <x:is>
          <x:t xml:space="preserve">Used for both access-review evidence and broader policy statements that emphasize periodic review/modification.</x:t>
        </x:is>
      </x:c>
    </x:row>
    <x:row r="4" ht="30" customHeight="1">
      <x:c r="A4" s="5" t="inlineStr">
        <x:is>
          <x:t xml:space="preserve">HITRUST e1.csv</x:t>
        </x:is>
      </x:c>
      <x:c r="B4" s="5" t="inlineStr">
        <x:is>
          <x:t xml:space="preserve">ER-86</x:t>
        </x:is>
      </x:c>
      <x:c r="C4" s="5" t="inlineStr">
        <x:is>
          <x:t xml:space="preserve">Policy</x:t>
        </x:is>
      </x:c>
      <x:c r="D4" s="5" t="inlineStr">
        <x:is>
          <x:t xml:space="preserve">Access Control</x:t>
        </x:is>
      </x:c>
      <x:c r="E4" s="5" t="inlineStr">
        <x:is>
          <x:t xml:space="preserve">REQ-30-HIPAA</x:t>
        </x:is>
      </x:c>
      <x:c r="F4" s="5" t="inlineStr">
        <x:is>
          <x:t xml:space="preserve">11.01e1System.2</x:t>
        </x:is>
      </x:c>
      <x:c r="G4" s="17" t="inlineStr">
        <x:is>
          <x:t xml:space="preserve">Many:1</x:t>
        </x:is>
      </x:c>
      <x:c r="H4" s="12">
        <x:f>COUNTIFS($E:$E,E4,$F:$F,F4)</x:f>
        <x:v>1</x:v>
      </x:c>
      <x:c r="I4" s="24" t="inlineStr">
        <x:is>
          <x:t xml:space="preserve">45 CFR § 164.308(a)(4)(ii)(B)</x:t>
        </x:is>
      </x:c>
      <x:c r="J4" s="24" t="inlineStr">
        <x:is>
          <x:t xml:space="preserve">Information Access Management — Access Authorization</x:t>
        </x:is>
      </x:c>
      <x:c r="K4" s="24" t="inlineStr">
        <x:is>
          <x:t xml:space="preserve">Direct</x:t>
        </x:is>
      </x:c>
      <x:c r="L4" s="24" t="inlineStr">
        <x:is>
          <x:t xml:space="preserve">New-hire access request and approval evidence aligns directly to access authorization.</x:t>
        </x:is>
      </x:c>
      <x:c r="M4"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4" s="24" t="inlineStr">
        <x:is>
          <x:t xml:space="preserve">Used for access-request forms/templates and access-control rows that center on approvals.</x:t>
        </x:is>
      </x:c>
    </x:row>
    <x:row r="5" ht="30" customHeight="1">
      <x:c r="A5" s="5" t="inlineStr">
        <x:is>
          <x:t xml:space="preserve">HITRUST e1.csv</x:t>
        </x:is>
      </x:c>
      <x:c r="B5" s="5" t="inlineStr">
        <x:is>
          <x:t xml:space="preserve">ER-86</x:t>
        </x:is>
      </x:c>
      <x:c r="C5" s="5" t="inlineStr">
        <x:is>
          <x:t xml:space="preserve">Policy</x:t>
        </x:is>
      </x:c>
      <x:c r="D5" s="5" t="inlineStr">
        <x:is>
          <x:t xml:space="preserve">Access Control</x:t>
        </x:is>
      </x:c>
      <x:c r="E5" s="5" t="inlineStr">
        <x:is>
          <x:t xml:space="preserve">REQ-31-HIPAA</x:t>
        </x:is>
      </x:c>
      <x:c r="F5" s="5" t="inlineStr">
        <x:is>
          <x:t xml:space="preserve">11.01e1System.2</x:t>
        </x:is>
      </x:c>
      <x:c r="G5" s="17" t="inlineStr">
        <x:is>
          <x:t xml:space="preserve">Many:1</x:t>
        </x:is>
      </x:c>
      <x:c r="H5" s="12">
        <x:f>COUNTIFS($E:$E,E5,$F:$F,F5)</x:f>
        <x:v>1</x:v>
      </x:c>
      <x:c r="I5" s="24" t="inlineStr">
        <x:is>
          <x:t xml:space="preserve">45 CFR § 164.308(a)(3)(ii)(C); 45 CFR § 164.308(a)(4)(ii)(C)</x:t>
        </x:is>
      </x:c>
      <x:c r="J5" s="24" t="inlineStr">
        <x:is>
          <x:t xml:space="preserve">Workforce Security — Termination Procedures; Information Access Management — Access Establishment and Modification</x:t>
        </x:is>
      </x:c>
      <x:c r="K5" s="24" t="inlineStr">
        <x:is>
          <x:t xml:space="preserve">Composite</x:t>
        </x:is>
      </x:c>
      <x:c r="L5" s="24" t="inlineStr">
        <x:is>
          <x:t xml:space="preserve">The same internal control appears within a general access-control policy row; termination remains the most likely HIPAA basis, with access-right modification as supporting context.</x:t>
        </x:is>
      </x:c>
      <x:c r="M5" s="24" t="inlineStr">
        <x:is>
          <x:t xml:space="preserve">https://www.ecfr.gov/current/title-45/subtitle-A/subchapter-C/part-164/section-164.308 | https://www.hhs.gov/hipaa/for-professionals/compliance-enforcement/audit/protocol/index.html | https://www.hhs.gov/hipaa/for-professionals/security/guidance/cybersecurity-newsletter-summer-2019/index.html</x:t>
        </x:is>
      </x:c>
      <x:c r="N5" s="24" t="inlineStr">
        <x:is>
          <x:t xml:space="preserve">Mapped conservatively because the internal control ID spans both termination evidence and access-control policy language.</x:t>
        </x:is>
      </x:c>
    </x:row>
    <x:row r="6" ht="30" customHeight="1">
      <x:c r="A6" s="5" t="inlineStr">
        <x:is>
          <x:t xml:space="preserve">HITRUST e1.csv</x:t>
        </x:is>
      </x:c>
      <x:c r="B6" s="5" t="inlineStr">
        <x:is>
          <x:t xml:space="preserve">ER-87</x:t>
        </x:is>
      </x:c>
      <x:c r="C6" s="5" t="inlineStr">
        <x:is>
          <x:t xml:space="preserve">Sample</x:t>
        </x:is>
      </x:c>
      <x:c r="D6" s="5" t="inlineStr">
        <x:is>
          <x:t xml:space="preserve">Access Review Documentation</x:t>
        </x:is>
      </x:c>
      <x:c r="E6" s="5" t="inlineStr">
        <x:is>
          <x:t xml:space="preserve">REQ-29-HIPAA</x:t>
        </x:is>
      </x:c>
      <x:c r="F6" s="5" t="inlineStr">
        <x:is>
          <x:t xml:space="preserve">11.01e1System.2</x:t>
        </x:is>
      </x:c>
      <x:c r="G6" s="18" t="inlineStr">
        <x:is>
          <x:t xml:space="preserve">1:1</x:t>
        </x:is>
      </x:c>
      <x:c r="H6" s="12">
        <x:f>COUNTIFS($E:$E,E6,$F:$F,F6)</x:f>
        <x:v>2</x:v>
      </x:c>
      <x:c r="I6" s="24" t="inlineStr">
        <x:is>
          <x:t xml:space="preserve">45 CFR § 164.308(a)(4)(ii)(C)</x:t>
        </x:is>
      </x:c>
      <x:c r="J6" s="24" t="inlineStr">
        <x:is>
          <x:t xml:space="preserve">Information Access Management — Access Establishment and Modification</x:t>
        </x:is>
      </x:c>
      <x:c r="K6" s="24" t="inlineStr">
        <x:is>
          <x:t xml:space="preserve">Direct</x:t>
        </x:is>
      </x:c>
      <x:c r="L6" s="24" t="inlineStr">
        <x:is>
          <x:t xml:space="preserve">Access-review documentation aligns directly to the requirement to establish, document, review, and modify user rights of access.</x:t>
        </x:is>
      </x:c>
      <x:c r="M6"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6" s="24" t="inlineStr">
        <x:is>
          <x:t xml:space="preserve">Used for both access-review evidence and broader policy statements that emphasize periodic review/modification.</x:t>
        </x:is>
      </x:c>
    </x:row>
    <x:row r="7" ht="30" customHeight="1">
      <x:c r="A7" s="5" t="inlineStr">
        <x:is>
          <x:t xml:space="preserve">HITRUST e1.csv</x:t>
        </x:is>
      </x:c>
      <x:c r="B7" s="5" t="inlineStr">
        <x:is>
          <x:t xml:space="preserve">ER-141</x:t>
        </x:is>
      </x:c>
      <x:c r="C7" s="5" t="inlineStr">
        <x:is>
          <x:t xml:space="preserve">Population</x:t>
        </x:is>
      </x:c>
      <x:c r="D7" s="5" t="inlineStr">
        <x:is>
          <x:t xml:space="preserve">All Incidents Identified During the Review Period [INSERT EXAM PERIOD]</x:t>
        </x:is>
      </x:c>
      <x:c r="E7" s="5" t="inlineStr">
        <x:is>
          <x:t xml:space="preserve">REQ-50-HIPAA</x:t>
        </x:is>
      </x:c>
      <x:c r="F7" s="5" t="inlineStr">
        <x:is>
          <x:t xml:space="preserve">1561.11c1Organizational.4</x:t>
        </x:is>
      </x:c>
      <x:c r="G7" s="17" t="inlineStr">
        <x:is>
          <x:t xml:space="preserve">Many:1</x:t>
        </x:is>
      </x:c>
      <x:c r="H7" s="12">
        <x:f>COUNTIFS($E:$E,E7,$F:$F,F7)</x:f>
        <x:v>1</x:v>
      </x:c>
      <x:c r="I7" s="24" t="inlineStr">
        <x:is>
          <x:t xml:space="preserve">45 CFR § 164.308(a)(6)(ii); 45 CFR § 164.316(b)(1)</x:t>
        </x:is>
      </x:c>
      <x:c r="J7" s="24" t="inlineStr">
        <x:is>
          <x:t xml:space="preserve">Security Incident Procedures — Response and Reporting; Documentation</x:t>
        </x:is>
      </x:c>
      <x:c r="K7" s="24" t="inlineStr">
        <x:is>
          <x:t xml:space="preserve">Composite</x:t>
        </x:is>
      </x:c>
      <x:c r="L7" s="24" t="inlineStr">
        <x:is>
          <x:t xml:space="preserve">Incident tickets/population evidence show response/reporting activities and the required documentation of incidents and outcomes.</x:t>
        </x:is>
      </x:c>
      <x:c r="M7" s="24"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N7" s="24" t="inlineStr">
        <x:is>
          <x:t xml:space="preserve">Documentation is added because the evidence row is a ticket/log of incidents during the review period.</x:t>
        </x:is>
      </x:c>
    </x:row>
    <x:row r="8" ht="30" customHeight="1">
      <x:c r="A8" s="5" t="inlineStr">
        <x:is>
          <x:t xml:space="preserve">HITRUST e1.csv</x:t>
        </x:is>
      </x:c>
      <x:c r="B8" s="5" t="inlineStr">
        <x:is>
          <x:t xml:space="preserve">ER-141</x:t>
        </x:is>
      </x:c>
      <x:c r="C8" s="5" t="inlineStr">
        <x:is>
          <x:t xml:space="preserve">Population</x:t>
        </x:is>
      </x:c>
      <x:c r="D8" s="5" t="inlineStr">
        <x:is>
          <x:t xml:space="preserve">All Incidents Identified During the Review Period [INSERT EXAM PERIOD]</x:t>
        </x:is>
      </x:c>
      <x:c r="E8" s="5" t="inlineStr">
        <x:is>
          <x:t xml:space="preserve">REQ-995-HIPAA</x:t>
        </x:is>
      </x:c>
      <x:c r="F8" s="5" t="inlineStr">
        <x:is>
          <x:t xml:space="preserve">1561.11c1Organizational.4</x:t>
        </x:is>
      </x:c>
      <x:c r="G8" s="17" t="inlineStr">
        <x:is>
          <x:t xml:space="preserve">Many:1</x:t>
        </x:is>
      </x:c>
      <x:c r="H8" s="12">
        <x:f>COUNTIFS($E:$E,E8,$F:$F,F8)</x:f>
        <x:v>1</x:v>
      </x:c>
      <x:c r="I8" s="24" t="inlineStr">
        <x:is>
          <x:t xml:space="preserve">45 CFR § 164.308(a)(6)(ii); 45 CFR § 164.316(b)(1)</x:t>
        </x:is>
      </x:c>
      <x:c r="J8" s="24" t="inlineStr">
        <x:is>
          <x:t xml:space="preserve">Security Incident Procedures — Response and Reporting; Documentation</x:t>
        </x:is>
      </x:c>
      <x:c r="K8" s="24" t="inlineStr">
        <x:is>
          <x:t xml:space="preserve">Best-fit composite</x:t>
        </x:is>
      </x:c>
      <x:c r="L8" s="24" t="inlineStr">
        <x:is>
          <x:t xml:space="preserve">Generic population/evidence control used to show incidents and outcomes during the review period.</x:t>
        </x:is>
      </x:c>
      <x:c r="M8" s="24"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N8" s="24" t="inlineStr">
        <x:is>
          <x:t xml:space="preserve">Internal control is generic; citation follows the specific evidence row context.</x:t>
        </x:is>
      </x:c>
    </x:row>
    <x:row r="9" ht="30" customHeight="1">
      <x:c r="A9" s="5" t="inlineStr">
        <x:is>
          <x:t xml:space="preserve">HITRUST e1.csv</x:t>
        </x:is>
      </x:c>
      <x:c r="B9" s="5" t="inlineStr">
        <x:is>
          <x:t xml:space="preserve">ER-139</x:t>
        </x:is>
      </x:c>
      <x:c r="C9" s="5" t="inlineStr">
        <x:is>
          <x:t xml:space="preserve">Population</x:t>
        </x:is>
      </x:c>
      <x:c r="D9" s="5" t="inlineStr">
        <x:is>
          <x:t xml:space="preserve">All Software and Infrastructure Production Changes During the Review Period [INSERT EXAM PERIOD]</x:t>
        </x:is>
      </x:c>
      <x:c r="E9" s="5" t="inlineStr">
        <x:is>
          <x:t xml:space="preserve">REQ-55-HIPAA</x:t>
        </x:is>
      </x:c>
      <x:c r="F9" s="5" t="inlineStr">
        <x:is>
          <x:t xml:space="preserve">06.09b1System.2</x:t>
        </x:is>
      </x:c>
      <x:c r="G9" s="19" t="inlineStr">
        <x:is>
          <x:t xml:space="preserve">Many:Many</x:t>
        </x:is>
      </x:c>
      <x:c r="H9" s="12">
        <x:f>COUNTIFS($E:$E,E9,$F:$F,F9)</x:f>
        <x:v>2</x:v>
      </x:c>
      <x:c r="I9" s="24" t="inlineStr">
        <x:is>
          <x:t xml:space="preserve">45 CFR § 164.308(a)(8); 45 CFR § 164.316(b)(1)</x:t>
        </x:is>
      </x:c>
      <x:c r="J9" s="24" t="inlineStr">
        <x:is>
          <x:t xml:space="preserve">Evaluation; Documentation</x:t>
        </x:is>
      </x:c>
      <x:c r="K9" s="24" t="inlineStr">
        <x:is>
          <x:t xml:space="preserve">Best-fit composite</x:t>
        </x:is>
      </x:c>
      <x:c r="L9" s="24" t="inlineStr">
        <x:is>
          <x:t xml:space="preserve">Production-change tickets/population evidence are not a named HIPAA specification, but they are strong evidence of evaluating and documenting operational changes affecting ePHI safeguards.</x:t>
        </x:is>
      </x:c>
      <x:c r="M9"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9" s="24" t="inlineStr">
        <x:is>
          <x:t xml:space="preserve">Best-fit evidence mapping; HIPAA does not mandate a particular ticketing mechanism.</x:t>
        </x:is>
      </x:c>
    </x:row>
    <x:row r="10" ht="30" customHeight="1">
      <x:c r="A10" s="5" t="inlineStr">
        <x:is>
          <x:t xml:space="preserve">HITRUST e1.csv</x:t>
        </x:is>
      </x:c>
      <x:c r="B10" s="5" t="inlineStr">
        <x:is>
          <x:t xml:space="preserve">ER-139</x:t>
        </x:is>
      </x:c>
      <x:c r="C10" s="5" t="inlineStr">
        <x:is>
          <x:t xml:space="preserve">Population</x:t>
        </x:is>
      </x:c>
      <x:c r="D10" s="5" t="inlineStr">
        <x:is>
          <x:t xml:space="preserve">All Software and Infrastructure Production Changes During the Review Period [INSERT EXAM PERIOD]</x:t>
        </x:is>
      </x:c>
      <x:c r="E10" s="5" t="inlineStr">
        <x:is>
          <x:t xml:space="preserve">REQ-55-HIPAA</x:t>
        </x:is>
      </x:c>
      <x:c r="F10" s="5" t="inlineStr">
        <x:is>
          <x:t xml:space="preserve">1704.03b1Organizational.12</x:t>
        </x:is>
      </x:c>
      <x:c r="G10" s="19" t="inlineStr">
        <x:is>
          <x:t xml:space="preserve">Many:Many</x:t>
        </x:is>
      </x:c>
      <x:c r="H10" s="12">
        <x:f>COUNTIFS($E:$E,E10,$F:$F,F10)</x:f>
        <x:v>1</x:v>
      </x:c>
      <x:c r="I10" s="24" t="inlineStr">
        <x:is>
          <x:t xml:space="preserve">45 CFR § 164.308(a)(8); 45 CFR § 164.316(b)(1)</x:t>
        </x:is>
      </x:c>
      <x:c r="J10" s="24" t="inlineStr">
        <x:is>
          <x:t xml:space="preserve">Evaluation; Documentation</x:t>
        </x:is>
      </x:c>
      <x:c r="K10" s="24" t="inlineStr">
        <x:is>
          <x:t xml:space="preserve">Best-fit composite</x:t>
        </x:is>
      </x:c>
      <x:c r="L10" s="24" t="inlineStr">
        <x:is>
          <x:t xml:space="preserve">Production-change tickets/population evidence are not a named HIPAA specification, but they are strong evidence of evaluating and documenting operational changes affecting ePHI safeguards.</x:t>
        </x:is>
      </x:c>
      <x:c r="M10"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0" s="24" t="inlineStr">
        <x:is>
          <x:t xml:space="preserve">Best-fit evidence mapping; HIPAA does not mandate a particular ticketing mechanism.</x:t>
        </x:is>
      </x:c>
    </x:row>
    <x:row r="11" ht="30" customHeight="1">
      <x:c r="A11" s="5" t="inlineStr">
        <x:is>
          <x:t xml:space="preserve">HITRUST e1.csv</x:t>
        </x:is>
      </x:c>
      <x:c r="B11" s="5" t="inlineStr">
        <x:is>
          <x:t xml:space="preserve">ER-139</x:t>
        </x:is>
      </x:c>
      <x:c r="C11" s="5" t="inlineStr">
        <x:is>
          <x:t xml:space="preserve">Population</x:t>
        </x:is>
      </x:c>
      <x:c r="D11" s="5" t="inlineStr">
        <x:is>
          <x:t xml:space="preserve">All Software and Infrastructure Production Changes During the Review Period [INSERT EXAM PERIOD]</x:t>
        </x:is>
      </x:c>
      <x:c r="E11" s="5" t="inlineStr">
        <x:is>
          <x:t xml:space="preserve">REQ-995-HIPAA</x:t>
        </x:is>
      </x:c>
      <x:c r="F11" s="5" t="inlineStr">
        <x:is>
          <x:t xml:space="preserve">06.09b1System.2</x:t>
        </x:is>
      </x:c>
      <x:c r="G11" s="19" t="inlineStr">
        <x:is>
          <x:t xml:space="preserve">Many:Many</x:t>
        </x:is>
      </x:c>
      <x:c r="H11" s="12">
        <x:f>COUNTIFS($E:$E,E11,$F:$F,F11)</x:f>
        <x:v>1</x:v>
      </x:c>
      <x:c r="I11" s="24" t="inlineStr">
        <x:is>
          <x:t xml:space="preserve">45 CFR § 164.308(a)(8); 45 CFR § 164.316(b)(1)</x:t>
        </x:is>
      </x:c>
      <x:c r="J11" s="24" t="inlineStr">
        <x:is>
          <x:t xml:space="preserve">Evaluation; Documentation</x:t>
        </x:is>
      </x:c>
      <x:c r="K11" s="24" t="inlineStr">
        <x:is>
          <x:t xml:space="preserve">Best-fit composite</x:t>
        </x:is>
      </x:c>
      <x:c r="L11" s="24" t="inlineStr">
        <x:is>
          <x:t xml:space="preserve">Generic population/evidence control used to show production changes during the review period.</x:t>
        </x:is>
      </x:c>
      <x:c r="M11"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1" s="24" t="inlineStr">
        <x:is>
          <x:t xml:space="preserve">Internal control is generic; citation follows the specific evidence row context.</x:t>
        </x:is>
      </x:c>
    </x:row>
    <x:row r="12" ht="30" customHeight="1">
      <x:c r="A12" s="5" t="inlineStr">
        <x:is>
          <x:t xml:space="preserve">HITRUST e1.csv</x:t>
        </x:is>
      </x:c>
      <x:c r="B12" s="5" t="inlineStr">
        <x:is>
          <x:t xml:space="preserve">ER-139</x:t>
        </x:is>
      </x:c>
      <x:c r="C12" s="5" t="inlineStr">
        <x:is>
          <x:t xml:space="preserve">Population</x:t>
        </x:is>
      </x:c>
      <x:c r="D12" s="5" t="inlineStr">
        <x:is>
          <x:t xml:space="preserve">All Software and Infrastructure Production Changes During the Review Period [INSERT EXAM PERIOD]</x:t>
        </x:is>
      </x:c>
      <x:c r="E12" s="5" t="inlineStr">
        <x:is>
          <x:t xml:space="preserve">REQ-995-HIPAA</x:t>
        </x:is>
      </x:c>
      <x:c r="F12" s="5" t="inlineStr">
        <x:is>
          <x:t xml:space="preserve">1704.03b1Organizational.12</x:t>
        </x:is>
      </x:c>
      <x:c r="G12" s="19" t="inlineStr">
        <x:is>
          <x:t xml:space="preserve">Many:Many</x:t>
        </x:is>
      </x:c>
      <x:c r="H12" s="12">
        <x:f>COUNTIFS($E:$E,E12,$F:$F,F12)</x:f>
        <x:v>1</x:v>
      </x:c>
      <x:c r="I12" s="24" t="inlineStr">
        <x:is>
          <x:t xml:space="preserve">45 CFR § 164.308(a)(8); 45 CFR § 164.316(b)(1)</x:t>
        </x:is>
      </x:c>
      <x:c r="J12" s="24" t="inlineStr">
        <x:is>
          <x:t xml:space="preserve">Evaluation; Documentation</x:t>
        </x:is>
      </x:c>
      <x:c r="K12" s="24" t="inlineStr">
        <x:is>
          <x:t xml:space="preserve">Best-fit composite</x:t>
        </x:is>
      </x:c>
      <x:c r="L12" s="24" t="inlineStr">
        <x:is>
          <x:t xml:space="preserve">Generic population/evidence control used to show production changes during the review period.</x:t>
        </x:is>
      </x:c>
      <x:c r="M12"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2" s="24" t="inlineStr">
        <x:is>
          <x:t xml:space="preserve">Internal control is generic; citation follows the specific evidence row context.</x:t>
        </x:is>
      </x:c>
    </x:row>
    <x:row r="13" ht="30" customHeight="1">
      <x:c r="A13" s="5" t="inlineStr">
        <x:is>
          <x:t xml:space="preserve">HITRUST e1.csv</x:t>
        </x:is>
      </x:c>
      <x:c r="B13" s="5" t="inlineStr">
        <x:is>
          <x:t xml:space="preserve">ER-136</x:t>
        </x:is>
      </x:c>
      <x:c r="C13" s="5" t="inlineStr">
        <x:is>
          <x:t xml:space="preserve">Population</x:t>
        </x:is>
      </x:c>
      <x:c r="D13" s="5" t="inlineStr">
        <x:is>
          <x:t xml:space="preserve">All Terminated Employees During the Review Period [INSERT EXAM PERIOD]</x:t>
        </x:is>
      </x:c>
      <x:c r="E13" s="5" t="inlineStr">
        <x:is>
          <x:t xml:space="preserve">REQ-31-HIPAA</x:t>
        </x:is>
      </x:c>
      <x:c r="F13" s="5" t="inlineStr">
        <x:is>
          <x:t xml:space="preserve">11143.02i1Organizational.3</x:t>
        </x:is>
      </x:c>
      <x:c r="G13" s="17" t="inlineStr">
        <x:is>
          <x:t xml:space="preserve">Many:1</x:t>
        </x:is>
      </x:c>
      <x:c r="H13" s="12">
        <x:f>COUNTIFS($E:$E,E13,$F:$F,F13)</x:f>
        <x:v>2</x:v>
      </x:c>
      <x:c r="I13" s="24" t="inlineStr">
        <x:is>
          <x:t xml:space="preserve">45 CFR § 164.308(a)(3)(ii)(C); 45 CFR § 164.316(b)(1)</x:t>
        </x:is>
      </x:c>
      <x:c r="J13" s="24" t="inlineStr">
        <x:is>
          <x:t xml:space="preserve">Workforce Security — Termination Procedures; Documentation</x:t>
        </x:is>
      </x:c>
      <x:c r="K13" s="24" t="inlineStr">
        <x:is>
          <x:t xml:space="preserve">Composite</x:t>
        </x:is>
      </x:c>
      <x:c r="L13" s="24" t="inlineStr">
        <x:is>
          <x:t xml:space="preserve">Termination tickets/population evidence align directly to terminating access and documenting the action taken.</x:t>
        </x:is>
      </x:c>
      <x:c r="M13" s="24"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N13" s="24" t="inlineStr">
        <x:is>
          <x:t xml:space="preserve">Documentation is added because the row is explicit evidence that access-removal events were carried out and recorded.</x:t>
        </x:is>
      </x:c>
    </x:row>
    <x:row r="14" ht="30" customHeight="1">
      <x:c r="A14" s="5" t="inlineStr">
        <x:is>
          <x:t xml:space="preserve">HITRUST e1.csv</x:t>
        </x:is>
      </x:c>
      <x:c r="B14" s="5" t="inlineStr">
        <x:is>
          <x:t xml:space="preserve">ER-136</x:t>
        </x:is>
      </x:c>
      <x:c r="C14" s="5" t="inlineStr">
        <x:is>
          <x:t xml:space="preserve">Population</x:t>
        </x:is>
      </x:c>
      <x:c r="D14" s="5" t="inlineStr">
        <x:is>
          <x:t xml:space="preserve">All Terminated Employees During the Review Period [INSERT EXAM PERIOD]</x:t>
        </x:is>
      </x:c>
      <x:c r="E14" s="5" t="inlineStr">
        <x:is>
          <x:t xml:space="preserve">REQ-995-HIPAA</x:t>
        </x:is>
      </x:c>
      <x:c r="F14" s="5" t="inlineStr">
        <x:is>
          <x:t xml:space="preserve">11143.02i1Organizational.3</x:t>
        </x:is>
      </x:c>
      <x:c r="G14" s="17" t="inlineStr">
        <x:is>
          <x:t xml:space="preserve">Many:1</x:t>
        </x:is>
      </x:c>
      <x:c r="H14" s="12">
        <x:f>COUNTIFS($E:$E,E14,$F:$F,F14)</x:f>
        <x:v>1</x:v>
      </x:c>
      <x:c r="I14" s="24" t="inlineStr">
        <x:is>
          <x:t xml:space="preserve">45 CFR § 164.308(a)(3)(ii)(C); 45 CFR § 164.316(b)(1)</x:t>
        </x:is>
      </x:c>
      <x:c r="J14" s="24" t="inlineStr">
        <x:is>
          <x:t xml:space="preserve">Workforce Security — Termination Procedures; Documentation</x:t>
        </x:is>
      </x:c>
      <x:c r="K14" s="24" t="inlineStr">
        <x:is>
          <x:t xml:space="preserve">Best-fit composite</x:t>
        </x:is>
      </x:c>
      <x:c r="L14" s="24" t="inlineStr">
        <x:is>
          <x:t xml:space="preserve">Generic population/evidence control used to show termination-related access removals during the review period.</x:t>
        </x:is>
      </x:c>
      <x:c r="M14" s="24"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N14" s="24" t="inlineStr">
        <x:is>
          <x:t xml:space="preserve">Internal control is generic; citation follows the specific evidence row context.</x:t>
        </x:is>
      </x:c>
    </x:row>
    <x:row r="15" ht="30" customHeight="1">
      <x:c r="A15" s="5" t="inlineStr">
        <x:is>
          <x:t xml:space="preserve">HITRUST e1.csv</x:t>
        </x:is>
      </x:c>
      <x:c r="B15" s="5" t="inlineStr">
        <x:is>
          <x:t xml:space="preserve">ER-18</x:t>
        </x:is>
      </x:c>
      <x:c r="C15" s="5" t="inlineStr">
        <x:is>
          <x:t xml:space="preserve">Configuration</x:t>
        </x:is>
      </x:c>
      <x:c r="D15" s="5" t="inlineStr">
        <x:is>
          <x:t xml:space="preserve">Anti-malware and Alerts</x:t>
        </x:is>
      </x:c>
      <x:c r="E15" s="5" t="inlineStr">
        <x:is>
          <x:t xml:space="preserve">REQ-38-HIPAA</x:t>
        </x:is>
      </x:c>
      <x:c r="F15" s="5" t="inlineStr">
        <x:is>
          <x:t xml:space="preserve">0207.09j1Organizational.6</x:t>
        </x:is>
      </x:c>
      <x:c r="G15" s="20" t="inlineStr">
        <x:is>
          <x:t xml:space="preserve">1:Many</x:t>
        </x:is>
      </x:c>
      <x:c r="H15" s="12">
        <x:f>COUNTIFS($E:$E,E15,$F:$F,F15)</x:f>
        <x:v>1</x:v>
      </x:c>
      <x:c r="I15" s="24" t="inlineStr">
        <x:is>
          <x:t xml:space="preserve">45 CFR § 164.308(a)(5)(ii)(B)</x:t>
        </x:is>
      </x:c>
      <x:c r="J15" s="24" t="inlineStr">
        <x:is>
          <x:t xml:space="preserve">Security Awareness and Training — Protection from Malicious Software</x:t>
        </x:is>
      </x:c>
      <x:c r="K15" s="24" t="inlineStr">
        <x:is>
          <x:t xml:space="preserve">Direct</x:t>
        </x:is>
      </x:c>
      <x:c r="L15" s="24" t="inlineStr">
        <x:is>
          <x:t xml:space="preserve">Anti-malware evidence aligns directly to guarding against, detecting, and reporting malicious software.</x:t>
        </x:is>
      </x:c>
      <x:c r="M15"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5" s="24" t="inlineStr">
        <x:is>
          <x:t xml:space="preserve">Alerts are treated as part of guarding against/detecting malicious software.</x:t>
        </x:is>
      </x:c>
    </x:row>
    <x:row r="16" ht="30" customHeight="1">
      <x:c r="A16" s="5" t="inlineStr">
        <x:is>
          <x:t xml:space="preserve">HITRUST e1.csv</x:t>
        </x:is>
      </x:c>
      <x:c r="B16" s="5" t="inlineStr">
        <x:is>
          <x:t xml:space="preserve">ER-18</x:t>
        </x:is>
      </x:c>
      <x:c r="C16" s="5" t="inlineStr">
        <x:is>
          <x:t xml:space="preserve">Configuration</x:t>
        </x:is>
      </x:c>
      <x:c r="D16" s="5" t="inlineStr">
        <x:is>
          <x:t xml:space="preserve">Anti-malware and Alerts</x:t>
        </x:is>
      </x:c>
      <x:c r="E16" s="5" t="inlineStr">
        <x:is>
          <x:t xml:space="preserve">REQ-38-HIPAA</x:t>
        </x:is>
      </x:c>
      <x:c r="F16" s="5" t="inlineStr">
        <x:is>
          <x:t xml:space="preserve">0226.09k1Organizational.2</x:t>
        </x:is>
      </x:c>
      <x:c r="G16" s="20" t="inlineStr">
        <x:is>
          <x:t xml:space="preserve">1:Many</x:t>
        </x:is>
      </x:c>
      <x:c r="H16" s="12">
        <x:f>COUNTIFS($E:$E,E16,$F:$F,F16)</x:f>
        <x:v>1</x:v>
      </x:c>
      <x:c r="I16" s="24" t="inlineStr">
        <x:is>
          <x:t xml:space="preserve">45 CFR § 164.308(a)(5)(ii)(B)</x:t>
        </x:is>
      </x:c>
      <x:c r="J16" s="24" t="inlineStr">
        <x:is>
          <x:t xml:space="preserve">Security Awareness and Training — Protection from Malicious Software</x:t>
        </x:is>
      </x:c>
      <x:c r="K16" s="24" t="inlineStr">
        <x:is>
          <x:t xml:space="preserve">Direct</x:t>
        </x:is>
      </x:c>
      <x:c r="L16" s="24" t="inlineStr">
        <x:is>
          <x:t xml:space="preserve">Anti-malware evidence aligns directly to guarding against, detecting, and reporting malicious software.</x:t>
        </x:is>
      </x:c>
      <x:c r="M16"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6" s="24" t="inlineStr">
        <x:is>
          <x:t xml:space="preserve">Alerts are treated as part of guarding against/detecting malicious software.</x:t>
        </x:is>
      </x:c>
    </x:row>
    <x:row r="17" ht="30" customHeight="1">
      <x:c r="A17" s="5" t="inlineStr">
        <x:is>
          <x:t xml:space="preserve">HITRUST e1.csv</x:t>
        </x:is>
      </x:c>
      <x:c r="B17" s="5" t="inlineStr">
        <x:is>
          <x:t xml:space="preserve">ER-18</x:t>
        </x:is>
      </x:c>
      <x:c r="C17" s="5" t="inlineStr">
        <x:is>
          <x:t xml:space="preserve">Configuration</x:t>
        </x:is>
      </x:c>
      <x:c r="D17" s="5" t="inlineStr">
        <x:is>
          <x:t xml:space="preserve">Anti-malware and Alerts</x:t>
        </x:is>
      </x:c>
      <x:c r="E17" s="5" t="inlineStr">
        <x:is>
          <x:t xml:space="preserve">REQ-38-HIPAA</x:t>
        </x:is>
      </x:c>
      <x:c r="F17" s="5" t="inlineStr">
        <x:is>
          <x:t xml:space="preserve">02962.09j1Organizational.5</x:t>
        </x:is>
      </x:c>
      <x:c r="G17" s="20" t="inlineStr">
        <x:is>
          <x:t xml:space="preserve">1:Many</x:t>
        </x:is>
      </x:c>
      <x:c r="H17" s="12">
        <x:f>COUNTIFS($E:$E,E17,$F:$F,F17)</x:f>
        <x:v>1</x:v>
      </x:c>
      <x:c r="I17" s="24" t="inlineStr">
        <x:is>
          <x:t xml:space="preserve">45 CFR § 164.308(a)(5)(ii)(B)</x:t>
        </x:is>
      </x:c>
      <x:c r="J17" s="24" t="inlineStr">
        <x:is>
          <x:t xml:space="preserve">Security Awareness and Training — Protection from Malicious Software</x:t>
        </x:is>
      </x:c>
      <x:c r="K17" s="24" t="inlineStr">
        <x:is>
          <x:t xml:space="preserve">Direct</x:t>
        </x:is>
      </x:c>
      <x:c r="L17" s="24" t="inlineStr">
        <x:is>
          <x:t xml:space="preserve">Anti-malware evidence aligns directly to guarding against, detecting, and reporting malicious software.</x:t>
        </x:is>
      </x:c>
      <x:c r="M17"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7" s="24" t="inlineStr">
        <x:is>
          <x:t xml:space="preserve">Alerts are treated as part of guarding against/detecting malicious software.</x:t>
        </x:is>
      </x:c>
    </x:row>
    <x:row r="18" ht="30" customHeight="1">
      <x:c r="A18" s="5" t="inlineStr">
        <x:is>
          <x:t xml:space="preserve">HITRUST e1.csv</x:t>
        </x:is>
      </x:c>
      <x:c r="B18" s="5" t="inlineStr">
        <x:is>
          <x:t xml:space="preserve">ER-18</x:t>
        </x:is>
      </x:c>
      <x:c r="C18" s="5" t="inlineStr">
        <x:is>
          <x:t xml:space="preserve">Configuration</x:t>
        </x:is>
      </x:c>
      <x:c r="D18" s="5" t="inlineStr">
        <x:is>
          <x:t xml:space="preserve">Anti-malware and Alerts</x:t>
        </x:is>
      </x:c>
      <x:c r="E18" s="5" t="inlineStr">
        <x:is>
          <x:t xml:space="preserve">REQ-38-HIPAA</x:t>
        </x:is>
      </x:c>
      <x:c r="F18" s="5" t="inlineStr">
        <x:is>
          <x:t xml:space="preserve">08.09m1Organizational.8</x:t>
        </x:is>
      </x:c>
      <x:c r="G18" s="20" t="inlineStr">
        <x:is>
          <x:t xml:space="preserve">1:Many</x:t>
        </x:is>
      </x:c>
      <x:c r="H18" s="12">
        <x:f>COUNTIFS($E:$E,E18,$F:$F,F18)</x:f>
        <x:v>1</x:v>
      </x:c>
      <x:c r="I18" s="24" t="inlineStr">
        <x:is>
          <x:t xml:space="preserve">45 CFR § 164.308(a)(5)(ii)(B)</x:t>
        </x:is>
      </x:c>
      <x:c r="J18" s="24" t="inlineStr">
        <x:is>
          <x:t xml:space="preserve">Security Awareness and Training — Protection from Malicious Software</x:t>
        </x:is>
      </x:c>
      <x:c r="K18" s="24" t="inlineStr">
        <x:is>
          <x:t xml:space="preserve">Direct</x:t>
        </x:is>
      </x:c>
      <x:c r="L18" s="24" t="inlineStr">
        <x:is>
          <x:t xml:space="preserve">Anti-malware evidence aligns directly to guarding against, detecting, and reporting malicious software.</x:t>
        </x:is>
      </x:c>
      <x:c r="M18"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8" s="24" t="inlineStr">
        <x:is>
          <x:t xml:space="preserve">Alerts are treated as part of guarding against/detecting malicious software.</x:t>
        </x:is>
      </x:c>
    </x:row>
    <x:row r="19" ht="30" customHeight="1">
      <x:c r="A19" s="5" t="inlineStr">
        <x:is>
          <x:t xml:space="preserve">HIPAA Security.csv</x:t>
        </x:is>
      </x:c>
      <x:c r="B19" s="5" t="inlineStr">
        <x:is>
          <x:t xml:space="preserve">ER-271</x:t>
        </x:is>
      </x:c>
      <x:c r="C19" s="5" t="inlineStr">
        <x:is>
          <x:t xml:space="preserve">Operational</x:t>
        </x:is>
      </x:c>
      <x:c r="D19" s="5" t="inlineStr">
        <x:is>
          <x:t xml:space="preserve">Asset Custody Log</x:t>
        </x:is>
      </x:c>
      <x:c r="E19" s="5" t="inlineStr">
        <x:is>
          <x:t xml:space="preserve">REQ-109-HIPAA</x:t>
        </x:is>
      </x:c>
      <x:c r="F19" s="5" t="inlineStr">
        <x:is>
          <x:t xml:space="preserve">0701.07a1Organizational.8</x:t>
        </x:is>
      </x:c>
      <x:c r="G19" s="20" t="inlineStr">
        <x:is>
          <x:t xml:space="preserve">1:Many</x:t>
        </x:is>
      </x:c>
      <x:c r="H19" s="12">
        <x:f>COUNTIFS($E:$E,E19,$F:$F,F19)</x:f>
        <x:v>1</x:v>
      </x:c>
      <x:c r="I19" s="24" t="inlineStr">
        <x:is>
          <x:t xml:space="preserve">45 CFR § 164.310(d)(2)(iii)</x:t>
        </x:is>
      </x:c>
      <x:c r="J19" s="24" t="inlineStr">
        <x:is>
          <x:t xml:space="preserve">Device and Media Controls — Accountability</x:t>
        </x:is>
      </x:c>
      <x:c r="K19" s="24" t="inlineStr">
        <x:is>
          <x:t xml:space="preserve">Direct</x:t>
        </x:is>
      </x:c>
      <x:c r="L19" s="24" t="inlineStr">
        <x:is>
          <x:t xml:space="preserve">Asset custody logs align directly to maintaining a record of the movements of hardware/electronic media and the person responsible.</x:t>
        </x:is>
      </x:c>
      <x:c r="M19" s="24"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N19" s="24" t="inlineStr">
        <x:is>
          <x:t xml:space="preserve">Used for custody/chain-of-responsibility evidence.</x:t>
        </x:is>
      </x:c>
    </x:row>
    <x:row r="20" ht="30" customHeight="1">
      <x:c r="A20" s="5" t="inlineStr">
        <x:is>
          <x:t xml:space="preserve">HIPAA Security.csv</x:t>
        </x:is>
      </x:c>
      <x:c r="B20" s="5" t="inlineStr">
        <x:is>
          <x:t xml:space="preserve">ER-271</x:t>
        </x:is>
      </x:c>
      <x:c r="C20" s="5" t="inlineStr">
        <x:is>
          <x:t xml:space="preserve">Operational</x:t>
        </x:is>
      </x:c>
      <x:c r="D20" s="5" t="inlineStr">
        <x:is>
          <x:t xml:space="preserve">Asset Custody Log</x:t>
        </x:is>
      </x:c>
      <x:c r="E20" s="5" t="inlineStr">
        <x:is>
          <x:t xml:space="preserve">REQ-109-HIPAA</x:t>
        </x:is>
      </x:c>
      <x:c r="F20" s="5" t="inlineStr">
        <x:is>
          <x:t xml:space="preserve">0704.07a1Organizational.8</x:t>
        </x:is>
      </x:c>
      <x:c r="G20" s="20" t="inlineStr">
        <x:is>
          <x:t xml:space="preserve">1:Many</x:t>
        </x:is>
      </x:c>
      <x:c r="H20" s="12">
        <x:f>COUNTIFS($E:$E,E20,$F:$F,F20)</x:f>
        <x:v>1</x:v>
      </x:c>
      <x:c r="I20" s="24" t="inlineStr">
        <x:is>
          <x:t xml:space="preserve">45 CFR § 164.310(d)(2)(iii)</x:t>
        </x:is>
      </x:c>
      <x:c r="J20" s="24" t="inlineStr">
        <x:is>
          <x:t xml:space="preserve">Device and Media Controls — Accountability</x:t>
        </x:is>
      </x:c>
      <x:c r="K20" s="24" t="inlineStr">
        <x:is>
          <x:t xml:space="preserve">Direct</x:t>
        </x:is>
      </x:c>
      <x:c r="L20" s="24" t="inlineStr">
        <x:is>
          <x:t xml:space="preserve">Asset custody logs align directly to maintaining a record of the movements of hardware/electronic media and the person responsible.</x:t>
        </x:is>
      </x:c>
      <x:c r="M20" s="24"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N20" s="24" t="inlineStr">
        <x:is>
          <x:t xml:space="preserve">Used for custody/chain-of-responsibility evidence.</x:t>
        </x:is>
      </x:c>
    </x:row>
    <x:row r="21" ht="30" customHeight="1">
      <x:c r="A21" s="5" t="inlineStr">
        <x:is>
          <x:t xml:space="preserve">HITRUST e1.csv</x:t>
        </x:is>
      </x:c>
      <x:c r="B21" s="5" t="inlineStr">
        <x:is>
          <x:t xml:space="preserve">ER-115</x:t>
        </x:is>
      </x:c>
      <x:c r="C21" s="5" t="inlineStr">
        <x:is>
          <x:t xml:space="preserve">Policy</x:t>
        </x:is>
      </x:c>
      <x:c r="D21" s="5" t="inlineStr">
        <x:is>
          <x:t xml:space="preserve">Backups</x:t>
        </x:is>
      </x:c>
      <x:c r="E21" s="5" t="inlineStr">
        <x:is>
          <x:t xml:space="preserve">REQ-60-HIPAA</x:t>
        </x:is>
      </x:c>
      <x:c r="F21" s="5" t="inlineStr">
        <x:is>
          <x:t xml:space="preserve">1616.09l1Organizational.16</x:t>
        </x:is>
      </x:c>
      <x:c r="G21" s="17" t="inlineStr">
        <x:is>
          <x:t xml:space="preserve">Many:1</x:t>
        </x:is>
      </x:c>
      <x:c r="H21" s="12">
        <x:f>COUNTIFS($E:$E,E21,$F:$F,F21)</x:f>
        <x:v>1</x:v>
      </x:c>
      <x:c r="I21" s="24" t="inlineStr">
        <x:is>
          <x:t xml:space="preserve">45 CFR § 164.308(a)(7)(ii)(A)</x:t>
        </x:is>
      </x:c>
      <x:c r="J21" s="24" t="inlineStr">
        <x:is>
          <x:t xml:space="preserve">Contingency Plan — Data Backup Plan</x:t>
        </x:is>
      </x:c>
      <x:c r="K21" s="24" t="inlineStr">
        <x:is>
          <x:t xml:space="preserve">Direct</x:t>
        </x:is>
      </x:c>
      <x:c r="L21" s="24" t="inlineStr">
        <x:is>
          <x:t xml:space="preserve">Backup policy aligns directly to creation and maintenance of retrievable exact copies of ePHI.</x:t>
        </x:is>
      </x:c>
      <x:c r="M21"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1" s="24" t="inlineStr">
        <x:is>
          <x:t xml:space="preserve">Used for backup-policy rows.</x:t>
        </x:is>
      </x:c>
    </x:row>
    <x:row r="22" ht="30" customHeight="1">
      <x:c r="A22" s="5" t="inlineStr">
        <x:is>
          <x:t xml:space="preserve">HITRUST e1.csv</x:t>
        </x:is>
      </x:c>
      <x:c r="B22" s="5" t="inlineStr">
        <x:is>
          <x:t xml:space="preserve">ER-115</x:t>
        </x:is>
      </x:c>
      <x:c r="C22" s="5" t="inlineStr">
        <x:is>
          <x:t xml:space="preserve">Policy</x:t>
        </x:is>
      </x:c>
      <x:c r="D22" s="5" t="inlineStr">
        <x:is>
          <x:t xml:space="preserve">Backups</x:t>
        </x:is>
      </x:c>
      <x:c r="E22" s="5" t="inlineStr">
        <x:is>
          <x:t xml:space="preserve">REQ-61-HIPAA</x:t>
        </x:is>
      </x:c>
      <x:c r="F22" s="5" t="inlineStr">
        <x:is>
          <x:t xml:space="preserve">1616.09l1Organizational.16</x:t>
        </x:is>
      </x:c>
      <x:c r="G22" s="17" t="inlineStr">
        <x:is>
          <x:t xml:space="preserve">Many:1</x:t>
        </x:is>
      </x:c>
      <x:c r="H22" s="12">
        <x:f>COUNTIFS($E:$E,E22,$F:$F,F22)</x:f>
        <x:v>2</x:v>
      </x:c>
      <x:c r="I22" s="24" t="inlineStr">
        <x:is>
          <x:t xml:space="preserve">45 CFR § 164.308(a)(7)(ii)(A); 45 CFR § 164.308(a)(7)(ii)(D)</x:t>
        </x:is>
      </x:c>
      <x:c r="J22" s="24" t="inlineStr">
        <x:is>
          <x:t xml:space="preserve">Contingency Plan — Data Backup Plan; Contingency Plan — Testing and Revision Procedure</x:t>
        </x:is>
      </x:c>
      <x:c r="K22" s="24" t="inlineStr">
        <x:is>
          <x:t xml:space="preserve">Composite</x:t>
        </x:is>
      </x:c>
      <x:c r="L22" s="24" t="inlineStr">
        <x:is>
          <x:t xml:space="preserve">This internal control appears on general backup-policy rows and explicit backup-test rows, so both backup-plan and test/revision citations are included.</x:t>
        </x:is>
      </x:c>
      <x:c r="M22"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2" s="24" t="inlineStr">
        <x:is>
          <x:t xml:space="preserve">Broader than a single implementation specification because the source spreadsheet uses the same control across planning and testing evidence.</x:t>
        </x:is>
      </x:c>
    </x:row>
    <x:row r="23" ht="30" customHeight="1">
      <x:c r="A23" s="5" t="inlineStr">
        <x:is>
          <x:t xml:space="preserve">HITRUST e1.csv</x:t>
        </x:is>
      </x:c>
      <x:c r="B23" s="5" t="inlineStr">
        <x:is>
          <x:t xml:space="preserve">ER-114</x:t>
        </x:is>
      </x:c>
      <x:c r="C23" s="5" t="inlineStr">
        <x:is>
          <x:t xml:space="preserve">Configuration</x:t>
        </x:is>
      </x:c>
      <x:c r="D23" s="5" t="inlineStr">
        <x:is>
          <x:t xml:space="preserve">Backups and Schedules</x:t>
        </x:is>
      </x:c>
      <x:c r="E23" s="5" t="inlineStr">
        <x:is>
          <x:t xml:space="preserve">REQ-62-HIPAA</x:t>
        </x:is>
      </x:c>
      <x:c r="F23" s="5" t="inlineStr">
        <x:is>
          <x:t xml:space="preserve">16.09l1Organizational.4</x:t>
        </x:is>
      </x:c>
      <x:c r="G23" s="19" t="inlineStr">
        <x:is>
          <x:t xml:space="preserve">Many:Many</x:t>
        </x:is>
      </x:c>
      <x:c r="H23" s="12">
        <x:f>COUNTIFS($E:$E,E23,$F:$F,F23)</x:f>
        <x:v>1</x:v>
      </x:c>
      <x:c r="I23" s="24" t="inlineStr">
        <x:is>
          <x:t xml:space="preserve">45 CFR § 164.308(a)(7)(ii)(A)</x:t>
        </x:is>
      </x:c>
      <x:c r="J23" s="24" t="inlineStr">
        <x:is>
          <x:t xml:space="preserve">Contingency Plan — Data Backup Plan</x:t>
        </x:is>
      </x:c>
      <x:c r="K23" s="24" t="inlineStr">
        <x:is>
          <x:t xml:space="preserve">Direct</x:t>
        </x:is>
      </x:c>
      <x:c r="L23" s="24" t="inlineStr">
        <x:is>
          <x:t xml:space="preserve">Backup schedules most directly align to maintaining retrievable exact copies of ePHI.</x:t>
        </x:is>
      </x:c>
      <x:c r="M23"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3" s="24" t="inlineStr">
        <x:is>
          <x:t xml:space="preserve">Used for backup schedule evidence.</x:t>
        </x:is>
      </x:c>
    </x:row>
    <x:row r="24" ht="30" customHeight="1">
      <x:c r="A24" s="5" t="inlineStr">
        <x:is>
          <x:t xml:space="preserve">HITRUST e1.csv</x:t>
        </x:is>
      </x:c>
      <x:c r="B24" s="5" t="inlineStr">
        <x:is>
          <x:t xml:space="preserve">ER-114</x:t>
        </x:is>
      </x:c>
      <x:c r="C24" s="5" t="inlineStr">
        <x:is>
          <x:t xml:space="preserve">Configuration</x:t>
        </x:is>
      </x:c>
      <x:c r="D24" s="5" t="inlineStr">
        <x:is>
          <x:t xml:space="preserve">Backups and Schedules</x:t>
        </x:is>
      </x:c>
      <x:c r="E24" s="5" t="inlineStr">
        <x:is>
          <x:t xml:space="preserve">REQ-62-HIPAA</x:t>
        </x:is>
      </x:c>
      <x:c r="F24" s="5" t="inlineStr">
        <x:is>
          <x:t xml:space="preserve">1616.09l1Organizational.16</x:t>
        </x:is>
      </x:c>
      <x:c r="G24" s="19" t="inlineStr">
        <x:is>
          <x:t xml:space="preserve">Many:Many</x:t>
        </x:is>
      </x:c>
      <x:c r="H24" s="12">
        <x:f>COUNTIFS($E:$E,E24,$F:$F,F24)</x:f>
        <x:v>1</x:v>
      </x:c>
      <x:c r="I24" s="24" t="inlineStr">
        <x:is>
          <x:t xml:space="preserve">45 CFR § 164.308(a)(7)(ii)(A)</x:t>
        </x:is>
      </x:c>
      <x:c r="J24" s="24" t="inlineStr">
        <x:is>
          <x:t xml:space="preserve">Contingency Plan — Data Backup Plan</x:t>
        </x:is>
      </x:c>
      <x:c r="K24" s="24" t="inlineStr">
        <x:is>
          <x:t xml:space="preserve">Direct</x:t>
        </x:is>
      </x:c>
      <x:c r="L24" s="24" t="inlineStr">
        <x:is>
          <x:t xml:space="preserve">Backup schedules most directly align to maintaining retrievable exact copies of ePHI.</x:t>
        </x:is>
      </x:c>
      <x:c r="M24"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4" s="24" t="inlineStr">
        <x:is>
          <x:t xml:space="preserve">Used for backup schedule evidence.</x:t>
        </x:is>
      </x:c>
    </x:row>
    <x:row r="25" ht="30" customHeight="1">
      <x:c r="A25" s="5" t="inlineStr">
        <x:is>
          <x:t xml:space="preserve">HITRUST e1.csv</x:t>
        </x:is>
      </x:c>
      <x:c r="B25" s="5" t="inlineStr">
        <x:is>
          <x:t xml:space="preserve">ER-114</x:t>
        </x:is>
      </x:c>
      <x:c r="C25" s="5" t="inlineStr">
        <x:is>
          <x:t xml:space="preserve">Configuration</x:t>
        </x:is>
      </x:c>
      <x:c r="D25" s="5" t="inlineStr">
        <x:is>
          <x:t xml:space="preserve">Backups and Schedules</x:t>
        </x:is>
      </x:c>
      <x:c r="E25" s="5" t="inlineStr">
        <x:is>
          <x:t xml:space="preserve">REQ-62-HIPAA</x:t>
        </x:is>
      </x:c>
      <x:c r="F25" s="5" t="inlineStr">
        <x:is>
          <x:t xml:space="preserve">1618.09l1Organizational.45</x:t>
        </x:is>
      </x:c>
      <x:c r="G25" s="19" t="inlineStr">
        <x:is>
          <x:t xml:space="preserve">Many:Many</x:t>
        </x:is>
      </x:c>
      <x:c r="H25" s="12">
        <x:f>COUNTIFS($E:$E,E25,$F:$F,F25)</x:f>
        <x:v>1</x:v>
      </x:c>
      <x:c r="I25" s="24" t="inlineStr">
        <x:is>
          <x:t xml:space="preserve">45 CFR § 164.308(a)(7)(ii)(A)</x:t>
        </x:is>
      </x:c>
      <x:c r="J25" s="24" t="inlineStr">
        <x:is>
          <x:t xml:space="preserve">Contingency Plan — Data Backup Plan</x:t>
        </x:is>
      </x:c>
      <x:c r="K25" s="24" t="inlineStr">
        <x:is>
          <x:t xml:space="preserve">Direct</x:t>
        </x:is>
      </x:c>
      <x:c r="L25" s="24" t="inlineStr">
        <x:is>
          <x:t xml:space="preserve">Backup schedules most directly align to maintaining retrievable exact copies of ePHI.</x:t>
        </x:is>
      </x:c>
      <x:c r="M25"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5" s="24" t="inlineStr">
        <x:is>
          <x:t xml:space="preserve">Used for backup schedule evidence.</x:t>
        </x:is>
      </x:c>
    </x:row>
    <x:row r="26" ht="30" customHeight="1">
      <x:c r="A26" s="5" t="inlineStr">
        <x:is>
          <x:t xml:space="preserve">HITRUST e1.csv</x:t>
        </x:is>
      </x:c>
      <x:c r="B26" s="5" t="inlineStr">
        <x:is>
          <x:t xml:space="preserve">ER-114</x:t>
        </x:is>
      </x:c>
      <x:c r="C26" s="5" t="inlineStr">
        <x:is>
          <x:t xml:space="preserve">Configuration</x:t>
        </x:is>
      </x:c>
      <x:c r="D26" s="5" t="inlineStr">
        <x:is>
          <x:t xml:space="preserve">Backups and Schedules</x:t>
        </x:is>
      </x:c>
      <x:c r="E26" s="5" t="inlineStr">
        <x:is>
          <x:t xml:space="preserve">REQ-63-HIPAA</x:t>
        </x:is>
      </x:c>
      <x:c r="F26" s="5" t="inlineStr">
        <x:is>
          <x:t xml:space="preserve">16.09l1Organizational.4</x:t>
        </x:is>
      </x:c>
      <x:c r="G26" s="19" t="inlineStr">
        <x:is>
          <x:t xml:space="preserve">Many:Many</x:t>
        </x:is>
      </x:c>
      <x:c r="H26" s="12">
        <x:f>COUNTIFS($E:$E,E26,$F:$F,F26)</x:f>
        <x:v>1</x:v>
      </x:c>
      <x:c r="I26" s="24" t="inlineStr">
        <x:is>
          <x:t xml:space="preserve">45 CFR § 164.308(a)(7)(ii)(B)</x:t>
        </x:is>
      </x:c>
      <x:c r="J26" s="24" t="inlineStr">
        <x:is>
          <x:t xml:space="preserve">Contingency Plan — Disaster Recovery Plan</x:t>
        </x:is>
      </x:c>
      <x:c r="K26" s="24" t="inlineStr">
        <x:is>
          <x:t xml:space="preserve">Best-fit</x:t>
        </x:is>
      </x:c>
      <x:c r="L26" s="24" t="inlineStr">
        <x:is>
          <x:t xml:space="preserve">Backup/replication planning most closely aligns to restoring lost data and recovering operations after a disruption.</x:t>
        </x:is>
      </x:c>
      <x:c r="M26"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6" s="24" t="inlineStr">
        <x:is>
          <x:t xml:space="preserve">Used for schedule-level backup rows when the internal control appears to emphasize recoverability/replication.</x:t>
        </x:is>
      </x:c>
    </x:row>
    <x:row r="27" ht="30" customHeight="1">
      <x:c r="A27" s="5" t="inlineStr">
        <x:is>
          <x:t xml:space="preserve">HITRUST e1.csv</x:t>
        </x:is>
      </x:c>
      <x:c r="B27" s="5" t="inlineStr">
        <x:is>
          <x:t xml:space="preserve">ER-114</x:t>
        </x:is>
      </x:c>
      <x:c r="C27" s="5" t="inlineStr">
        <x:is>
          <x:t xml:space="preserve">Configuration</x:t>
        </x:is>
      </x:c>
      <x:c r="D27" s="5" t="inlineStr">
        <x:is>
          <x:t xml:space="preserve">Backups and Schedules</x:t>
        </x:is>
      </x:c>
      <x:c r="E27" s="5" t="inlineStr">
        <x:is>
          <x:t xml:space="preserve">REQ-63-HIPAA</x:t>
        </x:is>
      </x:c>
      <x:c r="F27" s="5" t="inlineStr">
        <x:is>
          <x:t xml:space="preserve">1616.09l1Organizational.16</x:t>
        </x:is>
      </x:c>
      <x:c r="G27" s="19" t="inlineStr">
        <x:is>
          <x:t xml:space="preserve">Many:Many</x:t>
        </x:is>
      </x:c>
      <x:c r="H27" s="12">
        <x:f>COUNTIFS($E:$E,E27,$F:$F,F27)</x:f>
        <x:v>1</x:v>
      </x:c>
      <x:c r="I27" s="24" t="inlineStr">
        <x:is>
          <x:t xml:space="preserve">45 CFR § 164.308(a)(7)(ii)(B)</x:t>
        </x:is>
      </x:c>
      <x:c r="J27" s="24" t="inlineStr">
        <x:is>
          <x:t xml:space="preserve">Contingency Plan — Disaster Recovery Plan</x:t>
        </x:is>
      </x:c>
      <x:c r="K27" s="24" t="inlineStr">
        <x:is>
          <x:t xml:space="preserve">Best-fit</x:t>
        </x:is>
      </x:c>
      <x:c r="L27" s="24" t="inlineStr">
        <x:is>
          <x:t xml:space="preserve">Backup/replication planning most closely aligns to restoring lost data and recovering operations after a disruption.</x:t>
        </x:is>
      </x:c>
      <x:c r="M27"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7" s="24" t="inlineStr">
        <x:is>
          <x:t xml:space="preserve">Used for schedule-level backup rows when the internal control appears to emphasize recoverability/replication.</x:t>
        </x:is>
      </x:c>
    </x:row>
    <x:row r="28" ht="30" customHeight="1">
      <x:c r="A28" s="5" t="inlineStr">
        <x:is>
          <x:t xml:space="preserve">HITRUST e1.csv</x:t>
        </x:is>
      </x:c>
      <x:c r="B28" s="5" t="inlineStr">
        <x:is>
          <x:t xml:space="preserve">ER-114</x:t>
        </x:is>
      </x:c>
      <x:c r="C28" s="5" t="inlineStr">
        <x:is>
          <x:t xml:space="preserve">Configuration</x:t>
        </x:is>
      </x:c>
      <x:c r="D28" s="5" t="inlineStr">
        <x:is>
          <x:t xml:space="preserve">Backups and Schedules</x:t>
        </x:is>
      </x:c>
      <x:c r="E28" s="5" t="inlineStr">
        <x:is>
          <x:t xml:space="preserve">REQ-63-HIPAA</x:t>
        </x:is>
      </x:c>
      <x:c r="F28" s="5" t="inlineStr">
        <x:is>
          <x:t xml:space="preserve">1618.09l1Organizational.45</x:t>
        </x:is>
      </x:c>
      <x:c r="G28" s="19" t="inlineStr">
        <x:is>
          <x:t xml:space="preserve">Many:Many</x:t>
        </x:is>
      </x:c>
      <x:c r="H28" s="12">
        <x:f>COUNTIFS($E:$E,E28,$F:$F,F28)</x:f>
        <x:v>1</x:v>
      </x:c>
      <x:c r="I28" s="24" t="inlineStr">
        <x:is>
          <x:t xml:space="preserve">45 CFR § 164.308(a)(7)(ii)(B)</x:t>
        </x:is>
      </x:c>
      <x:c r="J28" s="24" t="inlineStr">
        <x:is>
          <x:t xml:space="preserve">Contingency Plan — Disaster Recovery Plan</x:t>
        </x:is>
      </x:c>
      <x:c r="K28" s="24" t="inlineStr">
        <x:is>
          <x:t xml:space="preserve">Best-fit</x:t>
        </x:is>
      </x:c>
      <x:c r="L28" s="24" t="inlineStr">
        <x:is>
          <x:t xml:space="preserve">Backup/replication planning most closely aligns to restoring lost data and recovering operations after a disruption.</x:t>
        </x:is>
      </x:c>
      <x:c r="M28"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8" s="24" t="inlineStr">
        <x:is>
          <x:t xml:space="preserve">Used for schedule-level backup rows when the internal control appears to emphasize recoverability/replication.</x:t>
        </x:is>
      </x:c>
    </x:row>
    <x:row r="29" ht="30" customHeight="1">
      <x:c r="A29" s="5" t="inlineStr">
        <x:is>
          <x:t xml:space="preserve">HITRUST e1.csv</x:t>
        </x:is>
      </x:c>
      <x:c r="B29" s="5" t="inlineStr">
        <x:is>
          <x:t xml:space="preserve">ER-61</x:t>
        </x:is>
      </x:c>
      <x:c r="C29" s="5" t="inlineStr">
        <x:is>
          <x:t xml:space="preserve">Policy</x:t>
        </x:is>
      </x:c>
      <x:c r="D29" s="5" t="inlineStr">
        <x:is>
          <x:t xml:space="preserve">Change Management</x:t>
        </x:is>
      </x:c>
      <x:c r="E29" s="5" t="inlineStr">
        <x:is>
          <x:t xml:space="preserve">REQ-53-HIPAA</x:t>
        </x:is>
      </x:c>
      <x:c r="F29" s="5" t="inlineStr">
        <x:is>
          <x:t xml:space="preserve">06.09b1System.2</x:t>
        </x:is>
      </x:c>
      <x:c r="G29" s="20" t="inlineStr">
        <x:is>
          <x:t xml:space="preserve">1:Many</x:t>
        </x:is>
      </x:c>
      <x:c r="H29" s="12">
        <x:f>COUNTIFS($E:$E,E29,$F:$F,F29)</x:f>
        <x:v>1</x:v>
      </x:c>
      <x:c r="I29" s="24" t="inlineStr">
        <x:is>
          <x:t xml:space="preserve">45 CFR § 164.308(a)(8); 45 CFR § 164.306(e); 45 CFR § 164.316(b)(2)(iii)</x:t>
        </x:is>
      </x:c>
      <x:c r="J29" s="24" t="inlineStr">
        <x:is>
          <x:t xml:space="preserve">Evaluation; Maintenance; Documentation — Updates</x:t>
        </x:is>
      </x:c>
      <x:c r="K29" s="24" t="inlineStr">
        <x:is>
          <x:t xml:space="preserve">Best-fit composite</x:t>
        </x:is>
      </x:c>
      <x:c r="L29" s="24" t="inlineStr">
        <x:is>
          <x:t xml:space="preserve">HIPAA does not expressly name change management, but OCR guidance links environmental/operational changes to ongoing evaluation, maintenance, and updating of security documentation.</x:t>
        </x:is>
      </x:c>
      <x:c r="M29" s="24"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N29" s="24" t="inlineStr">
        <x:is>
          <x:t xml:space="preserve">Used for the change-management policy row as the closest HIPAA analogue.</x:t>
        </x:is>
      </x:c>
    </x:row>
    <x:row r="30" ht="30" customHeight="1">
      <x:c r="A30" s="5" t="inlineStr">
        <x:is>
          <x:t xml:space="preserve">HITRUST e1.csv</x:t>
        </x:is>
      </x:c>
      <x:c r="B30" s="5" t="inlineStr">
        <x:is>
          <x:t xml:space="preserve">ER-61</x:t>
        </x:is>
      </x:c>
      <x:c r="C30" s="5" t="inlineStr">
        <x:is>
          <x:t xml:space="preserve">Policy</x:t>
        </x:is>
      </x:c>
      <x:c r="D30" s="5" t="inlineStr">
        <x:is>
          <x:t xml:space="preserve">Change Management</x:t>
        </x:is>
      </x:c>
      <x:c r="E30" s="5" t="inlineStr">
        <x:is>
          <x:t xml:space="preserve">REQ-53-HIPAA</x:t>
        </x:is>
      </x:c>
      <x:c r="F30" s="5" t="inlineStr">
        <x:is>
          <x:t xml:space="preserve">1769.09i1System.12</x:t>
        </x:is>
      </x:c>
      <x:c r="G30" s="20" t="inlineStr">
        <x:is>
          <x:t xml:space="preserve">1:Many</x:t>
        </x:is>
      </x:c>
      <x:c r="H30" s="12">
        <x:f>COUNTIFS($E:$E,E30,$F:$F,F30)</x:f>
        <x:v>1</x:v>
      </x:c>
      <x:c r="I30" s="24" t="inlineStr">
        <x:is>
          <x:t xml:space="preserve">45 CFR § 164.308(a)(8); 45 CFR § 164.306(e); 45 CFR § 164.316(b)(2)(iii)</x:t>
        </x:is>
      </x:c>
      <x:c r="J30" s="24" t="inlineStr">
        <x:is>
          <x:t xml:space="preserve">Evaluation; Maintenance; Documentation — Updates</x:t>
        </x:is>
      </x:c>
      <x:c r="K30" s="24" t="inlineStr">
        <x:is>
          <x:t xml:space="preserve">Best-fit composite</x:t>
        </x:is>
      </x:c>
      <x:c r="L30" s="24" t="inlineStr">
        <x:is>
          <x:t xml:space="preserve">HIPAA does not expressly name change management, but OCR guidance links environmental/operational changes to ongoing evaluation, maintenance, and updating of security documentation.</x:t>
        </x:is>
      </x:c>
      <x:c r="M30" s="24"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N30" s="24" t="inlineStr">
        <x:is>
          <x:t xml:space="preserve">Used for the change-management policy row as the closest HIPAA analogue.</x:t>
        </x:is>
      </x:c>
    </x:row>
    <x:row r="31" ht="30" customHeight="1">
      <x:c r="A31" s="5" t="inlineStr">
        <x:is>
          <x:t xml:space="preserve">HITRUST e1.csv</x:t>
        </x:is>
      </x:c>
      <x:c r="B31" s="5" t="inlineStr">
        <x:is>
          <x:t xml:space="preserve">ER-123</x:t>
        </x:is>
      </x:c>
      <x:c r="C31" s="5" t="inlineStr">
        <x:is>
          <x:t xml:space="preserve">Operational</x:t>
        </x:is>
      </x:c>
      <x:c r="D31" s="5" t="inlineStr">
        <x:is>
          <x:t xml:space="preserve">Completed Production Data Backup Test</x:t>
        </x:is>
      </x:c>
      <x:c r="E31" s="5" t="inlineStr">
        <x:is>
          <x:t xml:space="preserve">REQ-61-HIPAA</x:t>
        </x:is>
      </x:c>
      <x:c r="F31" s="5" t="inlineStr">
        <x:is>
          <x:t xml:space="preserve">1616.09l1Organizational.16</x:t>
        </x:is>
      </x:c>
      <x:c r="G31" s="18" t="inlineStr">
        <x:is>
          <x:t xml:space="preserve">1:1</x:t>
        </x:is>
      </x:c>
      <x:c r="H31" s="12">
        <x:f>COUNTIFS($E:$E,E31,$F:$F,F31)</x:f>
        <x:v>2</x:v>
      </x:c>
      <x:c r="I31" s="24" t="inlineStr">
        <x:is>
          <x:t xml:space="preserve">45 CFR § 164.308(a)(7)(ii)(D)</x:t>
        </x:is>
      </x:c>
      <x:c r="J31" s="24" t="inlineStr">
        <x:is>
          <x:t xml:space="preserve">Contingency Plan — Testing and Revision Procedure</x:t>
        </x:is>
      </x:c>
      <x:c r="K31" s="24" t="inlineStr">
        <x:is>
          <x:t xml:space="preserve">Direct</x:t>
        </x:is>
      </x:c>
      <x:c r="L31" s="24" t="inlineStr">
        <x:is>
          <x:t xml:space="preserve">A completed backup test aligns directly to periodic testing/revision of contingency plans.</x:t>
        </x:is>
      </x:c>
      <x:c r="M31"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31" s="24" t="inlineStr">
        <x:is>
          <x:t xml:space="preserve">Used for explicit backup-test evidence.</x:t>
        </x:is>
      </x:c>
    </x:row>
    <x:row r="32" ht="30" customHeight="1">
      <x:c r="A32" s="5" t="inlineStr">
        <x:is>
          <x:t xml:space="preserve">HITRUST e1.csv</x:t>
        </x:is>
      </x:c>
      <x:c r="B32" s="5" t="inlineStr">
        <x:is>
          <x:t xml:space="preserve">ER-108</x:t>
        </x:is>
      </x:c>
      <x:c r="C32" s="5" t="inlineStr">
        <x:is>
          <x:t xml:space="preserve">Policy</x:t>
        </x:is>
      </x:c>
      <x:c r="D32" s="5" t="inlineStr">
        <x:is>
          <x:t xml:space="preserve">Data Classification, Retention and Disposal</x:t>
        </x:is>
      </x:c>
      <x:c r="E32" s="5" t="inlineStr">
        <x:is>
          <x:t xml:space="preserve">REQ-32-HIPAA</x:t>
        </x:is>
      </x:c>
      <x:c r="F32" s="5" t="inlineStr">
        <x:is>
          <x:t xml:space="preserve">0305.09q1Organizational.12</x:t>
        </x:is>
      </x:c>
      <x:c r="G32" s="19" t="inlineStr">
        <x:is>
          <x:t xml:space="preserve">Many:Many</x:t>
        </x:is>
      </x:c>
      <x:c r="H32" s="12">
        <x:f>COUNTIFS($E:$E,E32,$F:$F,F32)</x:f>
        <x:v>1</x:v>
      </x:c>
      <x:c r="I32" s="24" t="inlineStr">
        <x:is>
          <x:t xml:space="preserve">45 CFR § 164.310(d)(2)(i)</x:t>
        </x:is>
      </x:c>
      <x:c r="J32" s="24" t="inlineStr">
        <x:is>
          <x:t xml:space="preserve">Device and Media Controls — Disposal</x:t>
        </x:is>
      </x:c>
      <x:c r="K32" s="24" t="inlineStr">
        <x:is>
          <x:t xml:space="preserve">Best-fit</x:t>
        </x:is>
      </x:c>
      <x:c r="L32" s="24" t="inlineStr">
        <x:is>
          <x:t xml:space="preserve">The direct HIPAA overlap in this action item is final disposition/disposal; HIPAA does not explicitly name data classification or retention as standalone Security Rule specifications.</x:t>
        </x:is>
      </x:c>
      <x:c r="M32"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2" s="24" t="inlineStr">
        <x:is>
          <x:t xml:space="preserve">Only the disposal portion of the action item maps directly to an express HIPAA implementation specification.</x:t>
        </x:is>
      </x:c>
    </x:row>
    <x:row r="33" ht="30" customHeight="1">
      <x:c r="A33" s="5" t="inlineStr">
        <x:is>
          <x:t xml:space="preserve">HITRUST e1.csv</x:t>
        </x:is>
      </x:c>
      <x:c r="B33" s="5" t="inlineStr">
        <x:is>
          <x:t xml:space="preserve">ER-108</x:t>
        </x:is>
      </x:c>
      <x:c r="C33" s="5" t="inlineStr">
        <x:is>
          <x:t xml:space="preserve">Policy</x:t>
        </x:is>
      </x:c>
      <x:c r="D33" s="5" t="inlineStr">
        <x:is>
          <x:t xml:space="preserve">Data Classification, Retention and Disposal</x:t>
        </x:is>
      </x:c>
      <x:c r="E33" s="5" t="inlineStr">
        <x:is>
          <x:t xml:space="preserve">REQ-32-HIPAA</x:t>
        </x:is>
      </x:c>
      <x:c r="F33" s="5" t="inlineStr">
        <x:is>
          <x:t xml:space="preserve">1239.09aa1System.4</x:t>
        </x:is>
      </x:c>
      <x:c r="G33" s="19" t="inlineStr">
        <x:is>
          <x:t xml:space="preserve">Many:Many</x:t>
        </x:is>
      </x:c>
      <x:c r="H33" s="12">
        <x:f>COUNTIFS($E:$E,E33,$F:$F,F33)</x:f>
        <x:v>1</x:v>
      </x:c>
      <x:c r="I33" s="24" t="inlineStr">
        <x:is>
          <x:t xml:space="preserve">45 CFR § 164.310(d)(2)(i)</x:t>
        </x:is>
      </x:c>
      <x:c r="J33" s="24" t="inlineStr">
        <x:is>
          <x:t xml:space="preserve">Device and Media Controls — Disposal</x:t>
        </x:is>
      </x:c>
      <x:c r="K33" s="24" t="inlineStr">
        <x:is>
          <x:t xml:space="preserve">Best-fit</x:t>
        </x:is>
      </x:c>
      <x:c r="L33" s="24" t="inlineStr">
        <x:is>
          <x:t xml:space="preserve">The direct HIPAA overlap in this action item is final disposition/disposal; HIPAA does not explicitly name data classification or retention as standalone Security Rule specifications.</x:t>
        </x:is>
      </x:c>
      <x:c r="M33"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3" s="24" t="inlineStr">
        <x:is>
          <x:t xml:space="preserve">Only the disposal portion of the action item maps directly to an express HIPAA implementation specification.</x:t>
        </x:is>
      </x:c>
    </x:row>
    <x:row r="34" ht="30" customHeight="1">
      <x:c r="A34" s="5" t="inlineStr">
        <x:is>
          <x:t xml:space="preserve">HITRUST e1.csv</x:t>
        </x:is>
      </x:c>
      <x:c r="B34" s="5" t="inlineStr">
        <x:is>
          <x:t xml:space="preserve">ER-108</x:t>
        </x:is>
      </x:c>
      <x:c r="C34" s="5" t="inlineStr">
        <x:is>
          <x:t xml:space="preserve">Policy</x:t>
        </x:is>
      </x:c>
      <x:c r="D34" s="5" t="inlineStr">
        <x:is>
          <x:t xml:space="preserve">Data Classification, Retention and Disposal</x:t>
        </x:is>
      </x:c>
      <x:c r="E34" s="5" t="inlineStr">
        <x:is>
          <x:t xml:space="preserve">REQ-32-HIPAA</x:t>
        </x:is>
      </x:c>
      <x:c r="F34" s="5" t="inlineStr">
        <x:is>
          <x:t xml:space="preserve">1616.09l1Organizational.16</x:t>
        </x:is>
      </x:c>
      <x:c r="G34" s="19" t="inlineStr">
        <x:is>
          <x:t xml:space="preserve">Many:Many</x:t>
        </x:is>
      </x:c>
      <x:c r="H34" s="12">
        <x:f>COUNTIFS($E:$E,E34,$F:$F,F34)</x:f>
        <x:v>1</x:v>
      </x:c>
      <x:c r="I34" s="24" t="inlineStr">
        <x:is>
          <x:t xml:space="preserve">45 CFR § 164.310(d)(2)(i)</x:t>
        </x:is>
      </x:c>
      <x:c r="J34" s="24" t="inlineStr">
        <x:is>
          <x:t xml:space="preserve">Device and Media Controls — Disposal</x:t>
        </x:is>
      </x:c>
      <x:c r="K34" s="24" t="inlineStr">
        <x:is>
          <x:t xml:space="preserve">Best-fit</x:t>
        </x:is>
      </x:c>
      <x:c r="L34" s="24" t="inlineStr">
        <x:is>
          <x:t xml:space="preserve">The direct HIPAA overlap in this action item is final disposition/disposal; HIPAA does not explicitly name data classification or retention as standalone Security Rule specifications.</x:t>
        </x:is>
      </x:c>
      <x:c r="M34"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4" s="24" t="inlineStr">
        <x:is>
          <x:t xml:space="preserve">Only the disposal portion of the action item maps directly to an express HIPAA implementation specification.</x:t>
        </x:is>
      </x:c>
    </x:row>
    <x:row r="35" ht="30" customHeight="1">
      <x:c r="A35" s="5" t="inlineStr">
        <x:is>
          <x:t xml:space="preserve">HITRUST e1.csv</x:t>
        </x:is>
      </x:c>
      <x:c r="B35" s="5" t="inlineStr">
        <x:is>
          <x:t xml:space="preserve">ER-108</x:t>
        </x:is>
      </x:c>
      <x:c r="C35" s="5" t="inlineStr">
        <x:is>
          <x:t xml:space="preserve">Policy</x:t>
        </x:is>
      </x:c>
      <x:c r="D35" s="5" t="inlineStr">
        <x:is>
          <x:t xml:space="preserve">Data Classification, Retention and Disposal</x:t>
        </x:is>
      </x:c>
      <x:c r="E35" s="5" t="inlineStr">
        <x:is>
          <x:t xml:space="preserve">REQ-32-HIPAA</x:t>
        </x:is>
      </x:c>
      <x:c r="F35" s="5" t="inlineStr">
        <x:is>
          <x:t xml:space="preserve">1767.07d1Organizational.2</x:t>
        </x:is>
      </x:c>
      <x:c r="G35" s="19" t="inlineStr">
        <x:is>
          <x:t xml:space="preserve">Many:Many</x:t>
        </x:is>
      </x:c>
      <x:c r="H35" s="12">
        <x:f>COUNTIFS($E:$E,E35,$F:$F,F35)</x:f>
        <x:v>1</x:v>
      </x:c>
      <x:c r="I35" s="24" t="inlineStr">
        <x:is>
          <x:t xml:space="preserve">45 CFR § 164.310(d)(2)(i)</x:t>
        </x:is>
      </x:c>
      <x:c r="J35" s="24" t="inlineStr">
        <x:is>
          <x:t xml:space="preserve">Device and Media Controls — Disposal</x:t>
        </x:is>
      </x:c>
      <x:c r="K35" s="24" t="inlineStr">
        <x:is>
          <x:t xml:space="preserve">Best-fit</x:t>
        </x:is>
      </x:c>
      <x:c r="L35" s="24" t="inlineStr">
        <x:is>
          <x:t xml:space="preserve">The direct HIPAA overlap in this action item is final disposition/disposal; HIPAA does not explicitly name data classification or retention as standalone Security Rule specifications.</x:t>
        </x:is>
      </x:c>
      <x:c r="M35"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5" s="24" t="inlineStr">
        <x:is>
          <x:t xml:space="preserve">Only the disposal portion of the action item maps directly to an express HIPAA implementation specification.</x:t>
        </x:is>
      </x:c>
    </x:row>
    <x:row r="36" ht="30" customHeight="1">
      <x:c r="A36" s="5" t="inlineStr">
        <x:is>
          <x:t xml:space="preserve">HITRUST e1.csv</x:t>
        </x:is>
      </x:c>
      <x:c r="B36" s="5" t="inlineStr">
        <x:is>
          <x:t xml:space="preserve">ER-108</x:t>
        </x:is>
      </x:c>
      <x:c r="C36" s="5" t="inlineStr">
        <x:is>
          <x:t xml:space="preserve">Policy</x:t>
        </x:is>
      </x:c>
      <x:c r="D36" s="5" t="inlineStr">
        <x:is>
          <x:t xml:space="preserve">Data Classification, Retention and Disposal</x:t>
        </x:is>
      </x:c>
      <x:c r="E36" s="5" t="inlineStr">
        <x:is>
          <x:t xml:space="preserve">REQ-32-HIPAA</x:t>
        </x:is>
      </x:c>
      <x:c r="F36" s="5" t="inlineStr">
        <x:is>
          <x:t xml:space="preserve">19142.06c1Organizational.8</x:t>
        </x:is>
      </x:c>
      <x:c r="G36" s="19" t="inlineStr">
        <x:is>
          <x:t xml:space="preserve">Many:Many</x:t>
        </x:is>
      </x:c>
      <x:c r="H36" s="12">
        <x:f>COUNTIFS($E:$E,E36,$F:$F,F36)</x:f>
        <x:v>1</x:v>
      </x:c>
      <x:c r="I36" s="24" t="inlineStr">
        <x:is>
          <x:t xml:space="preserve">45 CFR § 164.310(d)(2)(i)</x:t>
        </x:is>
      </x:c>
      <x:c r="J36" s="24" t="inlineStr">
        <x:is>
          <x:t xml:space="preserve">Device and Media Controls — Disposal</x:t>
        </x:is>
      </x:c>
      <x:c r="K36" s="24" t="inlineStr">
        <x:is>
          <x:t xml:space="preserve">Best-fit</x:t>
        </x:is>
      </x:c>
      <x:c r="L36" s="24" t="inlineStr">
        <x:is>
          <x:t xml:space="preserve">The direct HIPAA overlap in this action item is final disposition/disposal; HIPAA does not explicitly name data classification or retention as standalone Security Rule specifications.</x:t>
        </x:is>
      </x:c>
      <x:c r="M36"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6" s="24" t="inlineStr">
        <x:is>
          <x:t xml:space="preserve">Only the disposal portion of the action item maps directly to an express HIPAA implementation specification.</x:t>
        </x:is>
      </x:c>
    </x:row>
    <x:row r="37" ht="30" customHeight="1">
      <x:c r="A37" s="5" t="inlineStr">
        <x:is>
          <x:t xml:space="preserve">HITRUST e1.csv</x:t>
        </x:is>
      </x:c>
      <x:c r="B37" s="5" t="inlineStr">
        <x:is>
          <x:t xml:space="preserve">ER-108</x:t>
        </x:is>
      </x:c>
      <x:c r="C37" s="5" t="inlineStr">
        <x:is>
          <x:t xml:space="preserve">Policy</x:t>
        </x:is>
      </x:c>
      <x:c r="D37" s="5" t="inlineStr">
        <x:is>
          <x:t xml:space="preserve">Data Classification, Retention and Disposal</x:t>
        </x:is>
      </x:c>
      <x:c r="E37" s="5" t="inlineStr">
        <x:is>
          <x:t xml:space="preserve">REQ-66-HIPAA</x:t>
        </x:is>
      </x:c>
      <x:c r="F37" s="5" t="inlineStr">
        <x:is>
          <x:t xml:space="preserve">0305.09q1Organizational.12</x:t>
        </x:is>
      </x:c>
      <x:c r="G37" s="19" t="inlineStr">
        <x:is>
          <x:t xml:space="preserve">Many:Many</x:t>
        </x:is>
      </x:c>
      <x:c r="H37" s="12">
        <x:f>COUNTIFS($E:$E,E37,$F:$F,F37)</x:f>
        <x:v>1</x:v>
      </x:c>
      <x:c r="I37" s="24" t="inlineStr">
        <x:is>
          <x:t xml:space="preserve">45 CFR § 164.310(d)(2)(ii)</x:t>
        </x:is>
      </x:c>
      <x:c r="J37" s="24" t="inlineStr">
        <x:is>
          <x:t xml:space="preserve">Device and Media Controls — Media Re-use</x:t>
        </x:is>
      </x:c>
      <x:c r="K37" s="24" t="inlineStr">
        <x:is>
          <x:t xml:space="preserve">Best-fit</x:t>
        </x:is>
      </x:c>
      <x:c r="L37" s="24" t="inlineStr">
        <x:is>
          <x:t xml:space="preserve">Within the data-retention/disposal action item, this internal control is best matched to sanitization/reuse of media; HIPAA does not separately name classification or retention.</x:t>
        </x:is>
      </x:c>
      <x:c r="M37"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7" s="24" t="inlineStr">
        <x:is>
          <x:t xml:space="preserve">Only the media-reuse/sanitization aspect maps directly to an express HIPAA specification.</x:t>
        </x:is>
      </x:c>
    </x:row>
    <x:row r="38" ht="30" customHeight="1">
      <x:c r="A38" s="5" t="inlineStr">
        <x:is>
          <x:t xml:space="preserve">HITRUST e1.csv</x:t>
        </x:is>
      </x:c>
      <x:c r="B38" s="5" t="inlineStr">
        <x:is>
          <x:t xml:space="preserve">ER-108</x:t>
        </x:is>
      </x:c>
      <x:c r="C38" s="5" t="inlineStr">
        <x:is>
          <x:t xml:space="preserve">Policy</x:t>
        </x:is>
      </x:c>
      <x:c r="D38" s="5" t="inlineStr">
        <x:is>
          <x:t xml:space="preserve">Data Classification, Retention and Disposal</x:t>
        </x:is>
      </x:c>
      <x:c r="E38" s="5" t="inlineStr">
        <x:is>
          <x:t xml:space="preserve">REQ-66-HIPAA</x:t>
        </x:is>
      </x:c>
      <x:c r="F38" s="5" t="inlineStr">
        <x:is>
          <x:t xml:space="preserve">1239.09aa1System.4</x:t>
        </x:is>
      </x:c>
      <x:c r="G38" s="19" t="inlineStr">
        <x:is>
          <x:t xml:space="preserve">Many:Many</x:t>
        </x:is>
      </x:c>
      <x:c r="H38" s="12">
        <x:f>COUNTIFS($E:$E,E38,$F:$F,F38)</x:f>
        <x:v>1</x:v>
      </x:c>
      <x:c r="I38" s="24" t="inlineStr">
        <x:is>
          <x:t xml:space="preserve">45 CFR § 164.310(d)(2)(ii)</x:t>
        </x:is>
      </x:c>
      <x:c r="J38" s="24" t="inlineStr">
        <x:is>
          <x:t xml:space="preserve">Device and Media Controls — Media Re-use</x:t>
        </x:is>
      </x:c>
      <x:c r="K38" s="24" t="inlineStr">
        <x:is>
          <x:t xml:space="preserve">Best-fit</x:t>
        </x:is>
      </x:c>
      <x:c r="L38" s="24" t="inlineStr">
        <x:is>
          <x:t xml:space="preserve">Within the data-retention/disposal action item, this internal control is best matched to sanitization/reuse of media; HIPAA does not separately name classification or retention.</x:t>
        </x:is>
      </x:c>
      <x:c r="M38"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8" s="24" t="inlineStr">
        <x:is>
          <x:t xml:space="preserve">Only the media-reuse/sanitization aspect maps directly to an express HIPAA specification.</x:t>
        </x:is>
      </x:c>
    </x:row>
    <x:row r="39" ht="30" customHeight="1">
      <x:c r="A39" s="5" t="inlineStr">
        <x:is>
          <x:t xml:space="preserve">HITRUST e1.csv</x:t>
        </x:is>
      </x:c>
      <x:c r="B39" s="5" t="inlineStr">
        <x:is>
          <x:t xml:space="preserve">ER-108</x:t>
        </x:is>
      </x:c>
      <x:c r="C39" s="5" t="inlineStr">
        <x:is>
          <x:t xml:space="preserve">Policy</x:t>
        </x:is>
      </x:c>
      <x:c r="D39" s="5" t="inlineStr">
        <x:is>
          <x:t xml:space="preserve">Data Classification, Retention and Disposal</x:t>
        </x:is>
      </x:c>
      <x:c r="E39" s="5" t="inlineStr">
        <x:is>
          <x:t xml:space="preserve">REQ-66-HIPAA</x:t>
        </x:is>
      </x:c>
      <x:c r="F39" s="5" t="inlineStr">
        <x:is>
          <x:t xml:space="preserve">1616.09l1Organizational.16</x:t>
        </x:is>
      </x:c>
      <x:c r="G39" s="19" t="inlineStr">
        <x:is>
          <x:t xml:space="preserve">Many:Many</x:t>
        </x:is>
      </x:c>
      <x:c r="H39" s="12">
        <x:f>COUNTIFS($E:$E,E39,$F:$F,F39)</x:f>
        <x:v>1</x:v>
      </x:c>
      <x:c r="I39" s="24" t="inlineStr">
        <x:is>
          <x:t xml:space="preserve">45 CFR § 164.310(d)(2)(ii)</x:t>
        </x:is>
      </x:c>
      <x:c r="J39" s="24" t="inlineStr">
        <x:is>
          <x:t xml:space="preserve">Device and Media Controls — Media Re-use</x:t>
        </x:is>
      </x:c>
      <x:c r="K39" s="24" t="inlineStr">
        <x:is>
          <x:t xml:space="preserve">Best-fit</x:t>
        </x:is>
      </x:c>
      <x:c r="L39" s="24" t="inlineStr">
        <x:is>
          <x:t xml:space="preserve">Within the data-retention/disposal action item, this internal control is best matched to sanitization/reuse of media; HIPAA does not separately name classification or retention.</x:t>
        </x:is>
      </x:c>
      <x:c r="M39"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9" s="24" t="inlineStr">
        <x:is>
          <x:t xml:space="preserve">Only the media-reuse/sanitization aspect maps directly to an express HIPAA specification.</x:t>
        </x:is>
      </x:c>
    </x:row>
    <x:row r="40" ht="30" customHeight="1">
      <x:c r="A40" s="5" t="inlineStr">
        <x:is>
          <x:t xml:space="preserve">HITRUST e1.csv</x:t>
        </x:is>
      </x:c>
      <x:c r="B40" s="5" t="inlineStr">
        <x:is>
          <x:t xml:space="preserve">ER-108</x:t>
        </x:is>
      </x:c>
      <x:c r="C40" s="5" t="inlineStr">
        <x:is>
          <x:t xml:space="preserve">Policy</x:t>
        </x:is>
      </x:c>
      <x:c r="D40" s="5" t="inlineStr">
        <x:is>
          <x:t xml:space="preserve">Data Classification, Retention and Disposal</x:t>
        </x:is>
      </x:c>
      <x:c r="E40" s="5" t="inlineStr">
        <x:is>
          <x:t xml:space="preserve">REQ-66-HIPAA</x:t>
        </x:is>
      </x:c>
      <x:c r="F40" s="5" t="inlineStr">
        <x:is>
          <x:t xml:space="preserve">1767.07d1Organizational.2</x:t>
        </x:is>
      </x:c>
      <x:c r="G40" s="19" t="inlineStr">
        <x:is>
          <x:t xml:space="preserve">Many:Many</x:t>
        </x:is>
      </x:c>
      <x:c r="H40" s="12">
        <x:f>COUNTIFS($E:$E,E40,$F:$F,F40)</x:f>
        <x:v>1</x:v>
      </x:c>
      <x:c r="I40" s="24" t="inlineStr">
        <x:is>
          <x:t xml:space="preserve">45 CFR § 164.310(d)(2)(ii)</x:t>
        </x:is>
      </x:c>
      <x:c r="J40" s="24" t="inlineStr">
        <x:is>
          <x:t xml:space="preserve">Device and Media Controls — Media Re-use</x:t>
        </x:is>
      </x:c>
      <x:c r="K40" s="24" t="inlineStr">
        <x:is>
          <x:t xml:space="preserve">Best-fit</x:t>
        </x:is>
      </x:c>
      <x:c r="L40" s="24" t="inlineStr">
        <x:is>
          <x:t xml:space="preserve">Within the data-retention/disposal action item, this internal control is best matched to sanitization/reuse of media; HIPAA does not separately name classification or retention.</x:t>
        </x:is>
      </x:c>
      <x:c r="M40"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40" s="24" t="inlineStr">
        <x:is>
          <x:t xml:space="preserve">Only the media-reuse/sanitization aspect maps directly to an express HIPAA specification.</x:t>
        </x:is>
      </x:c>
    </x:row>
    <x:row r="41">
      <x:c r="A41" s="5" t="inlineStr">
        <x:is>
          <x:t xml:space="preserve">HITRUST e1.csv</x:t>
        </x:is>
      </x:c>
      <x:c r="B41" s="5" t="inlineStr">
        <x:is>
          <x:t xml:space="preserve">ER-108</x:t>
        </x:is>
      </x:c>
      <x:c r="C41" s="5" t="inlineStr">
        <x:is>
          <x:t xml:space="preserve">Policy</x:t>
        </x:is>
      </x:c>
      <x:c r="D41" s="5" t="inlineStr">
        <x:is>
          <x:t xml:space="preserve">Data Classification, Retention and Disposal</x:t>
        </x:is>
      </x:c>
      <x:c r="E41" s="5" t="inlineStr">
        <x:is>
          <x:t xml:space="preserve">REQ-66-HIPAA</x:t>
        </x:is>
      </x:c>
      <x:c r="F41" s="5" t="inlineStr">
        <x:is>
          <x:t xml:space="preserve">19142.06c1Organizational.8</x:t>
        </x:is>
      </x:c>
      <x:c r="G41" s="19" t="inlineStr">
        <x:is>
          <x:t xml:space="preserve">Many:Many</x:t>
        </x:is>
      </x:c>
      <x:c r="H41" s="12">
        <x:f>COUNTIFS($E:$E,E41,$F:$F,F41)</x:f>
        <x:v>1</x:v>
      </x:c>
      <x:c r="I41" s="24" t="inlineStr">
        <x:is>
          <x:t xml:space="preserve">45 CFR § 164.310(d)(2)(ii)</x:t>
        </x:is>
      </x:c>
      <x:c r="J41" s="24" t="inlineStr">
        <x:is>
          <x:t xml:space="preserve">Device and Media Controls — Media Re-use</x:t>
        </x:is>
      </x:c>
      <x:c r="K41" s="24" t="inlineStr">
        <x:is>
          <x:t xml:space="preserve">Best-fit</x:t>
        </x:is>
      </x:c>
      <x:c r="L41" s="24" t="inlineStr">
        <x:is>
          <x:t xml:space="preserve">Within the data-retention/disposal action item, this internal control is best matched to sanitization/reuse of media; HIPAA does not separately name classification or retention.</x:t>
        </x:is>
      </x:c>
      <x:c r="M41"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41" s="24" t="inlineStr">
        <x:is>
          <x:t xml:space="preserve">Only the media-reuse/sanitization aspect maps directly to an express HIPAA specification.</x:t>
        </x:is>
      </x:c>
    </x:row>
    <x:row r="42">
      <x:c r="A42" s="5" t="inlineStr">
        <x:is>
          <x:t xml:space="preserve">HITRUST e1.csv</x:t>
        </x:is>
      </x:c>
      <x:c r="B42" s="5" t="inlineStr">
        <x:is>
          <x:t xml:space="preserve">ER-108</x:t>
        </x:is>
      </x:c>
      <x:c r="C42" s="5" t="inlineStr">
        <x:is>
          <x:t xml:space="preserve">Policy</x:t>
        </x:is>
      </x:c>
      <x:c r="D42" s="5" t="inlineStr">
        <x:is>
          <x:t xml:space="preserve">Data Classification, Retention and Disposal</x:t>
        </x:is>
      </x:c>
      <x:c r="E42" s="5" t="inlineStr">
        <x:is>
          <x:t xml:space="preserve">REQ-67-HIPAA</x:t>
        </x:is>
      </x:c>
      <x:c r="F42" s="5" t="inlineStr">
        <x:is>
          <x:t xml:space="preserve">0305.09q1Organizational.12</x:t>
        </x:is>
      </x:c>
      <x:c r="G42" s="19" t="inlineStr">
        <x:is>
          <x:t xml:space="preserve">Many:Many</x:t>
        </x:is>
      </x:c>
      <x:c r="H42" s="12">
        <x:f>COUNTIFS($E:$E,E42,$F:$F,F42)</x:f>
        <x:v>1</x:v>
      </x:c>
      <x:c r="I42" s="24" t="inlineStr">
        <x:is>
          <x:t xml:space="preserve">45 CFR § 164.310(d)(2)(i)</x:t>
        </x:is>
      </x:c>
      <x:c r="J42" s="24" t="inlineStr">
        <x:is>
          <x:t xml:space="preserve">Device and Media Controls — Disposal</x:t>
        </x:is>
      </x:c>
      <x:c r="K42" s="24" t="inlineStr">
        <x:is>
          <x:t xml:space="preserve">Best-fit</x:t>
        </x:is>
      </x:c>
      <x:c r="L42" s="24" t="inlineStr">
        <x:is>
          <x:t xml:space="preserve">In this overlap set, the control appears through a data-retention/disposal action item, so disposal is the closest direct HIPAA citation.</x:t>
        </x:is>
      </x:c>
      <x:c r="M42"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2" s="24" t="inlineStr">
        <x:is>
          <x:t xml:space="preserve">This same internal control also appears on customer-contract rows elsewhere in the uploaded spreadsheets, but that contractual context is not the shared action item here.</x:t>
        </x:is>
      </x:c>
    </x:row>
    <x:row r="43">
      <x:c r="A43" s="5" t="inlineStr">
        <x:is>
          <x:t xml:space="preserve">HITRUST e1.csv</x:t>
        </x:is>
      </x:c>
      <x:c r="B43" s="5" t="inlineStr">
        <x:is>
          <x:t xml:space="preserve">ER-108</x:t>
        </x:is>
      </x:c>
      <x:c r="C43" s="5" t="inlineStr">
        <x:is>
          <x:t xml:space="preserve">Policy</x:t>
        </x:is>
      </x:c>
      <x:c r="D43" s="5" t="inlineStr">
        <x:is>
          <x:t xml:space="preserve">Data Classification, Retention and Disposal</x:t>
        </x:is>
      </x:c>
      <x:c r="E43" s="5" t="inlineStr">
        <x:is>
          <x:t xml:space="preserve">REQ-67-HIPAA</x:t>
        </x:is>
      </x:c>
      <x:c r="F43" s="5" t="inlineStr">
        <x:is>
          <x:t xml:space="preserve">1239.09aa1System.4</x:t>
        </x:is>
      </x:c>
      <x:c r="G43" s="19" t="inlineStr">
        <x:is>
          <x:t xml:space="preserve">Many:Many</x:t>
        </x:is>
      </x:c>
      <x:c r="H43" s="12">
        <x:f>COUNTIFS($E:$E,E43,$F:$F,F43)</x:f>
        <x:v>1</x:v>
      </x:c>
      <x:c r="I43" s="24" t="inlineStr">
        <x:is>
          <x:t xml:space="preserve">45 CFR § 164.310(d)(2)(i)</x:t>
        </x:is>
      </x:c>
      <x:c r="J43" s="24" t="inlineStr">
        <x:is>
          <x:t xml:space="preserve">Device and Media Controls — Disposal</x:t>
        </x:is>
      </x:c>
      <x:c r="K43" s="24" t="inlineStr">
        <x:is>
          <x:t xml:space="preserve">Best-fit</x:t>
        </x:is>
      </x:c>
      <x:c r="L43" s="24" t="inlineStr">
        <x:is>
          <x:t xml:space="preserve">In this overlap set, the control appears through a data-retention/disposal action item, so disposal is the closest direct HIPAA citation.</x:t>
        </x:is>
      </x:c>
      <x:c r="M43"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3" s="24" t="inlineStr">
        <x:is>
          <x:t xml:space="preserve">This same internal control also appears on customer-contract rows elsewhere in the uploaded spreadsheets, but that contractual context is not the shared action item here.</x:t>
        </x:is>
      </x:c>
    </x:row>
    <x:row r="44">
      <x:c r="A44" s="5" t="inlineStr">
        <x:is>
          <x:t xml:space="preserve">HITRUST e1.csv</x:t>
        </x:is>
      </x:c>
      <x:c r="B44" s="5" t="inlineStr">
        <x:is>
          <x:t xml:space="preserve">ER-108</x:t>
        </x:is>
      </x:c>
      <x:c r="C44" s="5" t="inlineStr">
        <x:is>
          <x:t xml:space="preserve">Policy</x:t>
        </x:is>
      </x:c>
      <x:c r="D44" s="5" t="inlineStr">
        <x:is>
          <x:t xml:space="preserve">Data Classification, Retention and Disposal</x:t>
        </x:is>
      </x:c>
      <x:c r="E44" s="5" t="inlineStr">
        <x:is>
          <x:t xml:space="preserve">REQ-67-HIPAA</x:t>
        </x:is>
      </x:c>
      <x:c r="F44" s="5" t="inlineStr">
        <x:is>
          <x:t xml:space="preserve">1616.09l1Organizational.16</x:t>
        </x:is>
      </x:c>
      <x:c r="G44" s="19" t="inlineStr">
        <x:is>
          <x:t xml:space="preserve">Many:Many</x:t>
        </x:is>
      </x:c>
      <x:c r="H44" s="12">
        <x:f>COUNTIFS($E:$E,E44,$F:$F,F44)</x:f>
        <x:v>1</x:v>
      </x:c>
      <x:c r="I44" s="24" t="inlineStr">
        <x:is>
          <x:t xml:space="preserve">45 CFR § 164.310(d)(2)(i)</x:t>
        </x:is>
      </x:c>
      <x:c r="J44" s="24" t="inlineStr">
        <x:is>
          <x:t xml:space="preserve">Device and Media Controls — Disposal</x:t>
        </x:is>
      </x:c>
      <x:c r="K44" s="24" t="inlineStr">
        <x:is>
          <x:t xml:space="preserve">Best-fit</x:t>
        </x:is>
      </x:c>
      <x:c r="L44" s="24" t="inlineStr">
        <x:is>
          <x:t xml:space="preserve">In this overlap set, the control appears through a data-retention/disposal action item, so disposal is the closest direct HIPAA citation.</x:t>
        </x:is>
      </x:c>
      <x:c r="M44"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4" s="24" t="inlineStr">
        <x:is>
          <x:t xml:space="preserve">This same internal control also appears on customer-contract rows elsewhere in the uploaded spreadsheets, but that contractual context is not the shared action item here.</x:t>
        </x:is>
      </x:c>
    </x:row>
    <x:row r="45">
      <x:c r="A45" s="5" t="inlineStr">
        <x:is>
          <x:t xml:space="preserve">HITRUST e1.csv</x:t>
        </x:is>
      </x:c>
      <x:c r="B45" s="5" t="inlineStr">
        <x:is>
          <x:t xml:space="preserve">ER-108</x:t>
        </x:is>
      </x:c>
      <x:c r="C45" s="5" t="inlineStr">
        <x:is>
          <x:t xml:space="preserve">Policy</x:t>
        </x:is>
      </x:c>
      <x:c r="D45" s="5" t="inlineStr">
        <x:is>
          <x:t xml:space="preserve">Data Classification, Retention and Disposal</x:t>
        </x:is>
      </x:c>
      <x:c r="E45" s="5" t="inlineStr">
        <x:is>
          <x:t xml:space="preserve">REQ-67-HIPAA</x:t>
        </x:is>
      </x:c>
      <x:c r="F45" s="5" t="inlineStr">
        <x:is>
          <x:t xml:space="preserve">1767.07d1Organizational.2</x:t>
        </x:is>
      </x:c>
      <x:c r="G45" s="19" t="inlineStr">
        <x:is>
          <x:t xml:space="preserve">Many:Many</x:t>
        </x:is>
      </x:c>
      <x:c r="H45" s="12">
        <x:f>COUNTIFS($E:$E,E45,$F:$F,F45)</x:f>
        <x:v>1</x:v>
      </x:c>
      <x:c r="I45" s="24" t="inlineStr">
        <x:is>
          <x:t xml:space="preserve">45 CFR § 164.310(d)(2)(i)</x:t>
        </x:is>
      </x:c>
      <x:c r="J45" s="24" t="inlineStr">
        <x:is>
          <x:t xml:space="preserve">Device and Media Controls — Disposal</x:t>
        </x:is>
      </x:c>
      <x:c r="K45" s="24" t="inlineStr">
        <x:is>
          <x:t xml:space="preserve">Best-fit</x:t>
        </x:is>
      </x:c>
      <x:c r="L45" s="24" t="inlineStr">
        <x:is>
          <x:t xml:space="preserve">In this overlap set, the control appears through a data-retention/disposal action item, so disposal is the closest direct HIPAA citation.</x:t>
        </x:is>
      </x:c>
      <x:c r="M45"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5" s="24" t="inlineStr">
        <x:is>
          <x:t xml:space="preserve">This same internal control also appears on customer-contract rows elsewhere in the uploaded spreadsheets, but that contractual context is not the shared action item here.</x:t>
        </x:is>
      </x:c>
    </x:row>
    <x:row r="46">
      <x:c r="A46" s="5" t="inlineStr">
        <x:is>
          <x:t xml:space="preserve">HITRUST e1.csv</x:t>
        </x:is>
      </x:c>
      <x:c r="B46" s="5" t="inlineStr">
        <x:is>
          <x:t xml:space="preserve">ER-108</x:t>
        </x:is>
      </x:c>
      <x:c r="C46" s="5" t="inlineStr">
        <x:is>
          <x:t xml:space="preserve">Policy</x:t>
        </x:is>
      </x:c>
      <x:c r="D46" s="5" t="inlineStr">
        <x:is>
          <x:t xml:space="preserve">Data Classification, Retention and Disposal</x:t>
        </x:is>
      </x:c>
      <x:c r="E46" s="5" t="inlineStr">
        <x:is>
          <x:t xml:space="preserve">REQ-67-HIPAA</x:t>
        </x:is>
      </x:c>
      <x:c r="F46" s="5" t="inlineStr">
        <x:is>
          <x:t xml:space="preserve">19142.06c1Organizational.8</x:t>
        </x:is>
      </x:c>
      <x:c r="G46" s="19" t="inlineStr">
        <x:is>
          <x:t xml:space="preserve">Many:Many</x:t>
        </x:is>
      </x:c>
      <x:c r="H46" s="12">
        <x:f>COUNTIFS($E:$E,E46,$F:$F,F46)</x:f>
        <x:v>1</x:v>
      </x:c>
      <x:c r="I46" s="24" t="inlineStr">
        <x:is>
          <x:t xml:space="preserve">45 CFR § 164.310(d)(2)(i)</x:t>
        </x:is>
      </x:c>
      <x:c r="J46" s="24" t="inlineStr">
        <x:is>
          <x:t xml:space="preserve">Device and Media Controls — Disposal</x:t>
        </x:is>
      </x:c>
      <x:c r="K46" s="24" t="inlineStr">
        <x:is>
          <x:t xml:space="preserve">Best-fit</x:t>
        </x:is>
      </x:c>
      <x:c r="L46" s="24" t="inlineStr">
        <x:is>
          <x:t xml:space="preserve">In this overlap set, the control appears through a data-retention/disposal action item, so disposal is the closest direct HIPAA citation.</x:t>
        </x:is>
      </x:c>
      <x:c r="M46"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6" s="24" t="inlineStr">
        <x:is>
          <x:t xml:space="preserve">This same internal control also appears on customer-contract rows elsewhere in the uploaded spreadsheets, but that contractual context is not the shared action item here.</x:t>
        </x:is>
      </x:c>
    </x:row>
    <x:row r="47">
      <x:c r="A47" s="5" t="inlineStr">
        <x:is>
          <x:t xml:space="preserve">HITRUST e1.csv</x:t>
        </x:is>
      </x:c>
      <x:c r="B47" s="5" t="inlineStr">
        <x:is>
          <x:t xml:space="preserve">ER-1</x:t>
        </x:is>
      </x:c>
      <x:c r="C47" s="5" t="inlineStr">
        <x:is>
          <x:t xml:space="preserve">Configuration</x:t>
        </x:is>
      </x:c>
      <x:c r="D47" s="5" t="inlineStr">
        <x:is>
          <x:t xml:space="preserve">Data Encryption at Rest</x:t>
        </x:is>
      </x:c>
      <x:c r="E47" s="5" t="inlineStr">
        <x:is>
          <x:t xml:space="preserve">REQ-33-HIPAA</x:t>
        </x:is>
      </x:c>
      <x:c r="F47" s="5" t="inlineStr">
        <x:is>
          <x:t xml:space="preserve">04.01x1Organizational.5</x:t>
        </x:is>
      </x:c>
      <x:c r="G47" s="19" t="inlineStr">
        <x:is>
          <x:t xml:space="preserve">Many:Many</x:t>
        </x:is>
      </x:c>
      <x:c r="H47" s="12">
        <x:f>COUNTIFS($E:$E,E47,$F:$F,F47)</x:f>
        <x:v>2</x:v>
      </x:c>
      <x:c r="I47" s="24" t="inlineStr">
        <x:is>
          <x:t xml:space="preserve">45 CFR § 164.312(a)(2)(iv)</x:t>
        </x:is>
      </x:c>
      <x:c r="J47" s="24" t="inlineStr">
        <x:is>
          <x:t xml:space="preserve">Access Control — Encryption and Decryption</x:t>
        </x:is>
      </x:c>
      <x:c r="K47" s="24" t="inlineStr">
        <x:is>
          <x:t xml:space="preserve">Direct</x:t>
        </x:is>
      </x:c>
      <x:c r="L47" s="24" t="inlineStr">
        <x:is>
          <x:t xml:space="preserve">At-rest encryption evidence aligns directly to the encryption/decryption implementation specification under access control.</x:t>
        </x:is>
      </x:c>
      <x:c r="M47"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47" s="24" t="inlineStr">
        <x:is>
          <x:t xml:space="preserve">Used when the shared action item is explicitly at-rest encryption.</x:t>
        </x:is>
      </x:c>
    </x:row>
    <x:row r="48">
      <x:c r="A48" s="5" t="inlineStr">
        <x:is>
          <x:t xml:space="preserve">HITRUST e1.csv</x:t>
        </x:is>
      </x:c>
      <x:c r="B48" s="5" t="inlineStr">
        <x:is>
          <x:t xml:space="preserve">ER-1</x:t>
        </x:is>
      </x:c>
      <x:c r="C48" s="5" t="inlineStr">
        <x:is>
          <x:t xml:space="preserve">Configuration</x:t>
        </x:is>
      </x:c>
      <x:c r="D48" s="5" t="inlineStr">
        <x:is>
          <x:t xml:space="preserve">Data Encryption at Rest</x:t>
        </x:is>
      </x:c>
      <x:c r="E48" s="5" t="inlineStr">
        <x:is>
          <x:t xml:space="preserve">REQ-33-HIPAA</x:t>
        </x:is>
      </x:c>
      <x:c r="F48" s="5" t="inlineStr">
        <x:is>
          <x:t xml:space="preserve">1903.06d1Organizational.3456711</x:t>
        </x:is>
      </x:c>
      <x:c r="G48" s="19" t="inlineStr">
        <x:is>
          <x:t xml:space="preserve">Many:Many</x:t>
        </x:is>
      </x:c>
      <x:c r="H48" s="12">
        <x:f>COUNTIFS($E:$E,E48,$F:$F,F48)</x:f>
        <x:v>1</x:v>
      </x:c>
      <x:c r="I48" s="24" t="inlineStr">
        <x:is>
          <x:t xml:space="preserve">45 CFR § 164.312(a)(2)(iv)</x:t>
        </x:is>
      </x:c>
      <x:c r="J48" s="24" t="inlineStr">
        <x:is>
          <x:t xml:space="preserve">Access Control — Encryption and Decryption</x:t>
        </x:is>
      </x:c>
      <x:c r="K48" s="24" t="inlineStr">
        <x:is>
          <x:t xml:space="preserve">Direct</x:t>
        </x:is>
      </x:c>
      <x:c r="L48" s="24" t="inlineStr">
        <x:is>
          <x:t xml:space="preserve">At-rest encryption evidence aligns directly to the encryption/decryption implementation specification under access control.</x:t>
        </x:is>
      </x:c>
      <x:c r="M48"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48" s="24" t="inlineStr">
        <x:is>
          <x:t xml:space="preserve">Used when the shared action item is explicitly at-rest encryption.</x:t>
        </x:is>
      </x:c>
    </x:row>
    <x:row r="49">
      <x:c r="A49" s="5" t="inlineStr">
        <x:is>
          <x:t xml:space="preserve">HITRUST e1.csv</x:t>
        </x:is>
      </x:c>
      <x:c r="B49" s="5" t="inlineStr">
        <x:is>
          <x:t xml:space="preserve">ER-1</x:t>
        </x:is>
      </x:c>
      <x:c r="C49" s="5" t="inlineStr">
        <x:is>
          <x:t xml:space="preserve">Configuration</x:t>
        </x:is>
      </x:c>
      <x:c r="D49" s="5" t="inlineStr">
        <x:is>
          <x:t xml:space="preserve">Data Encryption at Rest</x:t>
        </x:is>
      </x:c>
      <x:c r="E49" s="5" t="inlineStr">
        <x:is>
          <x:t xml:space="preserve">REQ-34-HIPAA</x:t>
        </x:is>
      </x:c>
      <x:c r="F49" s="5" t="inlineStr">
        <x:is>
          <x:t xml:space="preserve">04.01x1Organizational.5</x:t>
        </x:is>
      </x:c>
      <x:c r="G49" s="19" t="inlineStr">
        <x:is>
          <x:t xml:space="preserve">Many:Many</x:t>
        </x:is>
      </x:c>
      <x:c r="H49" s="12">
        <x:f>COUNTIFS($E:$E,E49,$F:$F,F49)</x:f>
        <x:v>1</x:v>
      </x:c>
      <x:c r="I49" s="24" t="inlineStr">
        <x:is>
          <x:t xml:space="preserve">45 CFR § 164.312(a)(2)(iv)</x:t>
        </x:is>
      </x:c>
      <x:c r="J49" s="24" t="inlineStr">
        <x:is>
          <x:t xml:space="preserve">Access Control — Encryption and Decryption</x:t>
        </x:is>
      </x:c>
      <x:c r="K49" s="24" t="inlineStr">
        <x:is>
          <x:t xml:space="preserve">Direct</x:t>
        </x:is>
      </x:c>
      <x:c r="L49" s="24" t="inlineStr">
        <x:is>
          <x:t xml:space="preserve">Control/action-item context aligns to at-rest encryption.</x:t>
        </x:is>
      </x:c>
      <x:c r="M49"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49" s="24" t="inlineStr">
        <x:is>
          <x:t xml:space="preserve">Used for data-encryption-at-rest rows.</x:t>
        </x:is>
      </x:c>
    </x:row>
    <x:row r="50">
      <x:c r="A50" s="5" t="inlineStr">
        <x:is>
          <x:t xml:space="preserve">HITRUST e1.csv</x:t>
        </x:is>
      </x:c>
      <x:c r="B50" s="5" t="inlineStr">
        <x:is>
          <x:t xml:space="preserve">ER-1</x:t>
        </x:is>
      </x:c>
      <x:c r="C50" s="5" t="inlineStr">
        <x:is>
          <x:t xml:space="preserve">Configuration</x:t>
        </x:is>
      </x:c>
      <x:c r="D50" s="5" t="inlineStr">
        <x:is>
          <x:t xml:space="preserve">Data Encryption at Rest</x:t>
        </x:is>
      </x:c>
      <x:c r="E50" s="5" t="inlineStr">
        <x:is>
          <x:t xml:space="preserve">REQ-34-HIPAA</x:t>
        </x:is>
      </x:c>
      <x:c r="F50" s="5" t="inlineStr">
        <x:is>
          <x:t xml:space="preserve">1903.06d1Organizational.3456711</x:t>
        </x:is>
      </x:c>
      <x:c r="G50" s="19" t="inlineStr">
        <x:is>
          <x:t xml:space="preserve">Many:Many</x:t>
        </x:is>
      </x:c>
      <x:c r="H50" s="12">
        <x:f>COUNTIFS($E:$E,E50,$F:$F,F50)</x:f>
        <x:v>1</x:v>
      </x:c>
      <x:c r="I50" s="24" t="inlineStr">
        <x:is>
          <x:t xml:space="preserve">45 CFR § 164.312(a)(2)(iv)</x:t>
        </x:is>
      </x:c>
      <x:c r="J50" s="24" t="inlineStr">
        <x:is>
          <x:t xml:space="preserve">Access Control — Encryption and Decryption</x:t>
        </x:is>
      </x:c>
      <x:c r="K50" s="24" t="inlineStr">
        <x:is>
          <x:t xml:space="preserve">Direct</x:t>
        </x:is>
      </x:c>
      <x:c r="L50" s="24" t="inlineStr">
        <x:is>
          <x:t xml:space="preserve">Control/action-item context aligns to at-rest encryption.</x:t>
        </x:is>
      </x:c>
      <x:c r="M50"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50" s="24" t="inlineStr">
        <x:is>
          <x:t xml:space="preserve">Used for data-encryption-at-rest rows.</x:t>
        </x:is>
      </x:c>
    </x:row>
    <x:row r="51">
      <x:c r="A51" s="5" t="inlineStr">
        <x:is>
          <x:t xml:space="preserve">HITRUST e1.csv</x:t>
        </x:is>
      </x:c>
      <x:c r="B51" s="5" t="inlineStr">
        <x:is>
          <x:t xml:space="preserve">ER-1</x:t>
        </x:is>
      </x:c>
      <x:c r="C51" s="5" t="inlineStr">
        <x:is>
          <x:t xml:space="preserve">Configuration</x:t>
        </x:is>
      </x:c>
      <x:c r="D51" s="5" t="inlineStr">
        <x:is>
          <x:t xml:space="preserve">Data Encryption at Rest</x:t>
        </x:is>
      </x:c>
      <x:c r="E51" s="5" t="inlineStr">
        <x:is>
          <x:t xml:space="preserve">REQ-35-HIPAA</x:t>
        </x:is>
      </x:c>
      <x:c r="F51" s="5" t="inlineStr">
        <x:is>
          <x:t xml:space="preserve">04.01x1Organizational.5</x:t>
        </x:is>
      </x:c>
      <x:c r="G51" s="19" t="inlineStr">
        <x:is>
          <x:t xml:space="preserve">Many:Many</x:t>
        </x:is>
      </x:c>
      <x:c r="H51" s="12">
        <x:f>COUNTIFS($E:$E,E51,$F:$F,F51)</x:f>
        <x:v>2</x:v>
      </x:c>
      <x:c r="I51" s="24" t="inlineStr">
        <x:is>
          <x:t xml:space="preserve">45 CFR § 164.312(a)(2)(iv)</x:t>
        </x:is>
      </x:c>
      <x:c r="J51" s="24" t="inlineStr">
        <x:is>
          <x:t xml:space="preserve">Access Control — Encryption and Decryption</x:t>
        </x:is>
      </x:c>
      <x:c r="K51" s="24" t="inlineStr">
        <x:is>
          <x:t xml:space="preserve">Best-fit</x:t>
        </x:is>
      </x:c>
      <x:c r="L51" s="24" t="inlineStr">
        <x:is>
          <x:t xml:space="preserve">This internal control ID also appears on an at-rest encryption row in the source spreadsheets, so the row context points to at-rest encryption even though the same control family also covers transmission encryption elsewhere.</x:t>
        </x:is>
      </x:c>
      <x:c r="M51"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51" s="24" t="inlineStr">
        <x:is>
          <x:t xml:space="preserve">Row-context mapping takes precedence over the broader internal control family.</x:t>
        </x:is>
      </x:c>
    </x:row>
    <x:row r="52">
      <x:c r="A52" s="5" t="inlineStr">
        <x:is>
          <x:t xml:space="preserve">HITRUST e1.csv</x:t>
        </x:is>
      </x:c>
      <x:c r="B52" s="5" t="inlineStr">
        <x:is>
          <x:t xml:space="preserve">ER-1</x:t>
        </x:is>
      </x:c>
      <x:c r="C52" s="5" t="inlineStr">
        <x:is>
          <x:t xml:space="preserve">Configuration</x:t>
        </x:is>
      </x:c>
      <x:c r="D52" s="5" t="inlineStr">
        <x:is>
          <x:t xml:space="preserve">Data Encryption at Rest</x:t>
        </x:is>
      </x:c>
      <x:c r="E52" s="5" t="inlineStr">
        <x:is>
          <x:t xml:space="preserve">REQ-35-HIPAA</x:t>
        </x:is>
      </x:c>
      <x:c r="F52" s="5" t="inlineStr">
        <x:is>
          <x:t xml:space="preserve">1903.06d1Organizational.3456711</x:t>
        </x:is>
      </x:c>
      <x:c r="G52" s="19" t="inlineStr">
        <x:is>
          <x:t xml:space="preserve">Many:Many</x:t>
        </x:is>
      </x:c>
      <x:c r="H52" s="12">
        <x:f>COUNTIFS($E:$E,E52,$F:$F,F52)</x:f>
        <x:v>1</x:v>
      </x:c>
      <x:c r="I52" s="24" t="inlineStr">
        <x:is>
          <x:t xml:space="preserve">45 CFR § 164.312(a)(2)(iv)</x:t>
        </x:is>
      </x:c>
      <x:c r="J52" s="24" t="inlineStr">
        <x:is>
          <x:t xml:space="preserve">Access Control — Encryption and Decryption</x:t>
        </x:is>
      </x:c>
      <x:c r="K52" s="24" t="inlineStr">
        <x:is>
          <x:t xml:space="preserve">Best-fit</x:t>
        </x:is>
      </x:c>
      <x:c r="L52" s="24" t="inlineStr">
        <x:is>
          <x:t xml:space="preserve">This internal control ID also appears on an at-rest encryption row in the source spreadsheets, so the row context points to at-rest encryption even though the same control family also covers transmission encryption elsewhere.</x:t>
        </x:is>
      </x:c>
      <x:c r="M52"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52" s="24" t="inlineStr">
        <x:is>
          <x:t xml:space="preserve">Row-context mapping takes precedence over the broader internal control family.</x:t>
        </x:is>
      </x:c>
    </x:row>
    <x:row r="53">
      <x:c r="A53" s="5" t="inlineStr">
        <x:is>
          <x:t xml:space="preserve">HITRUST e1.csv</x:t>
        </x:is>
      </x:c>
      <x:c r="B53" s="5" t="inlineStr">
        <x:is>
          <x:t xml:space="preserve">ER-84</x:t>
        </x:is>
      </x:c>
      <x:c r="C53" s="5" t="inlineStr">
        <x:is>
          <x:t xml:space="preserve">Sample</x:t>
        </x:is>
      </x:c>
      <x:c r="D53" s="5" t="inlineStr">
        <x:is>
          <x:t xml:space="preserve">Employee Termination Ticket</x:t>
        </x:is>
      </x:c>
      <x:c r="E53" s="5" t="inlineStr">
        <x:is>
          <x:t xml:space="preserve">REQ-31-HIPAA</x:t>
        </x:is>
      </x:c>
      <x:c r="F53" s="5" t="inlineStr">
        <x:is>
          <x:t xml:space="preserve">11143.02i1Organizational.3</x:t>
        </x:is>
      </x:c>
      <x:c r="G53" s="18" t="inlineStr">
        <x:is>
          <x:t xml:space="preserve">1:1</x:t>
        </x:is>
      </x:c>
      <x:c r="H53" s="12">
        <x:f>COUNTIFS($E:$E,E53,$F:$F,F53)</x:f>
        <x:v>2</x:v>
      </x:c>
      <x:c r="I53" s="24" t="inlineStr">
        <x:is>
          <x:t xml:space="preserve">45 CFR § 164.308(a)(3)(ii)(C); 45 CFR § 164.316(b)(1)</x:t>
        </x:is>
      </x:c>
      <x:c r="J53" s="24" t="inlineStr">
        <x:is>
          <x:t xml:space="preserve">Workforce Security — Termination Procedures; Documentation</x:t>
        </x:is>
      </x:c>
      <x:c r="K53" s="24" t="inlineStr">
        <x:is>
          <x:t xml:space="preserve">Composite</x:t>
        </x:is>
      </x:c>
      <x:c r="L53" s="24" t="inlineStr">
        <x:is>
          <x:t xml:space="preserve">Termination tickets/population evidence align directly to terminating access and documenting the action taken.</x:t>
        </x:is>
      </x:c>
      <x:c r="M53" s="24"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N53" s="24" t="inlineStr">
        <x:is>
          <x:t xml:space="preserve">Documentation is added because the row is explicit evidence that access-removal events were carried out and recorded.</x:t>
        </x:is>
      </x:c>
    </x:row>
    <x:row r="54">
      <x:c r="A54" s="5" t="inlineStr">
        <x:is>
          <x:t xml:space="preserve">HITRUST e1.csv</x:t>
        </x:is>
      </x:c>
      <x:c r="B54" s="5" t="inlineStr">
        <x:is>
          <x:t xml:space="preserve">ER-3</x:t>
        </x:is>
      </x:c>
      <x:c r="C54" s="5" t="inlineStr">
        <x:is>
          <x:t xml:space="preserve">Configuration</x:t>
        </x:is>
      </x:c>
      <x:c r="D54" s="5" t="inlineStr">
        <x:is>
          <x:t xml:space="preserve">Encryption In Transit (Ex. TLS Protocols)</x:t>
        </x:is>
      </x:c>
      <x:c r="E54" s="5" t="inlineStr">
        <x:is>
          <x:t xml:space="preserve">REQ-33-HIPAA</x:t>
        </x:is>
      </x:c>
      <x:c r="F54" s="5" t="inlineStr">
        <x:is>
          <x:t xml:space="preserve">04.01x1Organizational.5</x:t>
        </x:is>
      </x:c>
      <x:c r="G54" s="19" t="inlineStr">
        <x:is>
          <x:t xml:space="preserve">Many:Many</x:t>
        </x:is>
      </x:c>
      <x:c r="H54" s="12">
        <x:f>COUNTIFS($E:$E,E54,$F:$F,F54)</x:f>
        <x:v>2</x:v>
      </x:c>
      <x:c r="I54" s="24" t="inlineStr">
        <x:is>
          <x:t xml:space="preserve">45 CFR § 164.312(e)(2)(ii)</x:t>
        </x:is>
      </x:c>
      <x:c r="J54" s="24" t="inlineStr">
        <x:is>
          <x:t xml:space="preserve">Transmission Security — Encryption</x:t>
        </x:is>
      </x:c>
      <x:c r="K54" s="24" t="inlineStr">
        <x:is>
          <x:t xml:space="preserve">Direct</x:t>
        </x:is>
      </x:c>
      <x:c r="L54" s="24" t="inlineStr">
        <x:is>
          <x:t xml:space="preserve">Transmission-encryption evidence aligns directly to the transmission-security encryption implementation specification.</x:t>
        </x:is>
      </x:c>
      <x:c r="M54"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4" s="24" t="inlineStr">
        <x:is>
          <x:t xml:space="preserve">Used when the shared action item is explicitly in-transit encryption.</x:t>
        </x:is>
      </x:c>
    </x:row>
    <x:row r="55">
      <x:c r="A55" s="5" t="inlineStr">
        <x:is>
          <x:t xml:space="preserve">HITRUST e1.csv</x:t>
        </x:is>
      </x:c>
      <x:c r="B55" s="5" t="inlineStr">
        <x:is>
          <x:t xml:space="preserve">ER-3</x:t>
        </x:is>
      </x:c>
      <x:c r="C55" s="5" t="inlineStr">
        <x:is>
          <x:t xml:space="preserve">Configuration</x:t>
        </x:is>
      </x:c>
      <x:c r="D55" s="5" t="inlineStr">
        <x:is>
          <x:t xml:space="preserve">Encryption In Transit (Ex. TLS Protocols)</x:t>
        </x:is>
      </x:c>
      <x:c r="E55" s="5" t="inlineStr">
        <x:is>
          <x:t xml:space="preserve">REQ-33-HIPAA</x:t>
        </x:is>
      </x:c>
      <x:c r="F55" s="5" t="inlineStr">
        <x:is>
          <x:t xml:space="preserve">0862.09m2Organizational.8</x:t>
        </x:is>
      </x:c>
      <x:c r="G55" s="19" t="inlineStr">
        <x:is>
          <x:t xml:space="preserve">Many:Many</x:t>
        </x:is>
      </x:c>
      <x:c r="H55" s="12">
        <x:f>COUNTIFS($E:$E,E55,$F:$F,F55)</x:f>
        <x:v>1</x:v>
      </x:c>
      <x:c r="I55" s="24" t="inlineStr">
        <x:is>
          <x:t xml:space="preserve">45 CFR § 164.312(e)(2)(ii)</x:t>
        </x:is>
      </x:c>
      <x:c r="J55" s="24" t="inlineStr">
        <x:is>
          <x:t xml:space="preserve">Transmission Security — Encryption</x:t>
        </x:is>
      </x:c>
      <x:c r="K55" s="24" t="inlineStr">
        <x:is>
          <x:t xml:space="preserve">Direct</x:t>
        </x:is>
      </x:c>
      <x:c r="L55" s="24" t="inlineStr">
        <x:is>
          <x:t xml:space="preserve">Transmission-encryption evidence aligns directly to the transmission-security encryption implementation specification.</x:t>
        </x:is>
      </x:c>
      <x:c r="M55"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5" s="24" t="inlineStr">
        <x:is>
          <x:t xml:space="preserve">Used when the shared action item is explicitly in-transit encryption.</x:t>
        </x:is>
      </x:c>
    </x:row>
    <x:row r="56">
      <x:c r="A56" s="5" t="inlineStr">
        <x:is>
          <x:t xml:space="preserve">HITRUST e1.csv</x:t>
        </x:is>
      </x:c>
      <x:c r="B56" s="5" t="inlineStr">
        <x:is>
          <x:t xml:space="preserve">ER-3</x:t>
        </x:is>
      </x:c>
      <x:c r="C56" s="5" t="inlineStr">
        <x:is>
          <x:t xml:space="preserve">Configuration</x:t>
        </x:is>
      </x:c>
      <x:c r="D56" s="5" t="inlineStr">
        <x:is>
          <x:t xml:space="preserve">Encryption In Transit (Ex. TLS Protocols)</x:t>
        </x:is>
      </x:c>
      <x:c r="E56" s="5" t="inlineStr">
        <x:is>
          <x:t xml:space="preserve">REQ-33-HIPAA</x:t>
        </x:is>
      </x:c>
      <x:c r="F56" s="5" t="inlineStr">
        <x:is>
          <x:t xml:space="preserve">0903.10f1Organizational.1.a</x:t>
        </x:is>
      </x:c>
      <x:c r="G56" s="19" t="inlineStr">
        <x:is>
          <x:t xml:space="preserve">Many:Many</x:t>
        </x:is>
      </x:c>
      <x:c r="H56" s="12">
        <x:f>COUNTIFS($E:$E,E56,$F:$F,F56)</x:f>
        <x:v>1</x:v>
      </x:c>
      <x:c r="I56" s="24" t="inlineStr">
        <x:is>
          <x:t xml:space="preserve">45 CFR § 164.312(e)(2)(ii)</x:t>
        </x:is>
      </x:c>
      <x:c r="J56" s="24" t="inlineStr">
        <x:is>
          <x:t xml:space="preserve">Transmission Security — Encryption</x:t>
        </x:is>
      </x:c>
      <x:c r="K56" s="24" t="inlineStr">
        <x:is>
          <x:t xml:space="preserve">Direct</x:t>
        </x:is>
      </x:c>
      <x:c r="L56" s="24" t="inlineStr">
        <x:is>
          <x:t xml:space="preserve">Transmission-encryption evidence aligns directly to the transmission-security encryption implementation specification.</x:t>
        </x:is>
      </x:c>
      <x:c r="M56"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6" s="24" t="inlineStr">
        <x:is>
          <x:t xml:space="preserve">Used when the shared action item is explicitly in-transit encryption.</x:t>
        </x:is>
      </x:c>
    </x:row>
    <x:row r="57">
      <x:c r="A57" s="5" t="inlineStr">
        <x:is>
          <x:t xml:space="preserve">HITRUST e1.csv</x:t>
        </x:is>
      </x:c>
      <x:c r="B57" s="5" t="inlineStr">
        <x:is>
          <x:t xml:space="preserve">ER-3</x:t>
        </x:is>
      </x:c>
      <x:c r="C57" s="5" t="inlineStr">
        <x:is>
          <x:t xml:space="preserve">Configuration</x:t>
        </x:is>
      </x:c>
      <x:c r="D57" s="5" t="inlineStr">
        <x:is>
          <x:t xml:space="preserve">Encryption In Transit (Ex. TLS Protocols)</x:t>
        </x:is>
      </x:c>
      <x:c r="E57" s="5" t="inlineStr">
        <x:is>
          <x:t xml:space="preserve">REQ-33-HIPAA</x:t>
        </x:is>
      </x:c>
      <x:c r="F57" s="5" t="inlineStr">
        <x:is>
          <x:t xml:space="preserve">0913.09s1Organizational.5</x:t>
        </x:is>
      </x:c>
      <x:c r="G57" s="19" t="inlineStr">
        <x:is>
          <x:t xml:space="preserve">Many:Many</x:t>
        </x:is>
      </x:c>
      <x:c r="H57" s="12">
        <x:f>COUNTIFS($E:$E,E57,$F:$F,F57)</x:f>
        <x:v>1</x:v>
      </x:c>
      <x:c r="I57" s="24" t="inlineStr">
        <x:is>
          <x:t xml:space="preserve">45 CFR § 164.312(e)(2)(ii)</x:t>
        </x:is>
      </x:c>
      <x:c r="J57" s="24" t="inlineStr">
        <x:is>
          <x:t xml:space="preserve">Transmission Security — Encryption</x:t>
        </x:is>
      </x:c>
      <x:c r="K57" s="24" t="inlineStr">
        <x:is>
          <x:t xml:space="preserve">Direct</x:t>
        </x:is>
      </x:c>
      <x:c r="L57" s="24" t="inlineStr">
        <x:is>
          <x:t xml:space="preserve">Transmission-encryption evidence aligns directly to the transmission-security encryption implementation specification.</x:t>
        </x:is>
      </x:c>
      <x:c r="M57"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7" s="24" t="inlineStr">
        <x:is>
          <x:t xml:space="preserve">Used when the shared action item is explicitly in-transit encryption.</x:t>
        </x:is>
      </x:c>
    </x:row>
    <x:row r="58">
      <x:c r="A58" s="5" t="inlineStr">
        <x:is>
          <x:t xml:space="preserve">HITRUST e1.csv</x:t>
        </x:is>
      </x:c>
      <x:c r="B58" s="5" t="inlineStr">
        <x:is>
          <x:t xml:space="preserve">ER-3</x:t>
        </x:is>
      </x:c>
      <x:c r="C58" s="5" t="inlineStr">
        <x:is>
          <x:t xml:space="preserve">Configuration</x:t>
        </x:is>
      </x:c>
      <x:c r="D58" s="5" t="inlineStr">
        <x:is>
          <x:t xml:space="preserve">Encryption In Transit (Ex. TLS Protocols)</x:t>
        </x:is>
      </x:c>
      <x:c r="E58" s="5" t="inlineStr">
        <x:is>
          <x:t xml:space="preserve">REQ-33-HIPAA</x:t>
        </x:is>
      </x:c>
      <x:c r="F58" s="5" t="inlineStr">
        <x:is>
          <x:t xml:space="preserve">0928.09v2Organizational.1</x:t>
        </x:is>
      </x:c>
      <x:c r="G58" s="19" t="inlineStr">
        <x:is>
          <x:t xml:space="preserve">Many:Many</x:t>
        </x:is>
      </x:c>
      <x:c r="H58" s="12">
        <x:f>COUNTIFS($E:$E,E58,$F:$F,F58)</x:f>
        <x:v>1</x:v>
      </x:c>
      <x:c r="I58" s="24" t="inlineStr">
        <x:is>
          <x:t xml:space="preserve">45 CFR § 164.312(e)(2)(ii)</x:t>
        </x:is>
      </x:c>
      <x:c r="J58" s="24" t="inlineStr">
        <x:is>
          <x:t xml:space="preserve">Transmission Security — Encryption</x:t>
        </x:is>
      </x:c>
      <x:c r="K58" s="24" t="inlineStr">
        <x:is>
          <x:t xml:space="preserve">Direct</x:t>
        </x:is>
      </x:c>
      <x:c r="L58" s="24" t="inlineStr">
        <x:is>
          <x:t xml:space="preserve">Transmission-encryption evidence aligns directly to the transmission-security encryption implementation specification.</x:t>
        </x:is>
      </x:c>
      <x:c r="M58"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8" s="24" t="inlineStr">
        <x:is>
          <x:t xml:space="preserve">Used when the shared action item is explicitly in-transit encryption.</x:t>
        </x:is>
      </x:c>
    </x:row>
    <x:row r="59">
      <x:c r="A59" s="5" t="inlineStr">
        <x:is>
          <x:t xml:space="preserve">HITRUST e1.csv</x:t>
        </x:is>
      </x:c>
      <x:c r="B59" s="5" t="inlineStr">
        <x:is>
          <x:t xml:space="preserve">ER-3</x:t>
        </x:is>
      </x:c>
      <x:c r="C59" s="5" t="inlineStr">
        <x:is>
          <x:t xml:space="preserve">Configuration</x:t>
        </x:is>
      </x:c>
      <x:c r="D59" s="5" t="inlineStr">
        <x:is>
          <x:t xml:space="preserve">Encryption In Transit (Ex. TLS Protocols)</x:t>
        </x:is>
      </x:c>
      <x:c r="E59" s="5" t="inlineStr">
        <x:is>
          <x:t xml:space="preserve">REQ-33-HIPAA</x:t>
        </x:is>
      </x:c>
      <x:c r="F59" s="5" t="inlineStr">
        <x:is>
          <x:t xml:space="preserve">0945.09y1Organizational.3</x:t>
        </x:is>
      </x:c>
      <x:c r="G59" s="19" t="inlineStr">
        <x:is>
          <x:t xml:space="preserve">Many:Many</x:t>
        </x:is>
      </x:c>
      <x:c r="H59" s="12">
        <x:f>COUNTIFS($E:$E,E59,$F:$F,F59)</x:f>
        <x:v>1</x:v>
      </x:c>
      <x:c r="I59" s="24" t="inlineStr">
        <x:is>
          <x:t xml:space="preserve">45 CFR § 164.312(e)(2)(ii)</x:t>
        </x:is>
      </x:c>
      <x:c r="J59" s="24" t="inlineStr">
        <x:is>
          <x:t xml:space="preserve">Transmission Security — Encryption</x:t>
        </x:is>
      </x:c>
      <x:c r="K59" s="24" t="inlineStr">
        <x:is>
          <x:t xml:space="preserve">Direct</x:t>
        </x:is>
      </x:c>
      <x:c r="L59" s="24" t="inlineStr">
        <x:is>
          <x:t xml:space="preserve">Transmission-encryption evidence aligns directly to the transmission-security encryption implementation specification.</x:t>
        </x:is>
      </x:c>
      <x:c r="M59"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9" s="24" t="inlineStr">
        <x:is>
          <x:t xml:space="preserve">Used when the shared action item is explicitly in-transit encryption.</x:t>
        </x:is>
      </x:c>
    </x:row>
    <x:row r="60">
      <x:c r="A60" s="5" t="inlineStr">
        <x:is>
          <x:t xml:space="preserve">HITRUST e1.csv</x:t>
        </x:is>
      </x:c>
      <x:c r="B60" s="5" t="inlineStr">
        <x:is>
          <x:t xml:space="preserve">ER-3</x:t>
        </x:is>
      </x:c>
      <x:c r="C60" s="5" t="inlineStr">
        <x:is>
          <x:t xml:space="preserve">Configuration</x:t>
        </x:is>
      </x:c>
      <x:c r="D60" s="5" t="inlineStr">
        <x:is>
          <x:t xml:space="preserve">Encryption In Transit (Ex. TLS Protocols)</x:t>
        </x:is>
      </x:c>
      <x:c r="E60" s="5" t="inlineStr">
        <x:is>
          <x:t xml:space="preserve">REQ-33-HIPAA</x:t>
        </x:is>
      </x:c>
      <x:c r="F60" s="5" t="inlineStr">
        <x:is>
          <x:t xml:space="preserve">0954.10d1System.1</x:t>
        </x:is>
      </x:c>
      <x:c r="G60" s="19" t="inlineStr">
        <x:is>
          <x:t xml:space="preserve">Many:Many</x:t>
        </x:is>
      </x:c>
      <x:c r="H60" s="12">
        <x:f>COUNTIFS($E:$E,E60,$F:$F,F60)</x:f>
        <x:v>1</x:v>
      </x:c>
      <x:c r="I60" s="24" t="inlineStr">
        <x:is>
          <x:t xml:space="preserve">45 CFR § 164.312(e)(2)(ii)</x:t>
        </x:is>
      </x:c>
      <x:c r="J60" s="24" t="inlineStr">
        <x:is>
          <x:t xml:space="preserve">Transmission Security — Encryption</x:t>
        </x:is>
      </x:c>
      <x:c r="K60" s="24" t="inlineStr">
        <x:is>
          <x:t xml:space="preserve">Direct</x:t>
        </x:is>
      </x:c>
      <x:c r="L60" s="24" t="inlineStr">
        <x:is>
          <x:t xml:space="preserve">Transmission-encryption evidence aligns directly to the transmission-security encryption implementation specification.</x:t>
        </x:is>
      </x:c>
      <x:c r="M60"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0" s="24" t="inlineStr">
        <x:is>
          <x:t xml:space="preserve">Used when the shared action item is explicitly in-transit encryption.</x:t>
        </x:is>
      </x:c>
    </x:row>
    <x:row r="61">
      <x:c r="A61" s="5" t="inlineStr">
        <x:is>
          <x:t xml:space="preserve">HITRUST e1.csv</x:t>
        </x:is>
      </x:c>
      <x:c r="B61" s="5" t="inlineStr">
        <x:is>
          <x:t xml:space="preserve">ER-3</x:t>
        </x:is>
      </x:c>
      <x:c r="C61" s="5" t="inlineStr">
        <x:is>
          <x:t xml:space="preserve">Configuration</x:t>
        </x:is>
      </x:c>
      <x:c r="D61" s="5" t="inlineStr">
        <x:is>
          <x:t xml:space="preserve">Encryption In Transit (Ex. TLS Protocols)</x:t>
        </x:is>
      </x:c>
      <x:c r="E61" s="5" t="inlineStr">
        <x:is>
          <x:t xml:space="preserve">REQ-33-HIPAA</x:t>
        </x:is>
      </x:c>
      <x:c r="F61" s="5" t="inlineStr">
        <x:is>
          <x:t xml:space="preserve">1013.01r1System.2</x:t>
        </x:is>
      </x:c>
      <x:c r="G61" s="19" t="inlineStr">
        <x:is>
          <x:t xml:space="preserve">Many:Many</x:t>
        </x:is>
      </x:c>
      <x:c r="H61" s="12">
        <x:f>COUNTIFS($E:$E,E61,$F:$F,F61)</x:f>
        <x:v>1</x:v>
      </x:c>
      <x:c r="I61" s="24" t="inlineStr">
        <x:is>
          <x:t xml:space="preserve">45 CFR § 164.312(e)(2)(ii)</x:t>
        </x:is>
      </x:c>
      <x:c r="J61" s="24" t="inlineStr">
        <x:is>
          <x:t xml:space="preserve">Transmission Security — Encryption</x:t>
        </x:is>
      </x:c>
      <x:c r="K61" s="24" t="inlineStr">
        <x:is>
          <x:t xml:space="preserve">Direct</x:t>
        </x:is>
      </x:c>
      <x:c r="L61" s="24" t="inlineStr">
        <x:is>
          <x:t xml:space="preserve">Transmission-encryption evidence aligns directly to the transmission-security encryption implementation specification.</x:t>
        </x:is>
      </x:c>
      <x:c r="M61"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1" s="24" t="inlineStr">
        <x:is>
          <x:t xml:space="preserve">Used when the shared action item is explicitly in-transit encryption.</x:t>
        </x:is>
      </x:c>
    </x:row>
    <x:row r="62">
      <x:c r="A62" s="5" t="inlineStr">
        <x:is>
          <x:t xml:space="preserve">HITRUST e1.csv</x:t>
        </x:is>
      </x:c>
      <x:c r="B62" s="5" t="inlineStr">
        <x:is>
          <x:t xml:space="preserve">ER-3</x:t>
        </x:is>
      </x:c>
      <x:c r="C62" s="5" t="inlineStr">
        <x:is>
          <x:t xml:space="preserve">Configuration</x:t>
        </x:is>
      </x:c>
      <x:c r="D62" s="5" t="inlineStr">
        <x:is>
          <x:t xml:space="preserve">Encryption In Transit (Ex. TLS Protocols)</x:t>
        </x:is>
      </x:c>
      <x:c r="E62" s="5" t="inlineStr">
        <x:is>
          <x:t xml:space="preserve">REQ-35-HIPAA</x:t>
        </x:is>
      </x:c>
      <x:c r="F62" s="5" t="inlineStr">
        <x:is>
          <x:t xml:space="preserve">04.01x1Organizational.5</x:t>
        </x:is>
      </x:c>
      <x:c r="G62" s="19" t="inlineStr">
        <x:is>
          <x:t xml:space="preserve">Many:Many</x:t>
        </x:is>
      </x:c>
      <x:c r="H62" s="12">
        <x:f>COUNTIFS($E:$E,E62,$F:$F,F62)</x:f>
        <x:v>2</x:v>
      </x:c>
      <x:c r="I62" s="24" t="inlineStr">
        <x:is>
          <x:t xml:space="preserve">45 CFR § 164.312(e)(2)(ii)</x:t>
        </x:is>
      </x:c>
      <x:c r="J62" s="24" t="inlineStr">
        <x:is>
          <x:t xml:space="preserve">Transmission Security — Encryption</x:t>
        </x:is>
      </x:c>
      <x:c r="K62" s="24" t="inlineStr">
        <x:is>
          <x:t xml:space="preserve">Direct</x:t>
        </x:is>
      </x:c>
      <x:c r="L62" s="24" t="inlineStr">
        <x:is>
          <x:t xml:space="preserve">Action item explicitly addresses encryption in transit.</x:t>
        </x:is>
      </x:c>
      <x:c r="M62"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2" s="24" t="inlineStr">
        <x:is>
          <x:t xml:space="preserve">Used for transport/TLS evidence.</x:t>
        </x:is>
      </x:c>
    </x:row>
    <x:row r="63">
      <x:c r="A63" s="5" t="inlineStr">
        <x:is>
          <x:t xml:space="preserve">HITRUST e1.csv</x:t>
        </x:is>
      </x:c>
      <x:c r="B63" s="5" t="inlineStr">
        <x:is>
          <x:t xml:space="preserve">ER-3</x:t>
        </x:is>
      </x:c>
      <x:c r="C63" s="5" t="inlineStr">
        <x:is>
          <x:t xml:space="preserve">Configuration</x:t>
        </x:is>
      </x:c>
      <x:c r="D63" s="5" t="inlineStr">
        <x:is>
          <x:t xml:space="preserve">Encryption In Transit (Ex. TLS Protocols)</x:t>
        </x:is>
      </x:c>
      <x:c r="E63" s="5" t="inlineStr">
        <x:is>
          <x:t xml:space="preserve">REQ-35-HIPAA</x:t>
        </x:is>
      </x:c>
      <x:c r="F63" s="5" t="inlineStr">
        <x:is>
          <x:t xml:space="preserve">0862.09m2Organizational.8</x:t>
        </x:is>
      </x:c>
      <x:c r="G63" s="19" t="inlineStr">
        <x:is>
          <x:t xml:space="preserve">Many:Many</x:t>
        </x:is>
      </x:c>
      <x:c r="H63" s="12">
        <x:f>COUNTIFS($E:$E,E63,$F:$F,F63)</x:f>
        <x:v>1</x:v>
      </x:c>
      <x:c r="I63" s="24" t="inlineStr">
        <x:is>
          <x:t xml:space="preserve">45 CFR § 164.312(e)(2)(ii)</x:t>
        </x:is>
      </x:c>
      <x:c r="J63" s="24" t="inlineStr">
        <x:is>
          <x:t xml:space="preserve">Transmission Security — Encryption</x:t>
        </x:is>
      </x:c>
      <x:c r="K63" s="24" t="inlineStr">
        <x:is>
          <x:t xml:space="preserve">Direct</x:t>
        </x:is>
      </x:c>
      <x:c r="L63" s="24" t="inlineStr">
        <x:is>
          <x:t xml:space="preserve">Action item explicitly addresses encryption in transit.</x:t>
        </x:is>
      </x:c>
      <x:c r="M63"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3" s="24" t="inlineStr">
        <x:is>
          <x:t xml:space="preserve">Used for transport/TLS evidence.</x:t>
        </x:is>
      </x:c>
    </x:row>
    <x:row r="64">
      <x:c r="A64" s="5" t="inlineStr">
        <x:is>
          <x:t xml:space="preserve">HITRUST e1.csv</x:t>
        </x:is>
      </x:c>
      <x:c r="B64" s="5" t="inlineStr">
        <x:is>
          <x:t xml:space="preserve">ER-3</x:t>
        </x:is>
      </x:c>
      <x:c r="C64" s="5" t="inlineStr">
        <x:is>
          <x:t xml:space="preserve">Configuration</x:t>
        </x:is>
      </x:c>
      <x:c r="D64" s="5" t="inlineStr">
        <x:is>
          <x:t xml:space="preserve">Encryption In Transit (Ex. TLS Protocols)</x:t>
        </x:is>
      </x:c>
      <x:c r="E64" s="5" t="inlineStr">
        <x:is>
          <x:t xml:space="preserve">REQ-35-HIPAA</x:t>
        </x:is>
      </x:c>
      <x:c r="F64" s="5" t="inlineStr">
        <x:is>
          <x:t xml:space="preserve">0903.10f1Organizational.1.a</x:t>
        </x:is>
      </x:c>
      <x:c r="G64" s="19" t="inlineStr">
        <x:is>
          <x:t xml:space="preserve">Many:Many</x:t>
        </x:is>
      </x:c>
      <x:c r="H64" s="12">
        <x:f>COUNTIFS($E:$E,E64,$F:$F,F64)</x:f>
        <x:v>1</x:v>
      </x:c>
      <x:c r="I64" s="24" t="inlineStr">
        <x:is>
          <x:t xml:space="preserve">45 CFR § 164.312(e)(2)(ii)</x:t>
        </x:is>
      </x:c>
      <x:c r="J64" s="24" t="inlineStr">
        <x:is>
          <x:t xml:space="preserve">Transmission Security — Encryption</x:t>
        </x:is>
      </x:c>
      <x:c r="K64" s="24" t="inlineStr">
        <x:is>
          <x:t xml:space="preserve">Direct</x:t>
        </x:is>
      </x:c>
      <x:c r="L64" s="24" t="inlineStr">
        <x:is>
          <x:t xml:space="preserve">Action item explicitly addresses encryption in transit.</x:t>
        </x:is>
      </x:c>
      <x:c r="M64"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4" s="24" t="inlineStr">
        <x:is>
          <x:t xml:space="preserve">Used for transport/TLS evidence.</x:t>
        </x:is>
      </x:c>
    </x:row>
    <x:row r="65">
      <x:c r="A65" s="5" t="inlineStr">
        <x:is>
          <x:t xml:space="preserve">HITRUST e1.csv</x:t>
        </x:is>
      </x:c>
      <x:c r="B65" s="5" t="inlineStr">
        <x:is>
          <x:t xml:space="preserve">ER-3</x:t>
        </x:is>
      </x:c>
      <x:c r="C65" s="5" t="inlineStr">
        <x:is>
          <x:t xml:space="preserve">Configuration</x:t>
        </x:is>
      </x:c>
      <x:c r="D65" s="5" t="inlineStr">
        <x:is>
          <x:t xml:space="preserve">Encryption In Transit (Ex. TLS Protocols)</x:t>
        </x:is>
      </x:c>
      <x:c r="E65" s="5" t="inlineStr">
        <x:is>
          <x:t xml:space="preserve">REQ-35-HIPAA</x:t>
        </x:is>
      </x:c>
      <x:c r="F65" s="5" t="inlineStr">
        <x:is>
          <x:t xml:space="preserve">0913.09s1Organizational.5</x:t>
        </x:is>
      </x:c>
      <x:c r="G65" s="19" t="inlineStr">
        <x:is>
          <x:t xml:space="preserve">Many:Many</x:t>
        </x:is>
      </x:c>
      <x:c r="H65" s="12">
        <x:f>COUNTIFS($E:$E,E65,$F:$F,F65)</x:f>
        <x:v>1</x:v>
      </x:c>
      <x:c r="I65" s="24" t="inlineStr">
        <x:is>
          <x:t xml:space="preserve">45 CFR § 164.312(e)(2)(ii)</x:t>
        </x:is>
      </x:c>
      <x:c r="J65" s="24" t="inlineStr">
        <x:is>
          <x:t xml:space="preserve">Transmission Security — Encryption</x:t>
        </x:is>
      </x:c>
      <x:c r="K65" s="24" t="inlineStr">
        <x:is>
          <x:t xml:space="preserve">Direct</x:t>
        </x:is>
      </x:c>
      <x:c r="L65" s="24" t="inlineStr">
        <x:is>
          <x:t xml:space="preserve">Action item explicitly addresses encryption in transit.</x:t>
        </x:is>
      </x:c>
      <x:c r="M65"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5" s="24" t="inlineStr">
        <x:is>
          <x:t xml:space="preserve">Used for transport/TLS evidence.</x:t>
        </x:is>
      </x:c>
    </x:row>
    <x:row r="66">
      <x:c r="A66" s="5" t="inlineStr">
        <x:is>
          <x:t xml:space="preserve">HITRUST e1.csv</x:t>
        </x:is>
      </x:c>
      <x:c r="B66" s="5" t="inlineStr">
        <x:is>
          <x:t xml:space="preserve">ER-3</x:t>
        </x:is>
      </x:c>
      <x:c r="C66" s="5" t="inlineStr">
        <x:is>
          <x:t xml:space="preserve">Configuration</x:t>
        </x:is>
      </x:c>
      <x:c r="D66" s="5" t="inlineStr">
        <x:is>
          <x:t xml:space="preserve">Encryption In Transit (Ex. TLS Protocols)</x:t>
        </x:is>
      </x:c>
      <x:c r="E66" s="5" t="inlineStr">
        <x:is>
          <x:t xml:space="preserve">REQ-35-HIPAA</x:t>
        </x:is>
      </x:c>
      <x:c r="F66" s="5" t="inlineStr">
        <x:is>
          <x:t xml:space="preserve">0928.09v2Organizational.1</x:t>
        </x:is>
      </x:c>
      <x:c r="G66" s="19" t="inlineStr">
        <x:is>
          <x:t xml:space="preserve">Many:Many</x:t>
        </x:is>
      </x:c>
      <x:c r="H66" s="12">
        <x:f>COUNTIFS($E:$E,E66,$F:$F,F66)</x:f>
        <x:v>1</x:v>
      </x:c>
      <x:c r="I66" s="24" t="inlineStr">
        <x:is>
          <x:t xml:space="preserve">45 CFR § 164.312(e)(2)(ii)</x:t>
        </x:is>
      </x:c>
      <x:c r="J66" s="24" t="inlineStr">
        <x:is>
          <x:t xml:space="preserve">Transmission Security — Encryption</x:t>
        </x:is>
      </x:c>
      <x:c r="K66" s="24" t="inlineStr">
        <x:is>
          <x:t xml:space="preserve">Direct</x:t>
        </x:is>
      </x:c>
      <x:c r="L66" s="24" t="inlineStr">
        <x:is>
          <x:t xml:space="preserve">Action item explicitly addresses encryption in transit.</x:t>
        </x:is>
      </x:c>
      <x:c r="M66"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6" s="24" t="inlineStr">
        <x:is>
          <x:t xml:space="preserve">Used for transport/TLS evidence.</x:t>
        </x:is>
      </x:c>
    </x:row>
    <x:row r="67">
      <x:c r="A67" s="5" t="inlineStr">
        <x:is>
          <x:t xml:space="preserve">HITRUST e1.csv</x:t>
        </x:is>
      </x:c>
      <x:c r="B67" s="5" t="inlineStr">
        <x:is>
          <x:t xml:space="preserve">ER-3</x:t>
        </x:is>
      </x:c>
      <x:c r="C67" s="5" t="inlineStr">
        <x:is>
          <x:t xml:space="preserve">Configuration</x:t>
        </x:is>
      </x:c>
      <x:c r="D67" s="5" t="inlineStr">
        <x:is>
          <x:t xml:space="preserve">Encryption In Transit (Ex. TLS Protocols)</x:t>
        </x:is>
      </x:c>
      <x:c r="E67" s="5" t="inlineStr">
        <x:is>
          <x:t xml:space="preserve">REQ-35-HIPAA</x:t>
        </x:is>
      </x:c>
      <x:c r="F67" s="5" t="inlineStr">
        <x:is>
          <x:t xml:space="preserve">0945.09y1Organizational.3</x:t>
        </x:is>
      </x:c>
      <x:c r="G67" s="19" t="inlineStr">
        <x:is>
          <x:t xml:space="preserve">Many:Many</x:t>
        </x:is>
      </x:c>
      <x:c r="H67" s="12">
        <x:f>COUNTIFS($E:$E,E67,$F:$F,F67)</x:f>
        <x:v>1</x:v>
      </x:c>
      <x:c r="I67" s="24" t="inlineStr">
        <x:is>
          <x:t xml:space="preserve">45 CFR § 164.312(e)(2)(ii)</x:t>
        </x:is>
      </x:c>
      <x:c r="J67" s="24" t="inlineStr">
        <x:is>
          <x:t xml:space="preserve">Transmission Security — Encryption</x:t>
        </x:is>
      </x:c>
      <x:c r="K67" s="24" t="inlineStr">
        <x:is>
          <x:t xml:space="preserve">Direct</x:t>
        </x:is>
      </x:c>
      <x:c r="L67" s="24" t="inlineStr">
        <x:is>
          <x:t xml:space="preserve">Action item explicitly addresses encryption in transit.</x:t>
        </x:is>
      </x:c>
      <x:c r="M67"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7" s="24" t="inlineStr">
        <x:is>
          <x:t xml:space="preserve">Used for transport/TLS evidence.</x:t>
        </x:is>
      </x:c>
    </x:row>
    <x:row r="68">
      <x:c r="A68" s="5" t="inlineStr">
        <x:is>
          <x:t xml:space="preserve">HITRUST e1.csv</x:t>
        </x:is>
      </x:c>
      <x:c r="B68" s="5" t="inlineStr">
        <x:is>
          <x:t xml:space="preserve">ER-3</x:t>
        </x:is>
      </x:c>
      <x:c r="C68" s="5" t="inlineStr">
        <x:is>
          <x:t xml:space="preserve">Configuration</x:t>
        </x:is>
      </x:c>
      <x:c r="D68" s="5" t="inlineStr">
        <x:is>
          <x:t xml:space="preserve">Encryption In Transit (Ex. TLS Protocols)</x:t>
        </x:is>
      </x:c>
      <x:c r="E68" s="5" t="inlineStr">
        <x:is>
          <x:t xml:space="preserve">REQ-35-HIPAA</x:t>
        </x:is>
      </x:c>
      <x:c r="F68" s="5" t="inlineStr">
        <x:is>
          <x:t xml:space="preserve">0954.10d1System.1</x:t>
        </x:is>
      </x:c>
      <x:c r="G68" s="19" t="inlineStr">
        <x:is>
          <x:t xml:space="preserve">Many:Many</x:t>
        </x:is>
      </x:c>
      <x:c r="H68" s="12">
        <x:f>COUNTIFS($E:$E,E68,$F:$F,F68)</x:f>
        <x:v>1</x:v>
      </x:c>
      <x:c r="I68" s="24" t="inlineStr">
        <x:is>
          <x:t xml:space="preserve">45 CFR § 164.312(e)(2)(ii)</x:t>
        </x:is>
      </x:c>
      <x:c r="J68" s="24" t="inlineStr">
        <x:is>
          <x:t xml:space="preserve">Transmission Security — Encryption</x:t>
        </x:is>
      </x:c>
      <x:c r="K68" s="24" t="inlineStr">
        <x:is>
          <x:t xml:space="preserve">Direct</x:t>
        </x:is>
      </x:c>
      <x:c r="L68" s="24" t="inlineStr">
        <x:is>
          <x:t xml:space="preserve">Action item explicitly addresses encryption in transit.</x:t>
        </x:is>
      </x:c>
      <x:c r="M68"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8" s="24" t="inlineStr">
        <x:is>
          <x:t xml:space="preserve">Used for transport/TLS evidence.</x:t>
        </x:is>
      </x:c>
    </x:row>
    <x:row r="69">
      <x:c r="A69" s="5" t="inlineStr">
        <x:is>
          <x:t xml:space="preserve">HITRUST e1.csv</x:t>
        </x:is>
      </x:c>
      <x:c r="B69" s="5" t="inlineStr">
        <x:is>
          <x:t xml:space="preserve">ER-3</x:t>
        </x:is>
      </x:c>
      <x:c r="C69" s="5" t="inlineStr">
        <x:is>
          <x:t xml:space="preserve">Configuration</x:t>
        </x:is>
      </x:c>
      <x:c r="D69" s="5" t="inlineStr">
        <x:is>
          <x:t xml:space="preserve">Encryption In Transit (Ex. TLS Protocols)</x:t>
        </x:is>
      </x:c>
      <x:c r="E69" s="5" t="inlineStr">
        <x:is>
          <x:t xml:space="preserve">REQ-35-HIPAA</x:t>
        </x:is>
      </x:c>
      <x:c r="F69" s="5" t="inlineStr">
        <x:is>
          <x:t xml:space="preserve">1013.01r1System.2</x:t>
        </x:is>
      </x:c>
      <x:c r="G69" s="19" t="inlineStr">
        <x:is>
          <x:t xml:space="preserve">Many:Many</x:t>
        </x:is>
      </x:c>
      <x:c r="H69" s="12">
        <x:f>COUNTIFS($E:$E,E69,$F:$F,F69)</x:f>
        <x:v>1</x:v>
      </x:c>
      <x:c r="I69" s="24" t="inlineStr">
        <x:is>
          <x:t xml:space="preserve">45 CFR § 164.312(e)(2)(ii)</x:t>
        </x:is>
      </x:c>
      <x:c r="J69" s="24" t="inlineStr">
        <x:is>
          <x:t xml:space="preserve">Transmission Security — Encryption</x:t>
        </x:is>
      </x:c>
      <x:c r="K69" s="24" t="inlineStr">
        <x:is>
          <x:t xml:space="preserve">Direct</x:t>
        </x:is>
      </x:c>
      <x:c r="L69" s="24" t="inlineStr">
        <x:is>
          <x:t xml:space="preserve">Action item explicitly addresses encryption in transit.</x:t>
        </x:is>
      </x:c>
      <x:c r="M69"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9" s="24" t="inlineStr">
        <x:is>
          <x:t xml:space="preserve">Used for transport/TLS evidence.</x:t>
        </x:is>
      </x:c>
    </x:row>
    <x:row r="70">
      <x:c r="A70" s="5" t="inlineStr">
        <x:is>
          <x:t xml:space="preserve">HITRUST e1.csv</x:t>
        </x:is>
      </x:c>
      <x:c r="B70" s="5" t="inlineStr">
        <x:is>
          <x:t xml:space="preserve">ER-88</x:t>
        </x:is>
      </x:c>
      <x:c r="C70" s="5" t="inlineStr">
        <x:is>
          <x:t xml:space="preserve">Configuration</x:t>
        </x:is>
      </x:c>
      <x:c r="D70" s="5" t="inlineStr">
        <x:is>
          <x:t xml:space="preserve">Evidence of Multi-Factor Authentication</x:t>
        </x:is>
      </x:c>
      <x:c r="E70" s="5" t="inlineStr">
        <x:is>
          <x:t xml:space="preserve">REQ-27-HIPAA</x:t>
        </x:is>
      </x:c>
      <x:c r="F70" s="5" t="inlineStr">
        <x:is>
          <x:t xml:space="preserve">11.01q1System.3</x:t>
        </x:is>
      </x:c>
      <x:c r="G70" s="20" t="inlineStr">
        <x:is>
          <x:t xml:space="preserve">1:Many</x:t>
        </x:is>
      </x:c>
      <x:c r="H70" s="12">
        <x:f>COUNTIFS($E:$E,E70,$F:$F,F70)</x:f>
        <x:v>1</x:v>
      </x:c>
      <x:c r="I70" s="24" t="inlineStr">
        <x:is>
          <x:t xml:space="preserve">45 CFR § 164.312(d)</x:t>
        </x:is>
      </x:c>
      <x:c r="J70" s="24" t="inlineStr">
        <x:is>
          <x:t xml:space="preserve">Person or Entity Authentication</x:t>
        </x:is>
      </x:c>
      <x:c r="K70" s="24" t="inlineStr">
        <x:is>
          <x:t xml:space="preserve">Direct</x:t>
        </x:is>
      </x:c>
      <x:c r="L70" s="24" t="inlineStr">
        <x:is>
          <x:t xml:space="preserve">MFA evidence most directly supports verifying that the person or entity seeking access is the one claimed.</x:t>
        </x:is>
      </x:c>
      <x:c r="M70" s="24"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N70" s="24" t="inlineStr">
        <x:is>
          <x:t xml:space="preserve">HIPAA does not mandate a specific technology such as MFA in all cases, but MFA evidence is a strong implementation of this standard.</x:t>
        </x:is>
      </x:c>
    </x:row>
    <x:row r="71">
      <x:c r="A71" s="5" t="inlineStr">
        <x:is>
          <x:t xml:space="preserve">HITRUST e1.csv</x:t>
        </x:is>
      </x:c>
      <x:c r="B71" s="5" t="inlineStr">
        <x:is>
          <x:t xml:space="preserve">ER-88</x:t>
        </x:is>
      </x:c>
      <x:c r="C71" s="5" t="inlineStr">
        <x:is>
          <x:t xml:space="preserve">Configuration</x:t>
        </x:is>
      </x:c>
      <x:c r="D71" s="5" t="inlineStr">
        <x:is>
          <x:t xml:space="preserve">Evidence of Multi-Factor Authentication</x:t>
        </x:is>
      </x:c>
      <x:c r="E71" s="5" t="inlineStr">
        <x:is>
          <x:t xml:space="preserve">REQ-27-HIPAA</x:t>
        </x:is>
      </x:c>
      <x:c r="F71" s="5" t="inlineStr">
        <x:is>
          <x:t xml:space="preserve">11.01q1System.4</x:t>
        </x:is>
      </x:c>
      <x:c r="G71" s="20" t="inlineStr">
        <x:is>
          <x:t xml:space="preserve">1:Many</x:t>
        </x:is>
      </x:c>
      <x:c r="H71" s="12">
        <x:f>COUNTIFS($E:$E,E71,$F:$F,F71)</x:f>
        <x:v>1</x:v>
      </x:c>
      <x:c r="I71" s="24" t="inlineStr">
        <x:is>
          <x:t xml:space="preserve">45 CFR § 164.312(d)</x:t>
        </x:is>
      </x:c>
      <x:c r="J71" s="24" t="inlineStr">
        <x:is>
          <x:t xml:space="preserve">Person or Entity Authentication</x:t>
        </x:is>
      </x:c>
      <x:c r="K71" s="24" t="inlineStr">
        <x:is>
          <x:t xml:space="preserve">Direct</x:t>
        </x:is>
      </x:c>
      <x:c r="L71" s="24" t="inlineStr">
        <x:is>
          <x:t xml:space="preserve">MFA evidence most directly supports verifying that the person or entity seeking access is the one claimed.</x:t>
        </x:is>
      </x:c>
      <x:c r="M71" s="24"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N71" s="24" t="inlineStr">
        <x:is>
          <x:t xml:space="preserve">HIPAA does not mandate a specific technology such as MFA in all cases, but MFA evidence is a strong implementation of this standard.</x:t>
        </x:is>
      </x:c>
    </x:row>
    <x:row r="72">
      <x:c r="A72" s="5" t="inlineStr">
        <x:is>
          <x:t xml:space="preserve">HITRUST e1.csv</x:t>
        </x:is>
      </x:c>
      <x:c r="B72" s="5" t="inlineStr">
        <x:is>
          <x:t xml:space="preserve">ER-53</x:t>
        </x:is>
      </x:c>
      <x:c r="C72" s="5" t="inlineStr">
        <x:is>
          <x:t xml:space="preserve">Sample</x:t>
        </x:is>
      </x:c>
      <x:c r="D72" s="5" t="inlineStr">
        <x:is>
          <x:t xml:space="preserve">Evidence of Vulnerability Scan Results</x:t>
        </x:is>
      </x:c>
      <x:c r="E72" s="5" t="inlineStr">
        <x:is>
          <x:t xml:space="preserve">REQ-46-HIPAA</x:t>
        </x:is>
      </x:c>
      <x:c r="F72" s="5" t="inlineStr">
        <x:is>
          <x:t xml:space="preserve">07.10m1Organizational.3</x:t>
        </x:is>
      </x:c>
      <x:c r="G72" s="17" t="inlineStr">
        <x:is>
          <x:t xml:space="preserve">Many:1</x:t>
        </x:is>
      </x:c>
      <x:c r="H72" s="12">
        <x:f>COUNTIFS($E:$E,E72,$F:$F,F72)</x:f>
        <x:v>1</x:v>
      </x:c>
      <x:c r="I72" s="24" t="inlineStr">
        <x:is>
          <x:t xml:space="preserve">45 CFR § 164.308(a)(1)(ii)(A)</x:t>
        </x:is>
      </x:c>
      <x:c r="J72" s="24" t="inlineStr">
        <x:is>
          <x:t xml:space="preserve">Security Management Process — Risk Analysis</x:t>
        </x:is>
      </x:c>
      <x:c r="K72" s="24" t="inlineStr">
        <x:is>
          <x:t xml:space="preserve">Best-fit</x:t>
        </x:is>
      </x:c>
      <x:c r="L72" s="24" t="inlineStr">
        <x:is>
          <x:t xml:space="preserve">OCR guidance identifies vulnerability scanning as one way to identify risks and vulnerabilities to ePHI.</x:t>
        </x:is>
      </x:c>
      <x:c r="M72" s="24"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N72" s="24" t="inlineStr">
        <x:is>
          <x:t xml:space="preserve">Used for vulnerability-scan result evidence.</x:t>
        </x:is>
      </x:c>
    </x:row>
    <x:row r="73">
      <x:c r="A73" s="5" t="inlineStr">
        <x:is>
          <x:t xml:space="preserve">HITRUST e1.csv</x:t>
        </x:is>
      </x:c>
      <x:c r="B73" s="5" t="inlineStr">
        <x:is>
          <x:t xml:space="preserve">ER-53</x:t>
        </x:is>
      </x:c>
      <x:c r="C73" s="5" t="inlineStr">
        <x:is>
          <x:t xml:space="preserve">Sample</x:t>
        </x:is>
      </x:c>
      <x:c r="D73" s="5" t="inlineStr">
        <x:is>
          <x:t xml:space="preserve">Evidence of Vulnerability Scan Results</x:t>
        </x:is>
      </x:c>
      <x:c r="E73" s="5" t="inlineStr">
        <x:is>
          <x:t xml:space="preserve">REQ-47-HIPAA</x:t>
        </x:is>
      </x:c>
      <x:c r="F73" s="5" t="inlineStr">
        <x:is>
          <x:t xml:space="preserve">07.10m1Organizational.3</x:t>
        </x:is>
      </x:c>
      <x:c r="G73" s="17" t="inlineStr">
        <x:is>
          <x:t xml:space="preserve">Many:1</x:t>
        </x:is>
      </x:c>
      <x:c r="H73" s="12">
        <x:f>COUNTIFS($E:$E,E73,$F:$F,F73)</x:f>
        <x:v>1</x:v>
      </x:c>
      <x:c r="I73" s="24" t="inlineStr">
        <x:is>
          <x:t xml:space="preserve">45 CFR § 164.308(a)(1)(ii)(B)</x:t>
        </x:is>
      </x:c>
      <x:c r="J73" s="24" t="inlineStr">
        <x:is>
          <x:t xml:space="preserve">Security Management Process — Risk Management</x:t>
        </x:is>
      </x:c>
      <x:c r="K73" s="24" t="inlineStr">
        <x:is>
          <x:t xml:space="preserve">Best-fit</x:t>
        </x:is>
      </x:c>
      <x:c r="L73" s="24" t="inlineStr">
        <x:is>
          <x:t xml:space="preserve">Vulnerability remediation is the treatment/mitigation step after risks are identified.</x:t>
        </x:is>
      </x:c>
      <x:c r="M73" s="24"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N73" s="24" t="inlineStr">
        <x:is>
          <x:t xml:space="preserve">Used for remediation evidence and related patch/vulnerability-management policy rows.</x:t>
        </x:is>
      </x:c>
    </x:row>
    <x:row r="74">
      <x:c r="A74" s="5" t="inlineStr">
        <x:is>
          <x:t xml:space="preserve">HITRUST e1.csv</x:t>
        </x:is>
      </x:c>
      <x:c r="B74" s="5" t="inlineStr">
        <x:is>
          <x:t xml:space="preserve">ER-91</x:t>
        </x:is>
      </x:c>
      <x:c r="C74" s="5" t="inlineStr">
        <x:is>
          <x:t xml:space="preserve">Configuration</x:t>
        </x:is>
      </x:c>
      <x:c r="D74" s="5" t="inlineStr">
        <x:is>
          <x:t xml:space="preserve">Firewall Rules/Security Groups</x:t>
        </x:is>
      </x:c>
      <x:c r="E74" s="5" t="inlineStr">
        <x:is>
          <x:t xml:space="preserve">REQ-37-HIPAA</x:t>
        </x:is>
      </x:c>
      <x:c r="F74" s="5" t="inlineStr">
        <x:is>
          <x:t xml:space="preserve">0265.09m1Organizational.2</x:t>
        </x:is>
      </x:c>
      <x:c r="G74" s="20" t="inlineStr">
        <x:is>
          <x:t xml:space="preserve">1:Many</x:t>
        </x:is>
      </x:c>
      <x:c r="H74" s="12">
        <x:f>COUNTIFS($E:$E,E74,$F:$F,F74)</x:f>
        <x:v>1</x:v>
      </x:c>
      <x:c r="I74" s="24" t="inlineStr">
        <x:is>
          <x:t xml:space="preserve">45 CFR § 164.312(a)(1)</x:t>
        </x:is>
      </x:c>
      <x:c r="J74" s="24" t="inlineStr">
        <x:is>
          <x:t xml:space="preserve">Access Control</x:t>
        </x:is>
      </x:c>
      <x:c r="K74" s="24" t="inlineStr">
        <x:is>
          <x:t xml:space="preserve">Best-fit</x:t>
        </x:is>
      </x:c>
      <x:c r="L74" s="24" t="inlineStr">
        <x:is>
          <x:t xml:space="preserve">Firewall rules/security groups are a technical means of enforcing access restrictions around systems containing ePHI.</x:t>
        </x:is>
      </x:c>
      <x:c r="M74" s="24"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N74" s="24" t="inlineStr">
        <x:is>
          <x:t xml:space="preserve">Mapped to the broad access-control standard because HIPAA does not list firewall rules as a separate named specification.</x:t>
        </x:is>
      </x:c>
    </x:row>
    <x:row r="75">
      <x:c r="A75" s="5" t="inlineStr">
        <x:is>
          <x:t xml:space="preserve">HITRUST e1.csv</x:t>
        </x:is>
      </x:c>
      <x:c r="B75" s="5" t="inlineStr">
        <x:is>
          <x:t xml:space="preserve">ER-91</x:t>
        </x:is>
      </x:c>
      <x:c r="C75" s="5" t="inlineStr">
        <x:is>
          <x:t xml:space="preserve">Configuration</x:t>
        </x:is>
      </x:c>
      <x:c r="D75" s="5" t="inlineStr">
        <x:is>
          <x:t xml:space="preserve">Firewall Rules/Security Groups</x:t>
        </x:is>
      </x:c>
      <x:c r="E75" s="5" t="inlineStr">
        <x:is>
          <x:t xml:space="preserve">REQ-37-HIPAA</x:t>
        </x:is>
      </x:c>
      <x:c r="F75" s="5" t="inlineStr">
        <x:is>
          <x:t xml:space="preserve">0805.01m1Organizational.12</x:t>
        </x:is>
      </x:c>
      <x:c r="G75" s="20" t="inlineStr">
        <x:is>
          <x:t xml:space="preserve">1:Many</x:t>
        </x:is>
      </x:c>
      <x:c r="H75" s="12">
        <x:f>COUNTIFS($E:$E,E75,$F:$F,F75)</x:f>
        <x:v>1</x:v>
      </x:c>
      <x:c r="I75" s="24" t="inlineStr">
        <x:is>
          <x:t xml:space="preserve">45 CFR § 164.312(a)(1)</x:t>
        </x:is>
      </x:c>
      <x:c r="J75" s="24" t="inlineStr">
        <x:is>
          <x:t xml:space="preserve">Access Control</x:t>
        </x:is>
      </x:c>
      <x:c r="K75" s="24" t="inlineStr">
        <x:is>
          <x:t xml:space="preserve">Best-fit</x:t>
        </x:is>
      </x:c>
      <x:c r="L75" s="24" t="inlineStr">
        <x:is>
          <x:t xml:space="preserve">Firewall rules/security groups are a technical means of enforcing access restrictions around systems containing ePHI.</x:t>
        </x:is>
      </x:c>
      <x:c r="M75" s="24"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N75" s="24" t="inlineStr">
        <x:is>
          <x:t xml:space="preserve">Mapped to the broad access-control standard because HIPAA does not list firewall rules as a separate named specification.</x:t>
        </x:is>
      </x:c>
    </x:row>
    <x:row r="76">
      <x:c r="A76" s="5" t="inlineStr">
        <x:is>
          <x:t xml:space="preserve">HITRUST e1.csv</x:t>
        </x:is>
      </x:c>
      <x:c r="B76" s="5" t="inlineStr">
        <x:is>
          <x:t xml:space="preserve">ER-55</x:t>
        </x:is>
      </x:c>
      <x:c r="C76" s="5" t="inlineStr">
        <x:is>
          <x:t xml:space="preserve">Policy</x:t>
        </x:is>
      </x:c>
      <x:c r="D76" s="5" t="inlineStr">
        <x:is>
          <x:t xml:space="preserve">Incident Response</x:t>
        </x:is>
      </x:c>
      <x:c r="E76" s="5" t="inlineStr">
        <x:is>
          <x:t xml:space="preserve">REQ-48-HIPAA</x:t>
        </x:is>
      </x:c>
      <x:c r="F76" s="5" t="inlineStr">
        <x:is>
          <x:t xml:space="preserve">1561.11c1Organizational.4</x:t>
        </x:is>
      </x:c>
      <x:c r="G76" s="19" t="inlineStr">
        <x:is>
          <x:t xml:space="preserve">Many:Many</x:t>
        </x:is>
      </x:c>
      <x:c r="H76" s="12">
        <x:f>COUNTIFS($E:$E,E76,$F:$F,F76)</x:f>
        <x:v>1</x:v>
      </x:c>
      <x:c r="I76" s="24" t="inlineStr">
        <x:is>
          <x:t xml:space="preserve">45 CFR § 164.308(a)(6)(i)</x:t>
        </x:is>
      </x:c>
      <x:c r="J76" s="24" t="inlineStr">
        <x:is>
          <x:t xml:space="preserve">Security Incident Procedures</x:t>
        </x:is>
      </x:c>
      <x:c r="K76" s="24" t="inlineStr">
        <x:is>
          <x:t xml:space="preserve">Direct</x:t>
        </x:is>
      </x:c>
      <x:c r="L76" s="24" t="inlineStr">
        <x:is>
          <x:t xml:space="preserve">Incident-response policy aligns directly to the Security Incident Procedures standard.</x:t>
        </x:is>
      </x:c>
      <x:c r="M76"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6" s="24" t="inlineStr">
        <x:is>
          <x:t xml:space="preserve">Used for policy-level incident-response rows.</x:t>
        </x:is>
      </x:c>
    </x:row>
    <x:row r="77">
      <x:c r="A77" s="5" t="inlineStr">
        <x:is>
          <x:t xml:space="preserve">HITRUST e1.csv</x:t>
        </x:is>
      </x:c>
      <x:c r="B77" s="5" t="inlineStr">
        <x:is>
          <x:t xml:space="preserve">ER-55</x:t>
        </x:is>
      </x:c>
      <x:c r="C77" s="5" t="inlineStr">
        <x:is>
          <x:t xml:space="preserve">Policy</x:t>
        </x:is>
      </x:c>
      <x:c r="D77" s="5" t="inlineStr">
        <x:is>
          <x:t xml:space="preserve">Incident Response</x:t>
        </x:is>
      </x:c>
      <x:c r="E77" s="5" t="inlineStr">
        <x:is>
          <x:t xml:space="preserve">REQ-48-HIPAA</x:t>
        </x:is>
      </x:c>
      <x:c r="F77" s="5" t="inlineStr">
        <x:is>
          <x:t xml:space="preserve">1589.11c1Organizational.5</x:t>
        </x:is>
      </x:c>
      <x:c r="G77" s="19" t="inlineStr">
        <x:is>
          <x:t xml:space="preserve">Many:Many</x:t>
        </x:is>
      </x:c>
      <x:c r="H77" s="12">
        <x:f>COUNTIFS($E:$E,E77,$F:$F,F77)</x:f>
        <x:v>1</x:v>
      </x:c>
      <x:c r="I77" s="24" t="inlineStr">
        <x:is>
          <x:t xml:space="preserve">45 CFR § 164.308(a)(6)(i)</x:t>
        </x:is>
      </x:c>
      <x:c r="J77" s="24" t="inlineStr">
        <x:is>
          <x:t xml:space="preserve">Security Incident Procedures</x:t>
        </x:is>
      </x:c>
      <x:c r="K77" s="24" t="inlineStr">
        <x:is>
          <x:t xml:space="preserve">Direct</x:t>
        </x:is>
      </x:c>
      <x:c r="L77" s="24" t="inlineStr">
        <x:is>
          <x:t xml:space="preserve">Incident-response policy aligns directly to the Security Incident Procedures standard.</x:t>
        </x:is>
      </x:c>
      <x:c r="M77"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7" s="24" t="inlineStr">
        <x:is>
          <x:t xml:space="preserve">Used for policy-level incident-response rows.</x:t>
        </x:is>
      </x:c>
    </x:row>
    <x:row r="78">
      <x:c r="A78" s="5" t="inlineStr">
        <x:is>
          <x:t xml:space="preserve">HITRUST e1.csv</x:t>
        </x:is>
      </x:c>
      <x:c r="B78" s="5" t="inlineStr">
        <x:is>
          <x:t xml:space="preserve">ER-55</x:t>
        </x:is>
      </x:c>
      <x:c r="C78" s="5" t="inlineStr">
        <x:is>
          <x:t xml:space="preserve">Policy</x:t>
        </x:is>
      </x:c>
      <x:c r="D78" s="5" t="inlineStr">
        <x:is>
          <x:t xml:space="preserve">Incident Response</x:t>
        </x:is>
      </x:c>
      <x:c r="E78" s="5" t="inlineStr">
        <x:is>
          <x:t xml:space="preserve">REQ-49-HIPAA</x:t>
        </x:is>
      </x:c>
      <x:c r="F78" s="5" t="inlineStr">
        <x:is>
          <x:t xml:space="preserve">1561.11c1Organizational.4</x:t>
        </x:is>
      </x:c>
      <x:c r="G78" s="19" t="inlineStr">
        <x:is>
          <x:t xml:space="preserve">Many:Many</x:t>
        </x:is>
      </x:c>
      <x:c r="H78" s="12">
        <x:f>COUNTIFS($E:$E,E78,$F:$F,F78)</x:f>
        <x:v>1</x:v>
      </x:c>
      <x:c r="I78" s="24" t="inlineStr">
        <x:is>
          <x:t xml:space="preserve">45 CFR § 164.308(a)(6)(ii)</x:t>
        </x:is>
      </x:c>
      <x:c r="J78" s="24" t="inlineStr">
        <x:is>
          <x:t xml:space="preserve">Security Incident Procedures — Response and Reporting</x:t>
        </x:is>
      </x:c>
      <x:c r="K78" s="24" t="inlineStr">
        <x:is>
          <x:t xml:space="preserve">Direct</x:t>
        </x:is>
      </x:c>
      <x:c r="L78" s="24" t="inlineStr">
        <x:is>
          <x:t xml:space="preserve">This internal control best aligns to the response/reporting implementation specification under incident procedures.</x:t>
        </x:is>
      </x:c>
      <x:c r="M78"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8" s="24" t="inlineStr">
        <x:is>
          <x:t xml:space="preserve">Used where the spreadsheet distinguishes the response/reporting component of incident handling.</x:t>
        </x:is>
      </x:c>
    </x:row>
    <x:row r="79">
      <x:c r="A79" s="5" t="inlineStr">
        <x:is>
          <x:t xml:space="preserve">HITRUST e1.csv</x:t>
        </x:is>
      </x:c>
      <x:c r="B79" s="5" t="inlineStr">
        <x:is>
          <x:t xml:space="preserve">ER-55</x:t>
        </x:is>
      </x:c>
      <x:c r="C79" s="5" t="inlineStr">
        <x:is>
          <x:t xml:space="preserve">Policy</x:t>
        </x:is>
      </x:c>
      <x:c r="D79" s="5" t="inlineStr">
        <x:is>
          <x:t xml:space="preserve">Incident Response</x:t>
        </x:is>
      </x:c>
      <x:c r="E79" s="5" t="inlineStr">
        <x:is>
          <x:t xml:space="preserve">REQ-49-HIPAA</x:t>
        </x:is>
      </x:c>
      <x:c r="F79" s="5" t="inlineStr">
        <x:is>
          <x:t xml:space="preserve">1589.11c1Organizational.5</x:t>
        </x:is>
      </x:c>
      <x:c r="G79" s="19" t="inlineStr">
        <x:is>
          <x:t xml:space="preserve">Many:Many</x:t>
        </x:is>
      </x:c>
      <x:c r="H79" s="12">
        <x:f>COUNTIFS($E:$E,E79,$F:$F,F79)</x:f>
        <x:v>1</x:v>
      </x:c>
      <x:c r="I79" s="24" t="inlineStr">
        <x:is>
          <x:t xml:space="preserve">45 CFR § 164.308(a)(6)(ii)</x:t>
        </x:is>
      </x:c>
      <x:c r="J79" s="24" t="inlineStr">
        <x:is>
          <x:t xml:space="preserve">Security Incident Procedures — Response and Reporting</x:t>
        </x:is>
      </x:c>
      <x:c r="K79" s="24" t="inlineStr">
        <x:is>
          <x:t xml:space="preserve">Direct</x:t>
        </x:is>
      </x:c>
      <x:c r="L79" s="24" t="inlineStr">
        <x:is>
          <x:t xml:space="preserve">This internal control best aligns to the response/reporting implementation specification under incident procedures.</x:t>
        </x:is>
      </x:c>
      <x:c r="M79"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9" s="24" t="inlineStr">
        <x:is>
          <x:t xml:space="preserve">Used where the spreadsheet distinguishes the response/reporting component of incident handling.</x:t>
        </x:is>
      </x:c>
    </x:row>
    <x:row r="80">
      <x:c r="A80" s="5" t="inlineStr">
        <x:is>
          <x:t xml:space="preserve">HITRUST e1.csv</x:t>
        </x:is>
      </x:c>
      <x:c r="B80" s="5" t="inlineStr">
        <x:is>
          <x:t xml:space="preserve">ER-57</x:t>
        </x:is>
      </x:c>
      <x:c r="C80" s="5" t="inlineStr">
        <x:is>
          <x:t xml:space="preserve">Policy</x:t>
        </x:is>
      </x:c>
      <x:c r="D80" s="5" t="inlineStr">
        <x:is>
          <x:t xml:space="preserve">Information Security</x:t>
        </x:is>
      </x:c>
      <x:c r="E80" s="5" t="inlineStr">
        <x:is>
          <x:t xml:space="preserve">REQ-1-HIPAA</x:t>
        </x:is>
      </x:c>
      <x:c r="F80" s="5" t="inlineStr">
        <x:is>
          <x:t xml:space="preserve">0113.04a1Organizational.2</x:t>
        </x:is>
      </x:c>
      <x:c r="G80" s="17" t="inlineStr">
        <x:is>
          <x:t xml:space="preserve">Many:1</x:t>
        </x:is>
      </x:c>
      <x:c r="H80" s="12">
        <x:f>COUNTIFS($E:$E,E80,$F:$F,F80)</x:f>
        <x:v>2</x:v>
      </x:c>
      <x:c r="I80" s="24" t="inlineStr">
        <x:is>
          <x:t xml:space="preserve">45 CFR § 164.316(a); 45 CFR § 164.316(b)(1)</x:t>
        </x:is>
      </x:c>
      <x:c r="J80" s="24" t="inlineStr">
        <x:is>
          <x:t xml:space="preserve">Policies and Procedures; Documentation</x:t>
        </x:is>
      </x:c>
      <x:c r="K80" s="24" t="inlineStr">
        <x:is>
          <x:t xml:space="preserve">Best-fit (broad policy control)</x:t>
        </x:is>
      </x:c>
      <x:c r="L80" s="24" t="inlineStr">
        <x:is>
          <x:t xml:space="preserve">Internal control/action item is a general information-security policy repository rather than a single named HIPAA implementation specification; mapped to the Security Rule's policies/procedures and documentation requirements.</x:t>
        </x:is>
      </x:c>
      <x:c r="M80" s="24" t="inlineStr">
        <x:is>
          <x:t xml:space="preserve">https://www.ecfr.gov/current/title-45/subtitle-A/subchapter-C/part-164/section-164.316 | https://www.hhs.gov/sites/default/files/ocr/privacy/hipaa/administrative/securityrule/pprequirements.pdf | https://www.hhs.gov/ocr/privacy/hipaa/administrative/securityrule/index.html</x:t>
        </x:is>
      </x:c>
      <x:c r="N80" s="24" t="inlineStr">
        <x:is>
          <x:t xml:space="preserve">Used as the umbrella HIPAA citation for documented security policies. This is broader than any single safeguard requirement.</x:t>
        </x:is>
      </x:c>
    </x:row>
    <x:row r="81">
      <x:c r="A81" s="5" t="inlineStr">
        <x:is>
          <x:t xml:space="preserve">HITRUST e1.csv</x:t>
        </x:is>
      </x:c>
      <x:c r="B81" s="5" t="inlineStr">
        <x:is>
          <x:t xml:space="preserve">ER-57</x:t>
        </x:is>
      </x:c>
      <x:c r="C81" s="5" t="inlineStr">
        <x:is>
          <x:t xml:space="preserve">Policy</x:t>
        </x:is>
      </x:c>
      <x:c r="D81" s="5" t="inlineStr">
        <x:is>
          <x:t xml:space="preserve">Information Security</x:t>
        </x:is>
      </x:c>
      <x:c r="E81" s="5" t="inlineStr">
        <x:is>
          <x:t xml:space="preserve">REQ-12-HIPAA</x:t>
        </x:is>
      </x:c>
      <x:c r="F81" s="5" t="inlineStr">
        <x:is>
          <x:t xml:space="preserve">0113.04a1Organizational.2</x:t>
        </x:is>
      </x:c>
      <x:c r="G81" s="17" t="inlineStr">
        <x:is>
          <x:t xml:space="preserve">Many:1</x:t>
        </x:is>
      </x:c>
      <x:c r="H81" s="12">
        <x:f>COUNTIFS($E:$E,E81,$F:$F,F81)</x:f>
        <x:v>2</x:v>
      </x:c>
      <x:c r="I81" s="24" t="inlineStr">
        <x:is>
          <x:t xml:space="preserve">45 CFR § 164.308(a)(5)</x:t>
        </x:is>
      </x:c>
      <x:c r="J81" s="24" t="inlineStr">
        <x:is>
          <x:t xml:space="preserve">Security Awareness and Training</x:t>
        </x:is>
      </x:c>
      <x:c r="K81" s="24" t="inlineStr">
        <x:is>
          <x:t xml:space="preserve">Direct</x:t>
        </x:is>
      </x:c>
      <x:c r="L81" s="24" t="inlineStr">
        <x:is>
          <x:t xml:space="preserve">Action item and control context align to workforce security-awareness training for new hires.</x:t>
        </x:is>
      </x:c>
      <x:c r="M81"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1" s="24" t="inlineStr">
        <x:is>
          <x:t xml:space="preserve">Mapped at the standard level because the spreadsheet does not break new-hire training into the more granular addressable sub-specifications.</x:t>
        </x:is>
      </x:c>
    </x:row>
    <x:row r="82">
      <x:c r="A82" s="5" t="inlineStr">
        <x:is>
          <x:t xml:space="preserve">HITRUST e1.csv</x:t>
        </x:is>
      </x:c>
      <x:c r="B82" s="5" t="inlineStr">
        <x:is>
          <x:t xml:space="preserve">ER-57</x:t>
        </x:is>
      </x:c>
      <x:c r="C82" s="5" t="inlineStr">
        <x:is>
          <x:t xml:space="preserve">Policy</x:t>
        </x:is>
      </x:c>
      <x:c r="D82" s="5" t="inlineStr">
        <x:is>
          <x:t xml:space="preserve">Information Security</x:t>
        </x:is>
      </x:c>
      <x:c r="E82" s="5" t="inlineStr">
        <x:is>
          <x:t xml:space="preserve">REQ-13-HIPAA</x:t>
        </x:is>
      </x:c>
      <x:c r="F82" s="5" t="inlineStr">
        <x:is>
          <x:t xml:space="preserve">0113.04a1Organizational.2</x:t>
        </x:is>
      </x:c>
      <x:c r="G82" s="17" t="inlineStr">
        <x:is>
          <x:t xml:space="preserve">Many:1</x:t>
        </x:is>
      </x:c>
      <x:c r="H82" s="12">
        <x:f>COUNTIFS($E:$E,E82,$F:$F,F82)</x:f>
        <x:v>2</x:v>
      </x:c>
      <x:c r="I82" s="24" t="inlineStr">
        <x:is>
          <x:t xml:space="preserve">45 CFR § 164.308(a)(5)</x:t>
        </x:is>
      </x:c>
      <x:c r="J82" s="24" t="inlineStr">
        <x:is>
          <x:t xml:space="preserve">Security Awareness and Training</x:t>
        </x:is>
      </x:c>
      <x:c r="K82" s="24" t="inlineStr">
        <x:is>
          <x:t xml:space="preserve">Direct</x:t>
        </x:is>
      </x:c>
      <x:c r="L82" s="24" t="inlineStr">
        <x:is>
          <x:t xml:space="preserve">Action item and control context align to ongoing/current-employee security-awareness training.</x:t>
        </x:is>
      </x:c>
      <x:c r="M82"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2" s="24" t="inlineStr">
        <x:is>
          <x:t xml:space="preserve">Mapped at the standard level because the spreadsheet expresses periodic training broadly, not only reminders or phishing-specific sub-controls.</x:t>
        </x:is>
      </x:c>
    </x:row>
    <x:row r="83">
      <x:c r="A83" s="5" t="inlineStr">
        <x:is>
          <x:t xml:space="preserve">HITRUST e1.csv</x:t>
        </x:is>
      </x:c>
      <x:c r="B83" s="5" t="inlineStr">
        <x:is>
          <x:t xml:space="preserve">ER-56</x:t>
        </x:is>
      </x:c>
      <x:c r="C83" s="5" t="inlineStr">
        <x:is>
          <x:t xml:space="preserve">Operational</x:t>
        </x:is>
      </x:c>
      <x:c r="D83" s="5" t="inlineStr">
        <x:is>
          <x:t xml:space="preserve">Information Security Policy Repository</x:t>
        </x:is>
      </x:c>
      <x:c r="E83" s="5" t="inlineStr">
        <x:is>
          <x:t xml:space="preserve">REQ-1-HIPAA</x:t>
        </x:is>
      </x:c>
      <x:c r="F83" s="5" t="inlineStr">
        <x:is>
          <x:t xml:space="preserve">0113.04a1Organizational.2</x:t>
        </x:is>
      </x:c>
      <x:c r="G83" s="17" t="inlineStr">
        <x:is>
          <x:t xml:space="preserve">Many:1</x:t>
        </x:is>
      </x:c>
      <x:c r="H83" s="12">
        <x:f>COUNTIFS($E:$E,E83,$F:$F,F83)</x:f>
        <x:v>2</x:v>
      </x:c>
      <x:c r="I83" s="24" t="inlineStr">
        <x:is>
          <x:t xml:space="preserve">45 CFR § 164.316(a); 45 CFR § 164.316(b)(1)</x:t>
        </x:is>
      </x:c>
      <x:c r="J83" s="24" t="inlineStr">
        <x:is>
          <x:t xml:space="preserve">Policies and Procedures; Documentation</x:t>
        </x:is>
      </x:c>
      <x:c r="K83" s="24" t="inlineStr">
        <x:is>
          <x:t xml:space="preserve">Best-fit (broad policy control)</x:t>
        </x:is>
      </x:c>
      <x:c r="L83" s="24" t="inlineStr">
        <x:is>
          <x:t xml:space="preserve">Internal control/action item is a general information-security policy repository rather than a single named HIPAA implementation specification; mapped to the Security Rule's policies/procedures and documentation requirements.</x:t>
        </x:is>
      </x:c>
      <x:c r="M83" s="24" t="inlineStr">
        <x:is>
          <x:t xml:space="preserve">https://www.ecfr.gov/current/title-45/subtitle-A/subchapter-C/part-164/section-164.316 | https://www.hhs.gov/sites/default/files/ocr/privacy/hipaa/administrative/securityrule/pprequirements.pdf | https://www.hhs.gov/ocr/privacy/hipaa/administrative/securityrule/index.html</x:t>
        </x:is>
      </x:c>
      <x:c r="N83" s="24" t="inlineStr">
        <x:is>
          <x:t xml:space="preserve">Used as the umbrella HIPAA citation for documented security policies. This is broader than any single safeguard requirement.</x:t>
        </x:is>
      </x:c>
    </x:row>
    <x:row r="84">
      <x:c r="A84" s="5" t="inlineStr">
        <x:is>
          <x:t xml:space="preserve">HITRUST e1.csv</x:t>
        </x:is>
      </x:c>
      <x:c r="B84" s="5" t="inlineStr">
        <x:is>
          <x:t xml:space="preserve">ER-56</x:t>
        </x:is>
      </x:c>
      <x:c r="C84" s="5" t="inlineStr">
        <x:is>
          <x:t xml:space="preserve">Operational</x:t>
        </x:is>
      </x:c>
      <x:c r="D84" s="5" t="inlineStr">
        <x:is>
          <x:t xml:space="preserve">Information Security Policy Repository</x:t>
        </x:is>
      </x:c>
      <x:c r="E84" s="5" t="inlineStr">
        <x:is>
          <x:t xml:space="preserve">REQ-12-HIPAA</x:t>
        </x:is>
      </x:c>
      <x:c r="F84" s="5" t="inlineStr">
        <x:is>
          <x:t xml:space="preserve">0113.04a1Organizational.2</x:t>
        </x:is>
      </x:c>
      <x:c r="G84" s="17" t="inlineStr">
        <x:is>
          <x:t xml:space="preserve">Many:1</x:t>
        </x:is>
      </x:c>
      <x:c r="H84" s="12">
        <x:f>COUNTIFS($E:$E,E84,$F:$F,F84)</x:f>
        <x:v>2</x:v>
      </x:c>
      <x:c r="I84" s="24" t="inlineStr">
        <x:is>
          <x:t xml:space="preserve">45 CFR § 164.308(a)(5)</x:t>
        </x:is>
      </x:c>
      <x:c r="J84" s="24" t="inlineStr">
        <x:is>
          <x:t xml:space="preserve">Security Awareness and Training</x:t>
        </x:is>
      </x:c>
      <x:c r="K84" s="24" t="inlineStr">
        <x:is>
          <x:t xml:space="preserve">Direct</x:t>
        </x:is>
      </x:c>
      <x:c r="L84" s="24" t="inlineStr">
        <x:is>
          <x:t xml:space="preserve">Action item and control context align to workforce security-awareness training for new hires.</x:t>
        </x:is>
      </x:c>
      <x:c r="M84"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4" s="24" t="inlineStr">
        <x:is>
          <x:t xml:space="preserve">Mapped at the standard level because the spreadsheet does not break new-hire training into the more granular addressable sub-specifications.</x:t>
        </x:is>
      </x:c>
    </x:row>
    <x:row r="85">
      <x:c r="A85" s="5" t="inlineStr">
        <x:is>
          <x:t xml:space="preserve">HITRUST e1.csv</x:t>
        </x:is>
      </x:c>
      <x:c r="B85" s="5" t="inlineStr">
        <x:is>
          <x:t xml:space="preserve">ER-56</x:t>
        </x:is>
      </x:c>
      <x:c r="C85" s="5" t="inlineStr">
        <x:is>
          <x:t xml:space="preserve">Operational</x:t>
        </x:is>
      </x:c>
      <x:c r="D85" s="5" t="inlineStr">
        <x:is>
          <x:t xml:space="preserve">Information Security Policy Repository</x:t>
        </x:is>
      </x:c>
      <x:c r="E85" s="5" t="inlineStr">
        <x:is>
          <x:t xml:space="preserve">REQ-13-HIPAA</x:t>
        </x:is>
      </x:c>
      <x:c r="F85" s="5" t="inlineStr">
        <x:is>
          <x:t xml:space="preserve">0113.04a1Organizational.2</x:t>
        </x:is>
      </x:c>
      <x:c r="G85" s="17" t="inlineStr">
        <x:is>
          <x:t xml:space="preserve">Many:1</x:t>
        </x:is>
      </x:c>
      <x:c r="H85" s="12">
        <x:f>COUNTIFS($E:$E,E85,$F:$F,F85)</x:f>
        <x:v>2</x:v>
      </x:c>
      <x:c r="I85" s="24" t="inlineStr">
        <x:is>
          <x:t xml:space="preserve">45 CFR § 164.308(a)(5)</x:t>
        </x:is>
      </x:c>
      <x:c r="J85" s="24" t="inlineStr">
        <x:is>
          <x:t xml:space="preserve">Security Awareness and Training</x:t>
        </x:is>
      </x:c>
      <x:c r="K85" s="24" t="inlineStr">
        <x:is>
          <x:t xml:space="preserve">Direct</x:t>
        </x:is>
      </x:c>
      <x:c r="L85" s="24" t="inlineStr">
        <x:is>
          <x:t xml:space="preserve">Action item and control context align to ongoing/current-employee security-awareness training.</x:t>
        </x:is>
      </x:c>
      <x:c r="M85"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5" s="24" t="inlineStr">
        <x:is>
          <x:t xml:space="preserve">Mapped at the standard level because the spreadsheet expresses periodic training broadly, not only reminders or phishing-specific sub-controls.</x:t>
        </x:is>
      </x:c>
    </x:row>
    <x:row r="86">
      <x:c r="A86" s="5" t="inlineStr">
        <x:is>
          <x:t xml:space="preserve">HITRUST e1.csv</x:t>
        </x:is>
      </x:c>
      <x:c r="B86" s="5" t="inlineStr">
        <x:is>
          <x:t xml:space="preserve">ER-12</x:t>
        </x:is>
      </x:c>
      <x:c r="C86" s="5" t="inlineStr">
        <x:is>
          <x:t xml:space="preserve">Configuration</x:t>
        </x:is>
      </x:c>
      <x:c r="D86" s="5" t="inlineStr">
        <x:is>
          <x:t xml:space="preserve">List of All Production Systems (Servers, VMs, Data Stores)</x:t>
        </x:is>
      </x:c>
      <x:c r="E86" s="5" t="inlineStr">
        <x:is>
          <x:t xml:space="preserve">REQ-102-HIPAA</x:t>
        </x:is>
      </x:c>
      <x:c r="F86" s="5" t="inlineStr">
        <x:is>
          <x:t xml:space="preserve">07.07a1Organizational.8</x:t>
        </x:is>
      </x:c>
      <x:c r="G86" s="19" t="inlineStr">
        <x:is>
          <x:t xml:space="preserve">Many:Many</x:t>
        </x:is>
      </x:c>
      <x:c r="H86" s="12">
        <x:f>COUNTIFS($E:$E,E86,$F:$F,F86)</x:f>
        <x:v>1</x:v>
      </x:c>
      <x:c r="I86" s="24" t="inlineStr">
        <x:is>
          <x:t xml:space="preserve">45 CFR § 164.308(a)(1)(ii)(A)</x:t>
        </x:is>
      </x:c>
      <x:c r="J86" s="24" t="inlineStr">
        <x:is>
          <x:t xml:space="preserve">Security Management Process — Risk Analysis</x:t>
        </x:is>
      </x:c>
      <x:c r="K86" s="24" t="inlineStr">
        <x:is>
          <x:t xml:space="preserve">Best-fit</x:t>
        </x:is>
      </x:c>
      <x:c r="L86" s="24" t="inlineStr">
        <x:is>
          <x:t xml:space="preserve">HIPAA does not expressly mandate an IT asset inventory, but OCR guidance says a comprehensive technology asset inventory and ePHI data-flow diagrams are valuable tools for an accurate and thorough risk analysis.</x:t>
        </x:is>
      </x:c>
      <x:c r="M86" s="24"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N86" s="24" t="inlineStr">
        <x:is>
          <x:t xml:space="preserve">Mapped as supporting evidence for risk analysis rather than as a standalone named HIPAA inventory control.</x:t>
        </x:is>
      </x:c>
    </x:row>
    <x:row r="87">
      <x:c r="A87" s="5" t="inlineStr">
        <x:is>
          <x:t xml:space="preserve">HITRUST e1.csv</x:t>
        </x:is>
      </x:c>
      <x:c r="B87" s="5" t="inlineStr">
        <x:is>
          <x:t xml:space="preserve">ER-12</x:t>
        </x:is>
      </x:c>
      <x:c r="C87" s="5" t="inlineStr">
        <x:is>
          <x:t xml:space="preserve">Configuration</x:t>
        </x:is>
      </x:c>
      <x:c r="D87" s="5" t="inlineStr">
        <x:is>
          <x:t xml:space="preserve">List of All Production Systems (Servers, VMs, Data Stores)</x:t>
        </x:is>
      </x:c>
      <x:c r="E87" s="5" t="inlineStr">
        <x:is>
          <x:t xml:space="preserve">REQ-102-HIPAA</x:t>
        </x:is>
      </x:c>
      <x:c r="F87" s="5" t="inlineStr">
        <x:is>
          <x:t xml:space="preserve">0701.07a1Organizational.7</x:t>
        </x:is>
      </x:c>
      <x:c r="G87" s="19" t="inlineStr">
        <x:is>
          <x:t xml:space="preserve">Many:Many</x:t>
        </x:is>
      </x:c>
      <x:c r="H87" s="12">
        <x:f>COUNTIFS($E:$E,E87,$F:$F,F87)</x:f>
        <x:v>1</x:v>
      </x:c>
      <x:c r="I87" s="24" t="inlineStr">
        <x:is>
          <x:t xml:space="preserve">45 CFR § 164.308(a)(1)(ii)(A)</x:t>
        </x:is>
      </x:c>
      <x:c r="J87" s="24" t="inlineStr">
        <x:is>
          <x:t xml:space="preserve">Security Management Process — Risk Analysis</x:t>
        </x:is>
      </x:c>
      <x:c r="K87" s="24" t="inlineStr">
        <x:is>
          <x:t xml:space="preserve">Best-fit</x:t>
        </x:is>
      </x:c>
      <x:c r="L87" s="24" t="inlineStr">
        <x:is>
          <x:t xml:space="preserve">HIPAA does not expressly mandate an IT asset inventory, but OCR guidance says a comprehensive technology asset inventory and ePHI data-flow diagrams are valuable tools for an accurate and thorough risk analysis.</x:t>
        </x:is>
      </x:c>
      <x:c r="M87" s="24"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N87" s="24" t="inlineStr">
        <x:is>
          <x:t xml:space="preserve">Mapped as supporting evidence for risk analysis rather than as a standalone named HIPAA inventory control.</x:t>
        </x:is>
      </x:c>
    </x:row>
    <x:row r="88">
      <x:c r="A88" s="5" t="inlineStr">
        <x:is>
          <x:t xml:space="preserve">HITRUST e1.csv</x:t>
        </x:is>
      </x:c>
      <x:c r="B88" s="5" t="inlineStr">
        <x:is>
          <x:t xml:space="preserve">ER-12</x:t>
        </x:is>
      </x:c>
      <x:c r="C88" s="5" t="inlineStr">
        <x:is>
          <x:t xml:space="preserve">Configuration</x:t>
        </x:is>
      </x:c>
      <x:c r="D88" s="5" t="inlineStr">
        <x:is>
          <x:t xml:space="preserve">List of All Production Systems (Servers, VMs, Data Stores)</x:t>
        </x:is>
      </x:c>
      <x:c r="E88" s="5" t="inlineStr">
        <x:is>
          <x:t xml:space="preserve">REQ-102-HIPAA</x:t>
        </x:is>
      </x:c>
      <x:c r="F88" s="5" t="inlineStr">
        <x:is>
          <x:t xml:space="preserve">0701.07a1Organizational.8</x:t>
        </x:is>
      </x:c>
      <x:c r="G88" s="19" t="inlineStr">
        <x:is>
          <x:t xml:space="preserve">Many:Many</x:t>
        </x:is>
      </x:c>
      <x:c r="H88" s="12">
        <x:f>COUNTIFS($E:$E,E88,$F:$F,F88)</x:f>
        <x:v>1</x:v>
      </x:c>
      <x:c r="I88" s="24" t="inlineStr">
        <x:is>
          <x:t xml:space="preserve">45 CFR § 164.308(a)(1)(ii)(A)</x:t>
        </x:is>
      </x:c>
      <x:c r="J88" s="24" t="inlineStr">
        <x:is>
          <x:t xml:space="preserve">Security Management Process — Risk Analysis</x:t>
        </x:is>
      </x:c>
      <x:c r="K88" s="24" t="inlineStr">
        <x:is>
          <x:t xml:space="preserve">Best-fit</x:t>
        </x:is>
      </x:c>
      <x:c r="L88" s="24" t="inlineStr">
        <x:is>
          <x:t xml:space="preserve">HIPAA does not expressly mandate an IT asset inventory, but OCR guidance says a comprehensive technology asset inventory and ePHI data-flow diagrams are valuable tools for an accurate and thorough risk analysis.</x:t>
        </x:is>
      </x:c>
      <x:c r="M88" s="24"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N88" s="24" t="inlineStr">
        <x:is>
          <x:t xml:space="preserve">Mapped as supporting evidence for risk analysis rather than as a standalone named HIPAA inventory control.</x:t>
        </x:is>
      </x:c>
    </x:row>
    <x:row r="89">
      <x:c r="A89" s="5" t="inlineStr">
        <x:is>
          <x:t xml:space="preserve">HITRUST e1.csv</x:t>
        </x:is>
      </x:c>
      <x:c r="B89" s="5" t="inlineStr">
        <x:is>
          <x:t xml:space="preserve">ER-12</x:t>
        </x:is>
      </x:c>
      <x:c r="C89" s="5" t="inlineStr">
        <x:is>
          <x:t xml:space="preserve">Configuration</x:t>
        </x:is>
      </x:c>
      <x:c r="D89" s="5" t="inlineStr">
        <x:is>
          <x:t xml:space="preserve">List of All Production Systems (Servers, VMs, Data Stores)</x:t>
        </x:is>
      </x:c>
      <x:c r="E89" s="5" t="inlineStr">
        <x:is>
          <x:t xml:space="preserve">REQ-33-HIPAA</x:t>
        </x:is>
      </x:c>
      <x:c r="F89" s="5" t="inlineStr">
        <x:is>
          <x:t xml:space="preserve">07.07a1Organizational.8</x:t>
        </x:is>
      </x:c>
      <x:c r="G89" s="19" t="inlineStr">
        <x:is>
          <x:t xml:space="preserve">Many:Many</x:t>
        </x:is>
      </x:c>
      <x:c r="H89" s="12">
        <x:f>COUNTIFS($E:$E,E89,$F:$F,F89)</x:f>
        <x:v>1</x:v>
      </x:c>
      <x:c r="I89" s="24" t="inlineStr">
        <x:is>
          <x:t xml:space="preserve">45 CFR § 164.308(a)(1)(ii)(A); 45 CFR § 164.312(a)(2)(iv); 45 CFR § 164.312(e)(2)(ii)</x:t>
        </x:is>
      </x:c>
      <x:c r="J89" s="24" t="inlineStr">
        <x:is>
          <x:t xml:space="preserve">Security Management Process — Risk Analysis; Access Control — Encryption and Decryption; Transmission Security — Encryption</x:t>
        </x:is>
      </x:c>
      <x:c r="K89" s="24" t="inlineStr">
        <x:is>
          <x:t xml:space="preserve">Best-fit composite</x:t>
        </x:is>
      </x:c>
      <x:c r="L89" s="24" t="inlineStr">
        <x:is>
          <x:t xml:space="preserve">System-inventory evidence is not explicitly named in the Security Rule, but OCR guidance treats asset inventories and system scoping as supporting accurate risk analysis and implementation of encryption safeguards.</x:t>
        </x:is>
      </x:c>
      <x:c r="M89"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N89" s="24" t="inlineStr">
        <x:is>
          <x:t xml:space="preserve">Inventory/list-of-systems evidence is supporting evidence for encryption coverage, not a standalone named HIPAA inventory mandate.</x:t>
        </x:is>
      </x:c>
    </x:row>
    <x:row r="90">
      <x:c r="A90" s="5" t="inlineStr">
        <x:is>
          <x:t xml:space="preserve">HITRUST e1.csv</x:t>
        </x:is>
      </x:c>
      <x:c r="B90" s="5" t="inlineStr">
        <x:is>
          <x:t xml:space="preserve">ER-12</x:t>
        </x:is>
      </x:c>
      <x:c r="C90" s="5" t="inlineStr">
        <x:is>
          <x:t xml:space="preserve">Configuration</x:t>
        </x:is>
      </x:c>
      <x:c r="D90" s="5" t="inlineStr">
        <x:is>
          <x:t xml:space="preserve">List of All Production Systems (Servers, VMs, Data Stores)</x:t>
        </x:is>
      </x:c>
      <x:c r="E90" s="5" t="inlineStr">
        <x:is>
          <x:t xml:space="preserve">REQ-33-HIPAA</x:t>
        </x:is>
      </x:c>
      <x:c r="F90" s="5" t="inlineStr">
        <x:is>
          <x:t xml:space="preserve">0701.07a1Organizational.7</x:t>
        </x:is>
      </x:c>
      <x:c r="G90" s="19" t="inlineStr">
        <x:is>
          <x:t xml:space="preserve">Many:Many</x:t>
        </x:is>
      </x:c>
      <x:c r="H90" s="12">
        <x:f>COUNTIFS($E:$E,E90,$F:$F,F90)</x:f>
        <x:v>1</x:v>
      </x:c>
      <x:c r="I90" s="24" t="inlineStr">
        <x:is>
          <x:t xml:space="preserve">45 CFR § 164.308(a)(1)(ii)(A); 45 CFR § 164.312(a)(2)(iv); 45 CFR § 164.312(e)(2)(ii)</x:t>
        </x:is>
      </x:c>
      <x:c r="J90" s="24" t="inlineStr">
        <x:is>
          <x:t xml:space="preserve">Security Management Process — Risk Analysis; Access Control — Encryption and Decryption; Transmission Security — Encryption</x:t>
        </x:is>
      </x:c>
      <x:c r="K90" s="24" t="inlineStr">
        <x:is>
          <x:t xml:space="preserve">Best-fit composite</x:t>
        </x:is>
      </x:c>
      <x:c r="L90" s="24" t="inlineStr">
        <x:is>
          <x:t xml:space="preserve">System-inventory evidence is not explicitly named in the Security Rule, but OCR guidance treats asset inventories and system scoping as supporting accurate risk analysis and implementation of encryption safeguards.</x:t>
        </x:is>
      </x:c>
      <x:c r="M90"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N90" s="24" t="inlineStr">
        <x:is>
          <x:t xml:space="preserve">Inventory/list-of-systems evidence is supporting evidence for encryption coverage, not a standalone named HIPAA inventory mandate.</x:t>
        </x:is>
      </x:c>
    </x:row>
    <x:row r="91">
      <x:c r="A91" s="5" t="inlineStr">
        <x:is>
          <x:t xml:space="preserve">HITRUST e1.csv</x:t>
        </x:is>
      </x:c>
      <x:c r="B91" s="5" t="inlineStr">
        <x:is>
          <x:t xml:space="preserve">ER-12</x:t>
        </x:is>
      </x:c>
      <x:c r="C91" s="5" t="inlineStr">
        <x:is>
          <x:t xml:space="preserve">Configuration</x:t>
        </x:is>
      </x:c>
      <x:c r="D91" s="5" t="inlineStr">
        <x:is>
          <x:t xml:space="preserve">List of All Production Systems (Servers, VMs, Data Stores)</x:t>
        </x:is>
      </x:c>
      <x:c r="E91" s="5" t="inlineStr">
        <x:is>
          <x:t xml:space="preserve">REQ-33-HIPAA</x:t>
        </x:is>
      </x:c>
      <x:c r="F91" s="5" t="inlineStr">
        <x:is>
          <x:t xml:space="preserve">0701.07a1Organizational.8</x:t>
        </x:is>
      </x:c>
      <x:c r="G91" s="19" t="inlineStr">
        <x:is>
          <x:t xml:space="preserve">Many:Many</x:t>
        </x:is>
      </x:c>
      <x:c r="H91" s="12">
        <x:f>COUNTIFS($E:$E,E91,$F:$F,F91)</x:f>
        <x:v>1</x:v>
      </x:c>
      <x:c r="I91" s="24" t="inlineStr">
        <x:is>
          <x:t xml:space="preserve">45 CFR § 164.308(a)(1)(ii)(A); 45 CFR § 164.312(a)(2)(iv); 45 CFR § 164.312(e)(2)(ii)</x:t>
        </x:is>
      </x:c>
      <x:c r="J91" s="24" t="inlineStr">
        <x:is>
          <x:t xml:space="preserve">Security Management Process — Risk Analysis; Access Control — Encryption and Decryption; Transmission Security — Encryption</x:t>
        </x:is>
      </x:c>
      <x:c r="K91" s="24" t="inlineStr">
        <x:is>
          <x:t xml:space="preserve">Best-fit composite</x:t>
        </x:is>
      </x:c>
      <x:c r="L91" s="24" t="inlineStr">
        <x:is>
          <x:t xml:space="preserve">System-inventory evidence is not explicitly named in the Security Rule, but OCR guidance treats asset inventories and system scoping as supporting accurate risk analysis and implementation of encryption safeguards.</x:t>
        </x:is>
      </x:c>
      <x:c r="M91"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N91" s="24" t="inlineStr">
        <x:is>
          <x:t xml:space="preserve">Inventory/list-of-systems evidence is supporting evidence for encryption coverage, not a standalone named HIPAA inventory mandate.</x:t>
        </x:is>
      </x:c>
    </x:row>
    <x:row r="92">
      <x:c r="A92" s="5" t="inlineStr">
        <x:is>
          <x:t xml:space="preserve">HITRUST e1.csv</x:t>
        </x:is>
      </x:c>
      <x:c r="B92" s="5" t="inlineStr">
        <x:is>
          <x:t xml:space="preserve">ER-12</x:t>
        </x:is>
      </x:c>
      <x:c r="C92" s="5" t="inlineStr">
        <x:is>
          <x:t xml:space="preserve">Configuration</x:t>
        </x:is>
      </x:c>
      <x:c r="D92" s="5" t="inlineStr">
        <x:is>
          <x:t xml:space="preserve">List of All Production Systems (Servers, VMs, Data Stores)</x:t>
        </x:is>
      </x:c>
      <x:c r="E92" s="5" t="inlineStr">
        <x:is>
          <x:t xml:space="preserve">REQ-34-HIPAA</x:t>
        </x:is>
      </x:c>
      <x:c r="F92" s="5" t="inlineStr">
        <x:is>
          <x:t xml:space="preserve">07.07a1Organizational.8</x:t>
        </x:is>
      </x:c>
      <x:c r="G92" s="19" t="inlineStr">
        <x:is>
          <x:t xml:space="preserve">Many:Many</x:t>
        </x:is>
      </x:c>
      <x:c r="H92" s="12">
        <x:f>COUNTIFS($E:$E,E92,$F:$F,F92)</x:f>
        <x:v>1</x:v>
      </x:c>
      <x:c r="I92" s="24" t="inlineStr">
        <x:is>
          <x:t xml:space="preserve">45 CFR § 164.308(a)(1)(ii)(A); 45 CFR § 164.312(a)(2)(iv)</x:t>
        </x:is>
      </x:c>
      <x:c r="J92" s="24" t="inlineStr">
        <x:is>
          <x:t xml:space="preserve">Security Management Process — Risk Analysis; Access Control — Encryption and Decryption</x:t>
        </x:is>
      </x:c>
      <x:c r="K92" s="24" t="inlineStr">
        <x:is>
          <x:t xml:space="preserve">Best-fit composite</x:t>
        </x:is>
      </x:c>
      <x:c r="L92" s="24" t="inlineStr">
        <x:is>
          <x:t xml:space="preserve">System inventory supports scoping/coverage of at-rest encryption and accurate risk analysis.</x:t>
        </x:is>
      </x:c>
      <x:c r="M92"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N92" s="24" t="inlineStr">
        <x:is>
          <x:t xml:space="preserve">Asset inventory is supporting evidence rather than an explicit standalone at-rest-encryption requirement.</x:t>
        </x:is>
      </x:c>
    </x:row>
    <x:row r="93">
      <x:c r="A93" s="5" t="inlineStr">
        <x:is>
          <x:t xml:space="preserve">HITRUST e1.csv</x:t>
        </x:is>
      </x:c>
      <x:c r="B93" s="5" t="inlineStr">
        <x:is>
          <x:t xml:space="preserve">ER-12</x:t>
        </x:is>
      </x:c>
      <x:c r="C93" s="5" t="inlineStr">
        <x:is>
          <x:t xml:space="preserve">Configuration</x:t>
        </x:is>
      </x:c>
      <x:c r="D93" s="5" t="inlineStr">
        <x:is>
          <x:t xml:space="preserve">List of All Production Systems (Servers, VMs, Data Stores)</x:t>
        </x:is>
      </x:c>
      <x:c r="E93" s="5" t="inlineStr">
        <x:is>
          <x:t xml:space="preserve">REQ-34-HIPAA</x:t>
        </x:is>
      </x:c>
      <x:c r="F93" s="5" t="inlineStr">
        <x:is>
          <x:t xml:space="preserve">0701.07a1Organizational.7</x:t>
        </x:is>
      </x:c>
      <x:c r="G93" s="19" t="inlineStr">
        <x:is>
          <x:t xml:space="preserve">Many:Many</x:t>
        </x:is>
      </x:c>
      <x:c r="H93" s="12">
        <x:f>COUNTIFS($E:$E,E93,$F:$F,F93)</x:f>
        <x:v>1</x:v>
      </x:c>
      <x:c r="I93" s="24" t="inlineStr">
        <x:is>
          <x:t xml:space="preserve">45 CFR § 164.308(a)(1)(ii)(A); 45 CFR § 164.312(a)(2)(iv)</x:t>
        </x:is>
      </x:c>
      <x:c r="J93" s="24" t="inlineStr">
        <x:is>
          <x:t xml:space="preserve">Security Management Process — Risk Analysis; Access Control — Encryption and Decryption</x:t>
        </x:is>
      </x:c>
      <x:c r="K93" s="24" t="inlineStr">
        <x:is>
          <x:t xml:space="preserve">Best-fit composite</x:t>
        </x:is>
      </x:c>
      <x:c r="L93" s="24" t="inlineStr">
        <x:is>
          <x:t xml:space="preserve">System inventory supports scoping/coverage of at-rest encryption and accurate risk analysis.</x:t>
        </x:is>
      </x:c>
      <x:c r="M93"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N93" s="24" t="inlineStr">
        <x:is>
          <x:t xml:space="preserve">Asset inventory is supporting evidence rather than an explicit standalone at-rest-encryption requirement.</x:t>
        </x:is>
      </x:c>
    </x:row>
    <x:row r="94">
      <x:c r="A94" s="5" t="inlineStr">
        <x:is>
          <x:t xml:space="preserve">HITRUST e1.csv</x:t>
        </x:is>
      </x:c>
      <x:c r="B94" s="5" t="inlineStr">
        <x:is>
          <x:t xml:space="preserve">ER-12</x:t>
        </x:is>
      </x:c>
      <x:c r="C94" s="5" t="inlineStr">
        <x:is>
          <x:t xml:space="preserve">Configuration</x:t>
        </x:is>
      </x:c>
      <x:c r="D94" s="5" t="inlineStr">
        <x:is>
          <x:t xml:space="preserve">List of All Production Systems (Servers, VMs, Data Stores)</x:t>
        </x:is>
      </x:c>
      <x:c r="E94" s="5" t="inlineStr">
        <x:is>
          <x:t xml:space="preserve">REQ-34-HIPAA</x:t>
        </x:is>
      </x:c>
      <x:c r="F94" s="5" t="inlineStr">
        <x:is>
          <x:t xml:space="preserve">0701.07a1Organizational.8</x:t>
        </x:is>
      </x:c>
      <x:c r="G94" s="19" t="inlineStr">
        <x:is>
          <x:t xml:space="preserve">Many:Many</x:t>
        </x:is>
      </x:c>
      <x:c r="H94" s="12">
        <x:f>COUNTIFS($E:$E,E94,$F:$F,F94)</x:f>
        <x:v>1</x:v>
      </x:c>
      <x:c r="I94" s="24" t="inlineStr">
        <x:is>
          <x:t xml:space="preserve">45 CFR § 164.308(a)(1)(ii)(A); 45 CFR § 164.312(a)(2)(iv)</x:t>
        </x:is>
      </x:c>
      <x:c r="J94" s="24" t="inlineStr">
        <x:is>
          <x:t xml:space="preserve">Security Management Process — Risk Analysis; Access Control — Encryption and Decryption</x:t>
        </x:is>
      </x:c>
      <x:c r="K94" s="24" t="inlineStr">
        <x:is>
          <x:t xml:space="preserve">Best-fit composite</x:t>
        </x:is>
      </x:c>
      <x:c r="L94" s="24" t="inlineStr">
        <x:is>
          <x:t xml:space="preserve">System inventory supports scoping/coverage of at-rest encryption and accurate risk analysis.</x:t>
        </x:is>
      </x:c>
      <x:c r="M94"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N94" s="24" t="inlineStr">
        <x:is>
          <x:t xml:space="preserve">Asset inventory is supporting evidence rather than an explicit standalone at-rest-encryption requirement.</x:t>
        </x:is>
      </x:c>
    </x:row>
    <x:row r="95">
      <x:c r="A95" s="5" t="inlineStr">
        <x:is>
          <x:t xml:space="preserve">HITRUST e1.csv</x:t>
        </x:is>
      </x:c>
      <x:c r="B95" s="5" t="inlineStr">
        <x:is>
          <x:t xml:space="preserve">ER-12</x:t>
        </x:is>
      </x:c>
      <x:c r="C95" s="5" t="inlineStr">
        <x:is>
          <x:t xml:space="preserve">Configuration</x:t>
        </x:is>
      </x:c>
      <x:c r="D95" s="5" t="inlineStr">
        <x:is>
          <x:t xml:space="preserve">List of All Production Systems (Servers, VMs, Data Stores)</x:t>
        </x:is>
      </x:c>
      <x:c r="E95" s="5" t="inlineStr">
        <x:is>
          <x:t xml:space="preserve">REQ-43-HIPAA</x:t>
        </x:is>
      </x:c>
      <x:c r="F95" s="5" t="inlineStr">
        <x:is>
          <x:t xml:space="preserve">07.07a1Organizational.8</x:t>
        </x:is>
      </x:c>
      <x:c r="G95" s="19" t="inlineStr">
        <x:is>
          <x:t xml:space="preserve">Many:Many</x:t>
        </x:is>
      </x:c>
      <x:c r="H95" s="12">
        <x:f>COUNTIFS($E:$E,E95,$F:$F,F95)</x:f>
        <x:v>1</x:v>
      </x:c>
      <x:c r="I95" s="24" t="inlineStr">
        <x:is>
          <x:t xml:space="preserve">45 CFR § 164.308(a)(1)(ii)(A); 45 CFR § 164.308(a)(1)(ii)(B)</x:t>
        </x:is>
      </x:c>
      <x:c r="J95" s="24" t="inlineStr">
        <x:is>
          <x:t xml:space="preserve">Security Management Process — Risk Analysis; Security Management Process — Risk Management</x:t>
        </x:is>
      </x:c>
      <x:c r="K95" s="24" t="inlineStr">
        <x:is>
          <x:t xml:space="preserve">Best-fit composite</x:t>
        </x:is>
      </x:c>
      <x:c r="L95" s="24" t="inlineStr">
        <x:is>
          <x:t xml:space="preserve">A production-systems inventory is supporting evidence for patch coverage and vulnerability scoping under risk analysis/risk management.</x:t>
        </x:is>
      </x:c>
      <x:c r="M95" s="24"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N95" s="24" t="inlineStr">
        <x:is>
          <x:t xml:space="preserve">OCR guidance treats a technology asset inventory as a valuable tool for accurate and thorough risk analysis.</x:t>
        </x:is>
      </x:c>
    </x:row>
    <x:row r="96">
      <x:c r="A96" s="5" t="inlineStr">
        <x:is>
          <x:t xml:space="preserve">HITRUST e1.csv</x:t>
        </x:is>
      </x:c>
      <x:c r="B96" s="5" t="inlineStr">
        <x:is>
          <x:t xml:space="preserve">ER-12</x:t>
        </x:is>
      </x:c>
      <x:c r="C96" s="5" t="inlineStr">
        <x:is>
          <x:t xml:space="preserve">Configuration</x:t>
        </x:is>
      </x:c>
      <x:c r="D96" s="5" t="inlineStr">
        <x:is>
          <x:t xml:space="preserve">List of All Production Systems (Servers, VMs, Data Stores)</x:t>
        </x:is>
      </x:c>
      <x:c r="E96" s="5" t="inlineStr">
        <x:is>
          <x:t xml:space="preserve">REQ-43-HIPAA</x:t>
        </x:is>
      </x:c>
      <x:c r="F96" s="5" t="inlineStr">
        <x:is>
          <x:t xml:space="preserve">0701.07a1Organizational.7</x:t>
        </x:is>
      </x:c>
      <x:c r="G96" s="19" t="inlineStr">
        <x:is>
          <x:t xml:space="preserve">Many:Many</x:t>
        </x:is>
      </x:c>
      <x:c r="H96" s="12">
        <x:f>COUNTIFS($E:$E,E96,$F:$F,F96)</x:f>
        <x:v>1</x:v>
      </x:c>
      <x:c r="I96" s="24" t="inlineStr">
        <x:is>
          <x:t xml:space="preserve">45 CFR § 164.308(a)(1)(ii)(A); 45 CFR § 164.308(a)(1)(ii)(B)</x:t>
        </x:is>
      </x:c>
      <x:c r="J96" s="24" t="inlineStr">
        <x:is>
          <x:t xml:space="preserve">Security Management Process — Risk Analysis; Security Management Process — Risk Management</x:t>
        </x:is>
      </x:c>
      <x:c r="K96" s="24" t="inlineStr">
        <x:is>
          <x:t xml:space="preserve">Best-fit composite</x:t>
        </x:is>
      </x:c>
      <x:c r="L96" s="24" t="inlineStr">
        <x:is>
          <x:t xml:space="preserve">A production-systems inventory is supporting evidence for patch coverage and vulnerability scoping under risk analysis/risk management.</x:t>
        </x:is>
      </x:c>
      <x:c r="M96" s="24"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N96" s="24" t="inlineStr">
        <x:is>
          <x:t xml:space="preserve">OCR guidance treats a technology asset inventory as a valuable tool for accurate and thorough risk analysis.</x:t>
        </x:is>
      </x:c>
    </x:row>
    <x:row r="97">
      <x:c r="A97" s="5" t="inlineStr">
        <x:is>
          <x:t xml:space="preserve">HITRUST e1.csv</x:t>
        </x:is>
      </x:c>
      <x:c r="B97" s="5" t="inlineStr">
        <x:is>
          <x:t xml:space="preserve">ER-12</x:t>
        </x:is>
      </x:c>
      <x:c r="C97" s="5" t="inlineStr">
        <x:is>
          <x:t xml:space="preserve">Configuration</x:t>
        </x:is>
      </x:c>
      <x:c r="D97" s="5" t="inlineStr">
        <x:is>
          <x:t xml:space="preserve">List of All Production Systems (Servers, VMs, Data Stores)</x:t>
        </x:is>
      </x:c>
      <x:c r="E97" s="5" t="inlineStr">
        <x:is>
          <x:t xml:space="preserve">REQ-43-HIPAA</x:t>
        </x:is>
      </x:c>
      <x:c r="F97" s="5" t="inlineStr">
        <x:is>
          <x:t xml:space="preserve">0701.07a1Organizational.8</x:t>
        </x:is>
      </x:c>
      <x:c r="G97" s="19" t="inlineStr">
        <x:is>
          <x:t xml:space="preserve">Many:Many</x:t>
        </x:is>
      </x:c>
      <x:c r="H97" s="12">
        <x:f>COUNTIFS($E:$E,E97,$F:$F,F97)</x:f>
        <x:v>1</x:v>
      </x:c>
      <x:c r="I97" s="24" t="inlineStr">
        <x:is>
          <x:t xml:space="preserve">45 CFR § 164.308(a)(1)(ii)(A); 45 CFR § 164.308(a)(1)(ii)(B)</x:t>
        </x:is>
      </x:c>
      <x:c r="J97" s="24" t="inlineStr">
        <x:is>
          <x:t xml:space="preserve">Security Management Process — Risk Analysis; Security Management Process — Risk Management</x:t>
        </x:is>
      </x:c>
      <x:c r="K97" s="24" t="inlineStr">
        <x:is>
          <x:t xml:space="preserve">Best-fit composite</x:t>
        </x:is>
      </x:c>
      <x:c r="L97" s="24" t="inlineStr">
        <x:is>
          <x:t xml:space="preserve">A production-systems inventory is supporting evidence for patch coverage and vulnerability scoping under risk analysis/risk management.</x:t>
        </x:is>
      </x:c>
      <x:c r="M97" s="24"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N97" s="24" t="inlineStr">
        <x:is>
          <x:t xml:space="preserve">OCR guidance treats a technology asset inventory as a valuable tool for accurate and thorough risk analysis.</x:t>
        </x:is>
      </x:c>
    </x:row>
    <x:row r="98">
      <x:c r="A98" s="5" t="inlineStr">
        <x:is>
          <x:t xml:space="preserve">HITRUST e1.csv</x:t>
        </x:is>
      </x:c>
      <x:c r="B98" s="5" t="inlineStr">
        <x:is>
          <x:t xml:space="preserve">ER-83</x:t>
        </x:is>
      </x:c>
      <x:c r="C98" s="5" t="inlineStr">
        <x:is>
          <x:t xml:space="preserve">Configuration</x:t>
        </x:is>
      </x:c>
      <x:c r="D98" s="5" t="inlineStr">
        <x:is>
          <x:t xml:space="preserve">Network Diagram and Segmentation</x:t>
        </x:is>
      </x:c>
      <x:c r="E98" s="5" t="inlineStr">
        <x:is>
          <x:t xml:space="preserve">REQ-36-HIPAA</x:t>
        </x:is>
      </x:c>
      <x:c r="F98" s="5" t="inlineStr">
        <x:is>
          <x:t xml:space="preserve">0504.09m1Organizational.13</x:t>
        </x:is>
      </x:c>
      <x:c r="G98" s="20" t="inlineStr">
        <x:is>
          <x:t xml:space="preserve">1:Many</x:t>
        </x:is>
      </x:c>
      <x:c r="H98" s="12">
        <x:f>COUNTIFS($E:$E,E98,$F:$F,F98)</x:f>
        <x:v>1</x:v>
      </x:c>
      <x:c r="I98" s="24" t="inlineStr">
        <x:is>
          <x:t xml:space="preserve">45 CFR § 164.312(a)(1)</x:t>
        </x:is>
      </x:c>
      <x:c r="J98" s="24" t="inlineStr">
        <x:is>
          <x:t xml:space="preserve">Access Control</x:t>
        </x:is>
      </x:c>
      <x:c r="K98" s="24" t="inlineStr">
        <x:is>
          <x:t xml:space="preserve">Best-fit</x:t>
        </x:is>
      </x:c>
      <x:c r="L98" s="24" t="inlineStr">
        <x:is>
          <x:t xml:space="preserve">HIPAA does not explicitly name network segmentation, but OCR guidance and enforcement materials cite segmentation as a way to implement access control between systems.</x:t>
        </x:is>
      </x:c>
      <x:c r="M98" s="24"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N98" s="24" t="inlineStr">
        <x:is>
          <x:t xml:space="preserve">Mapped as an access-control implementation example rather than a standalone named HIPAA implementation specification.</x:t>
        </x:is>
      </x:c>
    </x:row>
    <x:row r="99">
      <x:c r="A99" s="5" t="inlineStr">
        <x:is>
          <x:t xml:space="preserve">HITRUST e1.csv</x:t>
        </x:is>
      </x:c>
      <x:c r="B99" s="5" t="inlineStr">
        <x:is>
          <x:t xml:space="preserve">ER-83</x:t>
        </x:is>
      </x:c>
      <x:c r="C99" s="5" t="inlineStr">
        <x:is>
          <x:t xml:space="preserve">Configuration</x:t>
        </x:is>
      </x:c>
      <x:c r="D99" s="5" t="inlineStr">
        <x:is>
          <x:t xml:space="preserve">Network Diagram and Segmentation</x:t>
        </x:is>
      </x:c>
      <x:c r="E99" s="5" t="inlineStr">
        <x:is>
          <x:t xml:space="preserve">REQ-36-HIPAA</x:t>
        </x:is>
      </x:c>
      <x:c r="F99" s="5" t="inlineStr">
        <x:is>
          <x:t xml:space="preserve">0805.01m1Organizational.12</x:t>
        </x:is>
      </x:c>
      <x:c r="G99" s="20" t="inlineStr">
        <x:is>
          <x:t xml:space="preserve">1:Many</x:t>
        </x:is>
      </x:c>
      <x:c r="H99" s="12">
        <x:f>COUNTIFS($E:$E,E99,$F:$F,F99)</x:f>
        <x:v>1</x:v>
      </x:c>
      <x:c r="I99" s="24" t="inlineStr">
        <x:is>
          <x:t xml:space="preserve">45 CFR § 164.312(a)(1)</x:t>
        </x:is>
      </x:c>
      <x:c r="J99" s="24" t="inlineStr">
        <x:is>
          <x:t xml:space="preserve">Access Control</x:t>
        </x:is>
      </x:c>
      <x:c r="K99" s="24" t="inlineStr">
        <x:is>
          <x:t xml:space="preserve">Best-fit</x:t>
        </x:is>
      </x:c>
      <x:c r="L99" s="24" t="inlineStr">
        <x:is>
          <x:t xml:space="preserve">HIPAA does not explicitly name network segmentation, but OCR guidance and enforcement materials cite segmentation as a way to implement access control between systems.</x:t>
        </x:is>
      </x:c>
      <x:c r="M99" s="24"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N99" s="24" t="inlineStr">
        <x:is>
          <x:t xml:space="preserve">Mapped as an access-control implementation example rather than a standalone named HIPAA implementation specification.</x:t>
        </x:is>
      </x:c>
    </x:row>
    <x:row r="100">
      <x:c r="A100" s="5" t="inlineStr">
        <x:is>
          <x:t xml:space="preserve">HITRUST e1.csv</x:t>
        </x:is>
      </x:c>
      <x:c r="B100" s="5" t="inlineStr">
        <x:is>
          <x:t xml:space="preserve">ER-89</x:t>
        </x:is>
      </x:c>
      <x:c r="C100" s="5" t="inlineStr">
        <x:is>
          <x:t xml:space="preserve">Sample</x:t>
        </x:is>
      </x:c>
      <x:c r="D100" s="5" t="inlineStr">
        <x:is>
          <x:t xml:space="preserve">New Hire Access Request Form</x:t>
        </x:is>
      </x:c>
      <x:c r="E100" s="5" t="inlineStr">
        <x:is>
          <x:t xml:space="preserve">REQ-30-HIPAA</x:t>
        </x:is>
      </x:c>
      <x:c r="F100" s="5" t="inlineStr">
        <x:is>
          <x:t xml:space="preserve">1143.01c1System.123</x:t>
        </x:is>
      </x:c>
      <x:c r="G100" s="18" t="inlineStr">
        <x:is>
          <x:t xml:space="preserve">1:1</x:t>
        </x:is>
      </x:c>
      <x:c r="H100" s="12">
        <x:f>COUNTIFS($E:$E,E100,$F:$F,F100)</x:f>
        <x:v>1</x:v>
      </x:c>
      <x:c r="I100" s="24" t="inlineStr">
        <x:is>
          <x:t xml:space="preserve">45 CFR § 164.308(a)(4)(ii)(B)</x:t>
        </x:is>
      </x:c>
      <x:c r="J100" s="24" t="inlineStr">
        <x:is>
          <x:t xml:space="preserve">Information Access Management — Access Authorization</x:t>
        </x:is>
      </x:c>
      <x:c r="K100" s="24" t="inlineStr">
        <x:is>
          <x:t xml:space="preserve">Direct</x:t>
        </x:is>
      </x:c>
      <x:c r="L100" s="24" t="inlineStr">
        <x:is>
          <x:t xml:space="preserve">New-hire access request and approval evidence aligns directly to access authorization.</x:t>
        </x:is>
      </x:c>
      <x:c r="M100"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100" s="24" t="inlineStr">
        <x:is>
          <x:t xml:space="preserve">Used for access-request forms/templates and access-control rows that center on approvals.</x:t>
        </x:is>
      </x:c>
    </x:row>
    <x:row r="101">
      <x:c r="A101" s="5" t="inlineStr">
        <x:is>
          <x:t xml:space="preserve">HITRUST e1.csv</x:t>
        </x:is>
      </x:c>
      <x:c r="B101" s="5" t="inlineStr">
        <x:is>
          <x:t xml:space="preserve">ER-33</x:t>
        </x:is>
      </x:c>
      <x:c r="C101" s="5" t="inlineStr">
        <x:is>
          <x:t xml:space="preserve">Sample</x:t>
        </x:is>
      </x:c>
      <x:c r="D101" s="5" t="inlineStr">
        <x:is>
          <x:t xml:space="preserve">New Hire Security Awareness Training</x:t>
        </x:is>
      </x:c>
      <x:c r="E101" s="5" t="inlineStr">
        <x:is>
          <x:t xml:space="preserve">REQ-12-HIPAA</x:t>
        </x:is>
      </x:c>
      <x:c r="F101" s="5" t="inlineStr">
        <x:is>
          <x:t xml:space="preserve">13.02e1Organizational.6</x:t>
        </x:is>
      </x:c>
      <x:c r="G101" s="20" t="inlineStr">
        <x:is>
          <x:t xml:space="preserve">1:Many</x:t>
        </x:is>
      </x:c>
      <x:c r="H101" s="12">
        <x:f>COUNTIFS($E:$E,E101,$F:$F,F101)</x:f>
        <x:v>1</x:v>
      </x:c>
      <x:c r="I101" s="24" t="inlineStr">
        <x:is>
          <x:t xml:space="preserve">45 CFR § 164.308(a)(5)</x:t>
        </x:is>
      </x:c>
      <x:c r="J101" s="24" t="inlineStr">
        <x:is>
          <x:t xml:space="preserve">Security Awareness and Training</x:t>
        </x:is>
      </x:c>
      <x:c r="K101" s="24" t="inlineStr">
        <x:is>
          <x:t xml:space="preserve">Direct</x:t>
        </x:is>
      </x:c>
      <x:c r="L101" s="24" t="inlineStr">
        <x:is>
          <x:t xml:space="preserve">Action item and control context align to workforce security-awareness training for new hires.</x:t>
        </x:is>
      </x:c>
      <x:c r="M101"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101" s="24" t="inlineStr">
        <x:is>
          <x:t xml:space="preserve">Mapped at the standard level because the spreadsheet does not break new-hire training into the more granular addressable sub-specifications.</x:t>
        </x:is>
      </x:c>
    </x:row>
    <x:row r="102">
      <x:c r="A102" s="5" t="inlineStr">
        <x:is>
          <x:t xml:space="preserve">HITRUST e1.csv</x:t>
        </x:is>
      </x:c>
      <x:c r="B102" s="5" t="inlineStr">
        <x:is>
          <x:t xml:space="preserve">ER-33</x:t>
        </x:is>
      </x:c>
      <x:c r="C102" s="5" t="inlineStr">
        <x:is>
          <x:t xml:space="preserve">Sample</x:t>
        </x:is>
      </x:c>
      <x:c r="D102" s="5" t="inlineStr">
        <x:is>
          <x:t xml:space="preserve">New Hire Security Awareness Training</x:t>
        </x:is>
      </x:c>
      <x:c r="E102" s="5" t="inlineStr">
        <x:is>
          <x:t xml:space="preserve">REQ-12-HIPAA</x:t>
        </x:is>
      </x:c>
      <x:c r="F102" s="5" t="inlineStr">
        <x:is>
          <x:t xml:space="preserve">1308.09j1Organizational.5.a</x:t>
        </x:is>
      </x:c>
      <x:c r="G102" s="20" t="inlineStr">
        <x:is>
          <x:t xml:space="preserve">1:Many</x:t>
        </x:is>
      </x:c>
      <x:c r="H102" s="12">
        <x:f>COUNTIFS($E:$E,E102,$F:$F,F102)</x:f>
        <x:v>1</x:v>
      </x:c>
      <x:c r="I102" s="24" t="inlineStr">
        <x:is>
          <x:t xml:space="preserve">45 CFR § 164.308(a)(5)</x:t>
        </x:is>
      </x:c>
      <x:c r="J102" s="24" t="inlineStr">
        <x:is>
          <x:t xml:space="preserve">Security Awareness and Training</x:t>
        </x:is>
      </x:c>
      <x:c r="K102" s="24" t="inlineStr">
        <x:is>
          <x:t xml:space="preserve">Direct</x:t>
        </x:is>
      </x:c>
      <x:c r="L102" s="24" t="inlineStr">
        <x:is>
          <x:t xml:space="preserve">Action item and control context align to workforce security-awareness training for new hires.</x:t>
        </x:is>
      </x:c>
      <x:c r="M102"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102" s="24" t="inlineStr">
        <x:is>
          <x:t xml:space="preserve">Mapped at the standard level because the spreadsheet does not break new-hire training into the more granular addressable sub-specifications.</x:t>
        </x:is>
      </x:c>
    </x:row>
    <x:row r="103">
      <x:c r="A103" s="5" t="inlineStr">
        <x:is>
          <x:t xml:space="preserve">HITRUST e1.csv</x:t>
        </x:is>
      </x:c>
      <x:c r="B103" s="5" t="inlineStr">
        <x:is>
          <x:t xml:space="preserve">ER-33</x:t>
        </x:is>
      </x:c>
      <x:c r="C103" s="5" t="inlineStr">
        <x:is>
          <x:t xml:space="preserve">Sample</x:t>
        </x:is>
      </x:c>
      <x:c r="D103" s="5" t="inlineStr">
        <x:is>
          <x:t xml:space="preserve">New Hire Security Awareness Training</x:t>
        </x:is>
      </x:c>
      <x:c r="E103" s="5" t="inlineStr">
        <x:is>
          <x:t xml:space="preserve">REQ-12-HIPAA</x:t>
        </x:is>
      </x:c>
      <x:c r="F103" s="5" t="inlineStr">
        <x:is>
          <x:t xml:space="preserve">13998.02e1Organizational.2</x:t>
        </x:is>
      </x:c>
      <x:c r="G103" s="20" t="inlineStr">
        <x:is>
          <x:t xml:space="preserve">1:Many</x:t>
        </x:is>
      </x:c>
      <x:c r="H103" s="12">
        <x:f>COUNTIFS($E:$E,E103,$F:$F,F103)</x:f>
        <x:v>1</x:v>
      </x:c>
      <x:c r="I103" s="24" t="inlineStr">
        <x:is>
          <x:t xml:space="preserve">45 CFR § 164.308(a)(5)</x:t>
        </x:is>
      </x:c>
      <x:c r="J103" s="24" t="inlineStr">
        <x:is>
          <x:t xml:space="preserve">Security Awareness and Training</x:t>
        </x:is>
      </x:c>
      <x:c r="K103" s="24" t="inlineStr">
        <x:is>
          <x:t xml:space="preserve">Direct</x:t>
        </x:is>
      </x:c>
      <x:c r="L103" s="24" t="inlineStr">
        <x:is>
          <x:t xml:space="preserve">Action item and control context align to workforce security-awareness training for new hires.</x:t>
        </x:is>
      </x:c>
      <x:c r="M103"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103" s="24" t="inlineStr">
        <x:is>
          <x:t xml:space="preserve">Mapped at the standard level because the spreadsheet does not break new-hire training into the more granular addressable sub-specifications.</x:t>
        </x:is>
      </x:c>
    </x:row>
    <x:row r="104">
      <x:c r="A104" s="5" t="inlineStr">
        <x:is>
          <x:t xml:space="preserve">HITRUST e1.csv</x:t>
        </x:is>
      </x:c>
      <x:c r="B104" s="5" t="inlineStr">
        <x:is>
          <x:t xml:space="preserve">ER-67</x:t>
        </x:is>
      </x:c>
      <x:c r="C104" s="5" t="inlineStr">
        <x:is>
          <x:t xml:space="preserve">Configuration</x:t>
        </x:is>
      </x:c>
      <x:c r="D104" s="5" t="inlineStr">
        <x:is>
          <x:t xml:space="preserve">Password Vault and Shared Accounts</x:t>
        </x:is>
      </x:c>
      <x:c r="E104" s="5" t="inlineStr">
        <x:is>
          <x:t xml:space="preserve">REQ-28-HIPAA</x:t>
        </x:is>
      </x:c>
      <x:c r="F104" s="5" t="inlineStr">
        <x:is>
          <x:t xml:space="preserve">1123.01q1System.2</x:t>
        </x:is>
      </x:c>
      <x:c r="G104" s="17" t="inlineStr">
        <x:is>
          <x:t xml:space="preserve">Many:1</x:t>
        </x:is>
      </x:c>
      <x:c r="H104" s="12">
        <x:f>COUNTIFS($E:$E,E104,$F:$F,F104)</x:f>
        <x:v>1</x:v>
      </x:c>
      <x:c r="I104" s="24" t="inlineStr">
        <x:is>
          <x:t xml:space="preserve">45 CFR § 164.312(a)(2)(i); 45 CFR § 164.308(a)(4)(ii)(C)</x:t>
        </x:is>
      </x:c>
      <x:c r="J104" s="24" t="inlineStr">
        <x:is>
          <x:t xml:space="preserve">Access Control — Unique User Identification; Information Access Management — Access Establishment and Modification</x:t>
        </x:is>
      </x:c>
      <x:c r="K104" s="24" t="inlineStr">
        <x:is>
          <x:t xml:space="preserve">Composite</x:t>
        </x:is>
      </x:c>
      <x:c r="L104" s="24" t="inlineStr">
        <x:is>
          <x:t xml:space="preserve">Password-vault/shared-account and privileged-access evidence supports unique attribution of user activity and management of privileged rights.</x:t>
        </x:is>
      </x:c>
      <x:c r="M104" s="24"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https://www.hhs.gov/sites/default/files/ocr/privacy/hipaa/administrative/securityrule/adminsafeguards.pdf</x:t>
        </x:is>
      </x:c>
      <x:c r="N104" s="24" t="inlineStr">
        <x:is>
          <x:t xml:space="preserve">Shared or generic-account controls are best matched to unique user identification, with access-right administration as a secondary basis.</x:t>
        </x:is>
      </x:c>
    </x:row>
    <x:row r="105">
      <x:c r="A105" s="5" t="inlineStr">
        <x:is>
          <x:t xml:space="preserve">HITRUST e1.csv</x:t>
        </x:is>
      </x:c>
      <x:c r="B105" s="5" t="inlineStr">
        <x:is>
          <x:t xml:space="preserve">ER-67</x:t>
        </x:is>
      </x:c>
      <x:c r="C105" s="5" t="inlineStr">
        <x:is>
          <x:t xml:space="preserve">Configuration</x:t>
        </x:is>
      </x:c>
      <x:c r="D105" s="5" t="inlineStr">
        <x:is>
          <x:t xml:space="preserve">Password Vault and Shared Accounts</x:t>
        </x:is>
      </x:c>
      <x:c r="E105" s="5" t="inlineStr">
        <x:is>
          <x:t xml:space="preserve">REQ-31-HIPAA</x:t>
        </x:is>
      </x:c>
      <x:c r="F105" s="5" t="inlineStr">
        <x:is>
          <x:t xml:space="preserve">1123.01q1System.2</x:t>
        </x:is>
      </x:c>
      <x:c r="G105" s="17" t="inlineStr">
        <x:is>
          <x:t xml:space="preserve">Many:1</x:t>
        </x:is>
      </x:c>
      <x:c r="H105" s="12">
        <x:f>COUNTIFS($E:$E,E105,$F:$F,F105)</x:f>
        <x:v>1</x:v>
      </x:c>
      <x:c r="I105" s="24" t="inlineStr">
        <x:is>
          <x:t xml:space="preserve">45 CFR § 164.308(a)(3)(ii)(C); 45 CFR § 164.312(a)(2)(i)</x:t>
        </x:is>
      </x:c>
      <x:c r="J105" s="24" t="inlineStr">
        <x:is>
          <x:t xml:space="preserve">Workforce Security — Termination Procedures; Access Control — Unique User Identification</x:t>
        </x:is>
      </x:c>
      <x:c r="K105" s="24" t="inlineStr">
        <x:is>
          <x:t xml:space="preserve">Composite</x:t>
        </x:is>
      </x:c>
      <x:c r="L105" s="24" t="inlineStr">
        <x:is>
          <x:t xml:space="preserve">Shared-account and privileged-access listings support timely removal of departing users and accountability for access tied to individuals.</x:t>
        </x:is>
      </x:c>
      <x:c r="M105" s="24" t="inlineStr">
        <x:is>
          <x:t xml:space="preserve">https://www.ecfr.gov/current/title-45/subtitle-A/subchapter-C/part-164/section-164.308 | https://www.ecfr.gov/current/title-45/subtitle-A/subchapter-C/part-164/section-164.312 | https://www.hhs.gov/hipaa/for-professionals/compliance-enforcement/audit/protocol/index.html | https://www.hhs.gov/hipaa/for-professionals/security/guidance/cybersecurity-newsletter-summer-2019/index.html</x:t>
        </x:is>
      </x:c>
      <x:c r="N105" s="24" t="inlineStr">
        <x:is>
          <x:t xml:space="preserve">Best read as supporting evidence that terminated users are removed from shared/privileged access paths.</x:t>
        </x:is>
      </x:c>
    </x:row>
    <x:row r="106">
      <x:c r="A106" s="5" t="inlineStr">
        <x:is>
          <x:t xml:space="preserve">HITRUST e1.csv</x:t>
        </x:is>
      </x:c>
      <x:c r="B106" s="5" t="inlineStr">
        <x:is>
          <x:t xml:space="preserve">ER-24</x:t>
        </x:is>
      </x:c>
      <x:c r="C106" s="5" t="inlineStr">
        <x:is>
          <x:t xml:space="preserve">Policy</x:t>
        </x:is>
      </x:c>
      <x:c r="D106" s="5" t="inlineStr">
        <x:is>
          <x:t xml:space="preserve">Password and Multi-Factor Authentication</x:t>
        </x:is>
      </x:c>
      <x:c r="E106" s="5" t="inlineStr">
        <x:is>
          <x:t xml:space="preserve">REQ-26-HIPAA</x:t>
        </x:is>
      </x:c>
      <x:c r="F106" s="5" t="inlineStr">
        <x:is>
          <x:t xml:space="preserve">10.01d1System.10</x:t>
        </x:is>
      </x:c>
      <x:c r="G106" s="20" t="inlineStr">
        <x:is>
          <x:t xml:space="preserve">1:Many</x:t>
        </x:is>
      </x:c>
      <x:c r="H106" s="12">
        <x:f>COUNTIFS($E:$E,E106,$F:$F,F106)</x:f>
        <x:v>2</x:v>
      </x:c>
      <x:c r="I106" s="24" t="inlineStr">
        <x:is>
          <x:t xml:space="preserve">45 CFR § 164.308(a)(5)(ii)(D); 45 CFR § 164.312(d)</x:t>
        </x:is>
      </x:c>
      <x:c r="J106" s="24" t="inlineStr">
        <x:is>
          <x:t xml:space="preserve">Security Awareness and Training — Password Management; Person or Entity Authentication</x:t>
        </x:is>
      </x:c>
      <x:c r="K106" s="24" t="inlineStr">
        <x:is>
          <x:t xml:space="preserve">Composite</x:t>
        </x:is>
      </x:c>
      <x:c r="L106" s="24" t="inlineStr">
        <x:is>
          <x:t xml:space="preserve">Action item explicitly combines password controls with MFA, so both password management and authentication verification are cited.</x:t>
        </x:is>
      </x:c>
      <x:c r="M106" s="24"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N106" s="24" t="inlineStr">
        <x:is>
          <x:t xml:space="preserve">Covers password creation/change/safeguarding and MFA-style authentication evidence.</x:t>
        </x:is>
      </x:c>
    </x:row>
    <x:row r="107">
      <x:c r="A107" s="5" t="inlineStr">
        <x:is>
          <x:t xml:space="preserve">HITRUST e1.csv</x:t>
        </x:is>
      </x:c>
      <x:c r="B107" s="5" t="inlineStr">
        <x:is>
          <x:t xml:space="preserve">ER-24</x:t>
        </x:is>
      </x:c>
      <x:c r="C107" s="5" t="inlineStr">
        <x:is>
          <x:t xml:space="preserve">Policy</x:t>
        </x:is>
      </x:c>
      <x:c r="D107" s="5" t="inlineStr">
        <x:is>
          <x:t xml:space="preserve">Password and Multi-Factor Authentication</x:t>
        </x:is>
      </x:c>
      <x:c r="E107" s="5" t="inlineStr">
        <x:is>
          <x:t xml:space="preserve">REQ-26-HIPAA</x:t>
        </x:is>
      </x:c>
      <x:c r="F107" s="5" t="inlineStr">
        <x:is>
          <x:t xml:space="preserve">11.01p1System.5</x:t>
        </x:is>
      </x:c>
      <x:c r="G107" s="20" t="inlineStr">
        <x:is>
          <x:t xml:space="preserve">1:Many</x:t>
        </x:is>
      </x:c>
      <x:c r="H107" s="12">
        <x:f>COUNTIFS($E:$E,E107,$F:$F,F107)</x:f>
        <x:v>1</x:v>
      </x:c>
      <x:c r="I107" s="24" t="inlineStr">
        <x:is>
          <x:t xml:space="preserve">45 CFR § 164.308(a)(5)(ii)(D); 45 CFR § 164.312(d)</x:t>
        </x:is>
      </x:c>
      <x:c r="J107" s="24" t="inlineStr">
        <x:is>
          <x:t xml:space="preserve">Security Awareness and Training — Password Management; Person or Entity Authentication</x:t>
        </x:is>
      </x:c>
      <x:c r="K107" s="24" t="inlineStr">
        <x:is>
          <x:t xml:space="preserve">Composite</x:t>
        </x:is>
      </x:c>
      <x:c r="L107" s="24" t="inlineStr">
        <x:is>
          <x:t xml:space="preserve">Action item explicitly combines password controls with MFA, so both password management and authentication verification are cited.</x:t>
        </x:is>
      </x:c>
      <x:c r="M107" s="24"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N107" s="24" t="inlineStr">
        <x:is>
          <x:t xml:space="preserve">Covers password creation/change/safeguarding and MFA-style authentication evidence.</x:t>
        </x:is>
      </x:c>
    </x:row>
    <x:row r="108">
      <x:c r="A108" s="5" t="inlineStr">
        <x:is>
          <x:t xml:space="preserve">HITRUST e1.csv</x:t>
        </x:is>
      </x:c>
      <x:c r="B108" s="5" t="inlineStr">
        <x:is>
          <x:t xml:space="preserve">ER-25</x:t>
        </x:is>
      </x:c>
      <x:c r="C108" s="5" t="inlineStr">
        <x:is>
          <x:t xml:space="preserve">Configuration</x:t>
        </x:is>
      </x:c>
      <x:c r="D108" s="5" t="inlineStr">
        <x:is>
          <x:t xml:space="preserve">Passwords for All In-Scope Production Systems</x:t>
        </x:is>
      </x:c>
      <x:c r="E108" s="5" t="inlineStr">
        <x:is>
          <x:t xml:space="preserve">REQ-26-HIPAA</x:t>
        </x:is>
      </x:c>
      <x:c r="F108" s="5" t="inlineStr">
        <x:is>
          <x:t xml:space="preserve">10.01d1System.10</x:t>
        </x:is>
      </x:c>
      <x:c r="G108" s="18" t="inlineStr">
        <x:is>
          <x:t xml:space="preserve">1:1</x:t>
        </x:is>
      </x:c>
      <x:c r="H108" s="12">
        <x:f>COUNTIFS($E:$E,E108,$F:$F,F108)</x:f>
        <x:v>2</x:v>
      </x:c>
      <x:c r="I108" s="24" t="inlineStr">
        <x:is>
          <x:t xml:space="preserve">45 CFR § 164.308(a)(5)(ii)(D); 45 CFR § 164.312(a)(1)</x:t>
        </x:is>
      </x:c>
      <x:c r="J108" s="24" t="inlineStr">
        <x:is>
          <x:t xml:space="preserve">Security Awareness and Training — Password Management; Access Control</x:t>
        </x:is>
      </x:c>
      <x:c r="K108" s="24" t="inlineStr">
        <x:is>
          <x:t xml:space="preserve">Composite</x:t>
        </x:is>
      </x:c>
      <x:c r="L108" s="24" t="inlineStr">
        <x:is>
          <x:t xml:space="preserve">Password configuration evidence most directly aligns to password-management requirements and the broader access-control standard.</x:t>
        </x:is>
      </x:c>
      <x:c r="M108" s="24"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N108" s="24" t="inlineStr">
        <x:is>
          <x:t xml:space="preserve">This row is password-configuration evidence; MFA is not the primary evidence artifact here.</x:t>
        </x:is>
      </x:c>
    </x:row>
    <x:row r="109">
      <x:c r="A109" s="5" t="inlineStr">
        <x:is>
          <x:t xml:space="preserve">HITRUST e1.csv</x:t>
        </x:is>
      </x:c>
      <x:c r="B109" s="5" t="inlineStr">
        <x:is>
          <x:t xml:space="preserve">ER-105</x:t>
        </x:is>
      </x:c>
      <x:c r="C109" s="5" t="inlineStr">
        <x:is>
          <x:t xml:space="preserve">Operational</x:t>
        </x:is>
      </x:c>
      <x:c r="D109" s="5" t="inlineStr">
        <x:is>
          <x:t xml:space="preserve">Risk Assessment</x:t>
        </x:is>
      </x:c>
      <x:c r="E109" s="5" t="inlineStr">
        <x:is>
          <x:t xml:space="preserve">REQ-110-HIPAA</x:t>
        </x:is>
      </x:c>
      <x:c r="F109" s="5" t="inlineStr">
        <x:is>
          <x:t xml:space="preserve">1704.03b1Organizational.12</x:t>
        </x:is>
      </x:c>
      <x:c r="G109" s="17" t="inlineStr">
        <x:is>
          <x:t xml:space="preserve">Many:1</x:t>
        </x:is>
      </x:c>
      <x:c r="H109" s="12">
        <x:f>COUNTIFS($E:$E,E109,$F:$F,F109)</x:f>
        <x:v>1</x:v>
      </x:c>
      <x:c r="I109" s="24" t="inlineStr">
        <x:is>
          <x:t xml:space="preserve">45 CFR § 164.308(a)(1)(ii)(A)</x:t>
        </x:is>
      </x:c>
      <x:c r="J109" s="24" t="inlineStr">
        <x:is>
          <x:t xml:space="preserve">Security Management Process — Risk Analysis</x:t>
        </x:is>
      </x:c>
      <x:c r="K109" s="24" t="inlineStr">
        <x:is>
          <x:t xml:space="preserve">Best-fit</x:t>
        </x:is>
      </x:c>
      <x:c r="L109" s="24" t="inlineStr">
        <x:is>
          <x:t xml:space="preserve">The source spreadsheet only exposes an internal control ID on the Risk Assessment action item, so the closest authoritative HIPAA citation is Risk Analysis.</x:t>
        </x:is>
      </x:c>
      <x:c r="M109" s="24" t="inlineStr">
        <x:is>
          <x:t xml:space="preserve">https://www.ecfr.gov/current/title-45/subtitle-A/subchapter-C/part-164/section-164.308 | https://www.hhs.gov/hipaa/for-professionals/security/guidance/guidance-risk-analysis/index.html | https://www.hhs.gov/sites/default/files/ocr/privacy/hipaa/administrative/combined/hipaa-simplification-201303.pdf</x:t>
        </x:is>
      </x:c>
      <x:c r="N109" s="24" t="inlineStr">
        <x:is>
          <x:t xml:space="preserve">Matched by action-item semantics because the internal control itself is not labeled with an official HIPAA section.</x:t>
        </x:is>
      </x:c>
    </x:row>
    <x:row r="110">
      <x:c r="A110" s="5" t="inlineStr">
        <x:is>
          <x:t xml:space="preserve">HITRUST e1.csv</x:t>
        </x:is>
      </x:c>
      <x:c r="B110" s="5" t="inlineStr">
        <x:is>
          <x:t xml:space="preserve">ER-105</x:t>
        </x:is>
      </x:c>
      <x:c r="C110" s="5" t="inlineStr">
        <x:is>
          <x:t xml:space="preserve">Operational</x:t>
        </x:is>
      </x:c>
      <x:c r="D110" s="5" t="inlineStr">
        <x:is>
          <x:t xml:space="preserve">Risk Assessment</x:t>
        </x:is>
      </x:c>
      <x:c r="E110" s="5" t="inlineStr">
        <x:is>
          <x:t xml:space="preserve">REQ-17-HIPAA</x:t>
        </x:is>
      </x:c>
      <x:c r="F110" s="5" t="inlineStr">
        <x:is>
          <x:t xml:space="preserve">1704.03b1Organizational.12</x:t>
        </x:is>
      </x:c>
      <x:c r="G110" s="17" t="inlineStr">
        <x:is>
          <x:t xml:space="preserve">Many:1</x:t>
        </x:is>
      </x:c>
      <x:c r="H110" s="12">
        <x:f>COUNTIFS($E:$E,E110,$F:$F,F110)</x:f>
        <x:v>2</x:v>
      </x:c>
      <x:c r="I110" s="24" t="inlineStr">
        <x:is>
          <x:t xml:space="preserve">45 CFR § 164.308(a)(1)(ii)(A)</x:t>
        </x:is>
      </x:c>
      <x:c r="J110" s="24" t="inlineStr">
        <x:is>
          <x:t xml:space="preserve">Security Management Process — Risk Analysis</x:t>
        </x:is>
      </x:c>
      <x:c r="K110" s="24" t="inlineStr">
        <x:is>
          <x:t xml:space="preserve">Direct</x:t>
        </x:is>
      </x:c>
      <x:c r="L110" s="24" t="inlineStr">
        <x:is>
          <x:t xml:space="preserve">Control context aligns to identifying risks and vulnerabilities to ePHI.</x:t>
        </x:is>
      </x:c>
      <x:c r="M110"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0" s="24" t="inlineStr">
        <x:is>
          <x:t xml:space="preserve">Risk analysis is the most direct HIPAA citation for assessment-oriented rows.</x:t>
        </x:is>
      </x:c>
    </x:row>
    <x:row r="111">
      <x:c r="A111" s="5" t="inlineStr">
        <x:is>
          <x:t xml:space="preserve">HITRUST e1.csv</x:t>
        </x:is>
      </x:c>
      <x:c r="B111" s="5" t="inlineStr">
        <x:is>
          <x:t xml:space="preserve">ER-105</x:t>
        </x:is>
      </x:c>
      <x:c r="C111" s="5" t="inlineStr">
        <x:is>
          <x:t xml:space="preserve">Operational</x:t>
        </x:is>
      </x:c>
      <x:c r="D111" s="5" t="inlineStr">
        <x:is>
          <x:t xml:space="preserve">Risk Assessment</x:t>
        </x:is>
      </x:c>
      <x:c r="E111" s="5" t="inlineStr">
        <x:is>
          <x:t xml:space="preserve">REQ-20-HIPAA</x:t>
        </x:is>
      </x:c>
      <x:c r="F111" s="5" t="inlineStr">
        <x:is>
          <x:t xml:space="preserve">1704.03b1Organizational.12</x:t>
        </x:is>
      </x:c>
      <x:c r="G111" s="17" t="inlineStr">
        <x:is>
          <x:t xml:space="preserve">Many:1</x:t>
        </x:is>
      </x:c>
      <x:c r="H111" s="12">
        <x:f>COUNTIFS($E:$E,E111,$F:$F,F111)</x:f>
        <x:v>2</x:v>
      </x:c>
      <x:c r="I111" s="24" t="inlineStr">
        <x:is>
          <x:t xml:space="preserve">45 CFR § 164.308(a)(1)(ii)(B)</x:t>
        </x:is>
      </x:c>
      <x:c r="J111" s="24" t="inlineStr">
        <x:is>
          <x:t xml:space="preserve">Security Management Process — Risk Management</x:t>
        </x:is>
      </x:c>
      <x:c r="K111" s="24" t="inlineStr">
        <x:is>
          <x:t xml:space="preserve">Direct</x:t>
        </x:is>
      </x:c>
      <x:c r="L111" s="24" t="inlineStr">
        <x:is>
          <x:t xml:space="preserve">Control context aligns to reducing identified risks and vulnerabilities to a reasonable and appropriate level.</x:t>
        </x:is>
      </x:c>
      <x:c r="M111"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1" s="24" t="inlineStr">
        <x:is>
          <x:t xml:space="preserve">Used for policy and operational rows focused on treatment/mitigation of identified risks.</x:t>
        </x:is>
      </x:c>
    </x:row>
    <x:row r="112">
      <x:c r="A112" s="5" t="inlineStr">
        <x:is>
          <x:t xml:space="preserve">HITRUST e1.csv</x:t>
        </x:is>
      </x:c>
      <x:c r="B112" s="5" t="inlineStr">
        <x:is>
          <x:t xml:space="preserve">ER-41</x:t>
        </x:is>
      </x:c>
      <x:c r="C112" s="5" t="inlineStr">
        <x:is>
          <x:t xml:space="preserve">Policy</x:t>
        </x:is>
      </x:c>
      <x:c r="D112" s="5" t="inlineStr">
        <x:is>
          <x:t xml:space="preserve">Risk Management</x:t>
        </x:is>
      </x:c>
      <x:c r="E112" s="5" t="inlineStr">
        <x:is>
          <x:t xml:space="preserve">REQ-17-HIPAA</x:t>
        </x:is>
      </x:c>
      <x:c r="F112" s="5" t="inlineStr">
        <x:is>
          <x:t xml:space="preserve">1701.03a1Organizational.12345678</x:t>
        </x:is>
      </x:c>
      <x:c r="G112" s="19" t="inlineStr">
        <x:is>
          <x:t xml:space="preserve">Many:Many</x:t>
        </x:is>
      </x:c>
      <x:c r="H112" s="12">
        <x:f>COUNTIFS($E:$E,E112,$F:$F,F112)</x:f>
        <x:v>1</x:v>
      </x:c>
      <x:c r="I112" s="24" t="inlineStr">
        <x:is>
          <x:t xml:space="preserve">45 CFR § 164.308(a)(1)(ii)(A)</x:t>
        </x:is>
      </x:c>
      <x:c r="J112" s="24" t="inlineStr">
        <x:is>
          <x:t xml:space="preserve">Security Management Process — Risk Analysis</x:t>
        </x:is>
      </x:c>
      <x:c r="K112" s="24" t="inlineStr">
        <x:is>
          <x:t xml:space="preserve">Direct</x:t>
        </x:is>
      </x:c>
      <x:c r="L112" s="24" t="inlineStr">
        <x:is>
          <x:t xml:space="preserve">Control context aligns to identifying risks and vulnerabilities to ePHI.</x:t>
        </x:is>
      </x:c>
      <x:c r="M112"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2" s="24" t="inlineStr">
        <x:is>
          <x:t xml:space="preserve">Risk analysis is the most direct HIPAA citation for assessment-oriented rows.</x:t>
        </x:is>
      </x:c>
    </x:row>
    <x:row r="113">
      <x:c r="A113" s="5" t="inlineStr">
        <x:is>
          <x:t xml:space="preserve">HITRUST e1.csv</x:t>
        </x:is>
      </x:c>
      <x:c r="B113" s="5" t="inlineStr">
        <x:is>
          <x:t xml:space="preserve">ER-41</x:t>
        </x:is>
      </x:c>
      <x:c r="C113" s="5" t="inlineStr">
        <x:is>
          <x:t xml:space="preserve">Policy</x:t>
        </x:is>
      </x:c>
      <x:c r="D113" s="5" t="inlineStr">
        <x:is>
          <x:t xml:space="preserve">Risk Management</x:t>
        </x:is>
      </x:c>
      <x:c r="E113" s="5" t="inlineStr">
        <x:is>
          <x:t xml:space="preserve">REQ-17-HIPAA</x:t>
        </x:is>
      </x:c>
      <x:c r="F113" s="5" t="inlineStr">
        <x:is>
          <x:t xml:space="preserve">1704.03b1Organizational.12</x:t>
        </x:is>
      </x:c>
      <x:c r="G113" s="19" t="inlineStr">
        <x:is>
          <x:t xml:space="preserve">Many:Many</x:t>
        </x:is>
      </x:c>
      <x:c r="H113" s="12">
        <x:f>COUNTIFS($E:$E,E113,$F:$F,F113)</x:f>
        <x:v>2</x:v>
      </x:c>
      <x:c r="I113" s="24" t="inlineStr">
        <x:is>
          <x:t xml:space="preserve">45 CFR § 164.308(a)(1)(ii)(A)</x:t>
        </x:is>
      </x:c>
      <x:c r="J113" s="24" t="inlineStr">
        <x:is>
          <x:t xml:space="preserve">Security Management Process — Risk Analysis</x:t>
        </x:is>
      </x:c>
      <x:c r="K113" s="24" t="inlineStr">
        <x:is>
          <x:t xml:space="preserve">Direct</x:t>
        </x:is>
      </x:c>
      <x:c r="L113" s="24" t="inlineStr">
        <x:is>
          <x:t xml:space="preserve">Control context aligns to identifying risks and vulnerabilities to ePHI.</x:t>
        </x:is>
      </x:c>
      <x:c r="M113"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3" s="24" t="inlineStr">
        <x:is>
          <x:t xml:space="preserve">Risk analysis is the most direct HIPAA citation for assessment-oriented rows.</x:t>
        </x:is>
      </x:c>
    </x:row>
    <x:row r="114">
      <x:c r="A114" s="5" t="inlineStr">
        <x:is>
          <x:t xml:space="preserve">HITRUST e1.csv</x:t>
        </x:is>
      </x:c>
      <x:c r="B114" s="5" t="inlineStr">
        <x:is>
          <x:t xml:space="preserve">ER-41</x:t>
        </x:is>
      </x:c>
      <x:c r="C114" s="5" t="inlineStr">
        <x:is>
          <x:t xml:space="preserve">Policy</x:t>
        </x:is>
      </x:c>
      <x:c r="D114" s="5" t="inlineStr">
        <x:is>
          <x:t xml:space="preserve">Risk Management</x:t>
        </x:is>
      </x:c>
      <x:c r="E114" s="5" t="inlineStr">
        <x:is>
          <x:t xml:space="preserve">REQ-20-HIPAA</x:t>
        </x:is>
      </x:c>
      <x:c r="F114" s="5" t="inlineStr">
        <x:is>
          <x:t xml:space="preserve">1701.03a1Organizational.12345678</x:t>
        </x:is>
      </x:c>
      <x:c r="G114" s="19" t="inlineStr">
        <x:is>
          <x:t xml:space="preserve">Many:Many</x:t>
        </x:is>
      </x:c>
      <x:c r="H114" s="12">
        <x:f>COUNTIFS($E:$E,E114,$F:$F,F114)</x:f>
        <x:v>1</x:v>
      </x:c>
      <x:c r="I114" s="24" t="inlineStr">
        <x:is>
          <x:t xml:space="preserve">45 CFR § 164.308(a)(1)(ii)(B)</x:t>
        </x:is>
      </x:c>
      <x:c r="J114" s="24" t="inlineStr">
        <x:is>
          <x:t xml:space="preserve">Security Management Process — Risk Management</x:t>
        </x:is>
      </x:c>
      <x:c r="K114" s="24" t="inlineStr">
        <x:is>
          <x:t xml:space="preserve">Direct</x:t>
        </x:is>
      </x:c>
      <x:c r="L114" s="24" t="inlineStr">
        <x:is>
          <x:t xml:space="preserve">Control context aligns to reducing identified risks and vulnerabilities to a reasonable and appropriate level.</x:t>
        </x:is>
      </x:c>
      <x:c r="M114"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4" s="24" t="inlineStr">
        <x:is>
          <x:t xml:space="preserve">Used for policy and operational rows focused on treatment/mitigation of identified risks.</x:t>
        </x:is>
      </x:c>
    </x:row>
    <x:row r="115">
      <x:c r="A115" s="5" t="inlineStr">
        <x:is>
          <x:t xml:space="preserve">HITRUST e1.csv</x:t>
        </x:is>
      </x:c>
      <x:c r="B115" s="5" t="inlineStr">
        <x:is>
          <x:t xml:space="preserve">ER-41</x:t>
        </x:is>
      </x:c>
      <x:c r="C115" s="5" t="inlineStr">
        <x:is>
          <x:t xml:space="preserve">Policy</x:t>
        </x:is>
      </x:c>
      <x:c r="D115" s="5" t="inlineStr">
        <x:is>
          <x:t xml:space="preserve">Risk Management</x:t>
        </x:is>
      </x:c>
      <x:c r="E115" s="5" t="inlineStr">
        <x:is>
          <x:t xml:space="preserve">REQ-20-HIPAA</x:t>
        </x:is>
      </x:c>
      <x:c r="F115" s="5" t="inlineStr">
        <x:is>
          <x:t xml:space="preserve">1704.03b1Organizational.12</x:t>
        </x:is>
      </x:c>
      <x:c r="G115" s="19" t="inlineStr">
        <x:is>
          <x:t xml:space="preserve">Many:Many</x:t>
        </x:is>
      </x:c>
      <x:c r="H115" s="12">
        <x:f>COUNTIFS($E:$E,E115,$F:$F,F115)</x:f>
        <x:v>2</x:v>
      </x:c>
      <x:c r="I115" s="24" t="inlineStr">
        <x:is>
          <x:t xml:space="preserve">45 CFR § 164.308(a)(1)(ii)(B)</x:t>
        </x:is>
      </x:c>
      <x:c r="J115" s="24" t="inlineStr">
        <x:is>
          <x:t xml:space="preserve">Security Management Process — Risk Management</x:t>
        </x:is>
      </x:c>
      <x:c r="K115" s="24" t="inlineStr">
        <x:is>
          <x:t xml:space="preserve">Direct</x:t>
        </x:is>
      </x:c>
      <x:c r="L115" s="24" t="inlineStr">
        <x:is>
          <x:t xml:space="preserve">Control context aligns to reducing identified risks and vulnerabilities to a reasonable and appropriate level.</x:t>
        </x:is>
      </x:c>
      <x:c r="M115"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5" s="24" t="inlineStr">
        <x:is>
          <x:t xml:space="preserve">Used for policy and operational rows focused on treatment/mitigation of identified risks.</x:t>
        </x:is>
      </x:c>
    </x:row>
    <x:row r="116">
      <x:c r="A116" s="5" t="inlineStr">
        <x:is>
          <x:t xml:space="preserve">HITRUST e1.csv</x:t>
        </x:is>
      </x:c>
      <x:c r="B116" s="5" t="inlineStr">
        <x:is>
          <x:t xml:space="preserve">ER-62</x:t>
        </x:is>
      </x:c>
      <x:c r="C116" s="5" t="inlineStr">
        <x:is>
          <x:t xml:space="preserve">Sample</x:t>
        </x:is>
      </x:c>
      <x:c r="D116" s="5" t="inlineStr">
        <x:is>
          <x:t xml:space="preserve">Software/Infrastructure Production Change Ticket</x:t>
        </x:is>
      </x:c>
      <x:c r="E116" s="5" t="inlineStr">
        <x:is>
          <x:t xml:space="preserve">REQ-55-HIPAA</x:t>
        </x:is>
      </x:c>
      <x:c r="F116" s="5" t="inlineStr">
        <x:is>
          <x:t xml:space="preserve">06.09b1System.2</x:t>
        </x:is>
      </x:c>
      <x:c r="G116" s="18" t="inlineStr">
        <x:is>
          <x:t xml:space="preserve">1:1</x:t>
        </x:is>
      </x:c>
      <x:c r="H116" s="12">
        <x:f>COUNTIFS($E:$E,E116,$F:$F,F116)</x:f>
        <x:v>2</x:v>
      </x:c>
      <x:c r="I116" s="24" t="inlineStr">
        <x:is>
          <x:t xml:space="preserve">45 CFR § 164.308(a)(8); 45 CFR § 164.316(b)(1)</x:t>
        </x:is>
      </x:c>
      <x:c r="J116" s="24" t="inlineStr">
        <x:is>
          <x:t xml:space="preserve">Evaluation; Documentation</x:t>
        </x:is>
      </x:c>
      <x:c r="K116" s="24" t="inlineStr">
        <x:is>
          <x:t xml:space="preserve">Best-fit composite</x:t>
        </x:is>
      </x:c>
      <x:c r="L116" s="24" t="inlineStr">
        <x:is>
          <x:t xml:space="preserve">Production-change tickets/population evidence are not a named HIPAA specification, but they are strong evidence of evaluating and documenting operational changes affecting ePHI safeguards.</x:t>
        </x:is>
      </x:c>
      <x:c r="M116"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16" s="24" t="inlineStr">
        <x:is>
          <x:t xml:space="preserve">Best-fit evidence mapping; HIPAA does not mandate a particular ticketing mechanism.</x:t>
        </x:is>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0" customWidth="1"/>
    <x:col min="2" max="2" width="28" customWidth="1"/>
    <x:col min="3" max="3" width="16" customWidth="1"/>
    <x:col min="4" max="4" width="72" customWidth="1"/>
    <x:col min="5" max="5" width="18" customWidth="1"/>
    <x:col min="6" max="6" width="20" customWidth="1"/>
    <x:col min="7" max="7" width="22" customWidth="1"/>
    <x:col min="8" max="8" width="28" customWidth="1"/>
    <x:col min="9" max="9" width="42" customWidth="1"/>
    <x:col min="10" max="10" width="22" customWidth="1"/>
    <x:col min="11" max="11" width="52" customWidth="1"/>
    <x:col min="12" max="12" width="70" customWidth="1"/>
    <x:col min="13" max="13" width="56" customWidth="1"/>
  </x:cols>
  <x:sheetData>
    <x:row r="1" ht="32" customHeight="1">
      <x:c r="A1" s="11" t="inlineStr">
        <x:is>
          <x:t xml:space="preserve">HIPAA Control</x:t>
        </x:is>
      </x:c>
      <x:c r="B1" s="11" t="inlineStr">
        <x:is>
          <x:t xml:space="preserve">HITRUST e1 Control</x:t>
        </x:is>
      </x:c>
      <x:c r="C1" s="11" t="inlineStr">
        <x:is>
          <x:t xml:space="preserve">Action Item Count</x:t>
        </x:is>
      </x:c>
      <x:c r="D1" s="11" t="inlineStr">
        <x:is>
          <x:t xml:space="preserve">Action Items</x:t>
        </x:is>
      </x:c>
      <x:c r="E1" s="11" t="inlineStr">
        <x:is>
          <x:t xml:space="preserve">Categories</x:t>
        </x:is>
      </x:c>
      <x:c r="F1" s="11" t="inlineStr">
        <x:is>
          <x:t xml:space="preserve">Source Files</x:t>
        </x:is>
      </x:c>
      <x:c r="G1" s="11" t="inlineStr">
        <x:is>
          <x:t xml:space="preserve">Mapping Types Seen</x:t>
        </x:is>
      </x:c>
      <x:c r="H1" s="11" t="inlineStr">
        <x:is>
          <x:t xml:space="preserve">HIPAA 45 CFR Citation(s)</x:t>
        </x:is>
      </x:c>
      <x:c r="I1" s="11" t="inlineStr">
        <x:is>
          <x:t xml:space="preserve">HIPAA Standard / Spec</x:t>
        </x:is>
      </x:c>
      <x:c r="J1" s="11" t="inlineStr">
        <x:is>
          <x:t xml:space="preserve">45 CFR Mapping Confidence</x:t>
        </x:is>
      </x:c>
      <x:c r="K1" s="11" t="inlineStr">
        <x:is>
          <x:t xml:space="preserve">45 CFR Mapping Basis</x:t>
        </x:is>
      </x:c>
      <x:c r="L1" s="11" t="inlineStr">
        <x:is>
          <x:t xml:space="preserve">Authoritative Public Source URL(s)</x:t>
        </x:is>
      </x:c>
      <x:c r="M1" s="11" t="inlineStr">
        <x:is>
          <x:t xml:space="preserve">45 CFR Notes</x:t>
        </x:is>
      </x:c>
    </x:row>
    <x:row r="2" ht="30" customHeight="1">
      <x:c r="A2" s="5" t="inlineStr">
        <x:is>
          <x:t xml:space="preserve">REQ-1-HIPAA</x:t>
        </x:is>
      </x:c>
      <x:c r="B2" s="5" t="inlineStr">
        <x:is>
          <x:t xml:space="preserve">0113.04a1Organizational.2</x:t>
        </x:is>
      </x:c>
      <x:c r="C2" s="12">
        <x:f>COUNTIFS(Normalized_Tuples!$E:$E,$A2,Normalized_Tuples!$F:$F,$B2)</x:f>
        <x:v>2</x:v>
      </x:c>
      <x:c r="D2" s="5" t="inlineStr">
        <x:is>
          <x:t xml:space="preserve">Information Security; Information Security Policy Repository</x:t>
        </x:is>
      </x:c>
      <x:c r="E2" s="5" t="inlineStr">
        <x:is>
          <x:t xml:space="preserve">Policy, Operational</x:t>
        </x:is>
      </x:c>
      <x:c r="F2" s="5" t="inlineStr">
        <x:is>
          <x:t xml:space="preserve">HITRUST e1.csv</x:t>
        </x:is>
      </x:c>
      <x:c r="G2" s="5" t="inlineStr">
        <x:is>
          <x:t xml:space="preserve">Many:1</x:t>
        </x:is>
      </x:c>
      <x:c r="H2" s="24" t="inlineStr">
        <x:is>
          <x:t xml:space="preserve">45 CFR § 164.316(a) | 45 CFR § 164.316(b)(1)</x:t>
        </x:is>
      </x:c>
      <x:c r="I2" s="24" t="inlineStr">
        <x:is>
          <x:t xml:space="preserve">Policies and Procedures | Documentation</x:t>
        </x:is>
      </x:c>
      <x:c r="J2" s="24" t="inlineStr">
        <x:is>
          <x:t xml:space="preserve">Best-fit (broad policy control)</x:t>
        </x:is>
      </x:c>
      <x:c r="K2" s="24" t="inlineStr">
        <x:is>
          <x:t xml:space="preserve">Internal control/action item is a general information-security policy repository rather than a single named HIPAA implementation specification; mapped to the Security Rule's policies/procedures and documentation requirements.</x:t>
        </x:is>
      </x:c>
      <x:c r="L2" s="24" t="inlineStr">
        <x:is>
          <x:t xml:space="preserve">https://www.ecfr.gov/current/title-45/subtitle-A/subchapter-C/part-164/section-164.316 | https://www.hhs.gov/sites/default/files/ocr/privacy/hipaa/administrative/securityrule/pprequirements.pdf | https://www.hhs.gov/ocr/privacy/hipaa/administrative/securityrule/index.html</x:t>
        </x:is>
      </x:c>
      <x:c r="M2" s="24" t="inlineStr">
        <x:is>
          <x:t xml:space="preserve">Used as the umbrella HIPAA citation for documented security policies. This is broader than any single safeguard requirement.</x:t>
        </x:is>
      </x:c>
    </x:row>
    <x:row r="3" ht="30" customHeight="1">
      <x:c r="A3" s="5" t="inlineStr">
        <x:is>
          <x:t xml:space="preserve">REQ-12-HIPAA</x:t>
        </x:is>
      </x:c>
      <x:c r="B3" s="5" t="inlineStr">
        <x:is>
          <x:t xml:space="preserve">0113.04a1Organizational.2</x:t>
        </x:is>
      </x:c>
      <x:c r="C3" s="12">
        <x:f>COUNTIFS(Normalized_Tuples!$E:$E,$A3,Normalized_Tuples!$F:$F,$B3)</x:f>
        <x:v>2</x:v>
      </x:c>
      <x:c r="D3" s="5" t="inlineStr">
        <x:is>
          <x:t xml:space="preserve">Information Security; Information Security Policy Repository</x:t>
        </x:is>
      </x:c>
      <x:c r="E3" s="5" t="inlineStr">
        <x:is>
          <x:t xml:space="preserve">Policy, Operational</x:t>
        </x:is>
      </x:c>
      <x:c r="F3" s="5" t="inlineStr">
        <x:is>
          <x:t xml:space="preserve">HITRUST e1.csv</x:t>
        </x:is>
      </x:c>
      <x:c r="G3" s="5" t="inlineStr">
        <x:is>
          <x:t xml:space="preserve">Many:1</x:t>
        </x:is>
      </x:c>
      <x:c r="H3" s="24" t="inlineStr">
        <x:is>
          <x:t xml:space="preserve">45 CFR § 164.308(a)(5)</x:t>
        </x:is>
      </x:c>
      <x:c r="I3" s="24" t="inlineStr">
        <x:is>
          <x:t xml:space="preserve">Security Awareness and Training</x:t>
        </x:is>
      </x:c>
      <x:c r="J3" s="24" t="inlineStr">
        <x:is>
          <x:t xml:space="preserve">Direct</x:t>
        </x:is>
      </x:c>
      <x:c r="K3" s="24" t="inlineStr">
        <x:is>
          <x:t xml:space="preserve">Action item and control context align to workforce security-awareness training for new hires.</x:t>
        </x:is>
      </x:c>
      <x:c r="L3"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3" s="24" t="inlineStr">
        <x:is>
          <x:t xml:space="preserve">Mapped at the standard level because the spreadsheet does not break new-hire training into the more granular addressable sub-specifications.</x:t>
        </x:is>
      </x:c>
    </x:row>
    <x:row r="4" ht="30" customHeight="1">
      <x:c r="A4" s="5" t="inlineStr">
        <x:is>
          <x:t xml:space="preserve">REQ-13-HIPAA</x:t>
        </x:is>
      </x:c>
      <x:c r="B4" s="5" t="inlineStr">
        <x:is>
          <x:t xml:space="preserve">0113.04a1Organizational.2</x:t>
        </x:is>
      </x:c>
      <x:c r="C4" s="12">
        <x:f>COUNTIFS(Normalized_Tuples!$E:$E,$A4,Normalized_Tuples!$F:$F,$B4)</x:f>
        <x:v>2</x:v>
      </x:c>
      <x:c r="D4" s="5" t="inlineStr">
        <x:is>
          <x:t xml:space="preserve">Information Security; Information Security Policy Repository</x:t>
        </x:is>
      </x:c>
      <x:c r="E4" s="5" t="inlineStr">
        <x:is>
          <x:t xml:space="preserve">Policy, Operational</x:t>
        </x:is>
      </x:c>
      <x:c r="F4" s="5" t="inlineStr">
        <x:is>
          <x:t xml:space="preserve">HITRUST e1.csv</x:t>
        </x:is>
      </x:c>
      <x:c r="G4" s="5" t="inlineStr">
        <x:is>
          <x:t xml:space="preserve">Many:1</x:t>
        </x:is>
      </x:c>
      <x:c r="H4" s="24" t="inlineStr">
        <x:is>
          <x:t xml:space="preserve">45 CFR § 164.308(a)(5)</x:t>
        </x:is>
      </x:c>
      <x:c r="I4" s="24" t="inlineStr">
        <x:is>
          <x:t xml:space="preserve">Security Awareness and Training</x:t>
        </x:is>
      </x:c>
      <x:c r="J4" s="24" t="inlineStr">
        <x:is>
          <x:t xml:space="preserve">Direct</x:t>
        </x:is>
      </x:c>
      <x:c r="K4" s="24" t="inlineStr">
        <x:is>
          <x:t xml:space="preserve">Action item and control context align to ongoing/current-employee security-awareness training.</x:t>
        </x:is>
      </x:c>
      <x:c r="L4"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4" s="24" t="inlineStr">
        <x:is>
          <x:t xml:space="preserve">Mapped at the standard level because the spreadsheet expresses periodic training broadly, not only reminders or phishing-specific sub-controls.</x:t>
        </x:is>
      </x:c>
    </x:row>
    <x:row r="5" ht="30" customHeight="1">
      <x:c r="A5" s="5" t="inlineStr">
        <x:is>
          <x:t xml:space="preserve">REQ-17-HIPAA</x:t>
        </x:is>
      </x:c>
      <x:c r="B5" s="5" t="inlineStr">
        <x:is>
          <x:t xml:space="preserve">1704.03b1Organizational.12</x:t>
        </x:is>
      </x:c>
      <x:c r="C5" s="12">
        <x:f>COUNTIFS(Normalized_Tuples!$E:$E,$A5,Normalized_Tuples!$F:$F,$B5)</x:f>
        <x:v>2</x:v>
      </x:c>
      <x:c r="D5" s="5" t="inlineStr">
        <x:is>
          <x:t xml:space="preserve">Risk Assessment; Risk Management</x:t>
        </x:is>
      </x:c>
      <x:c r="E5" s="5" t="inlineStr">
        <x:is>
          <x:t xml:space="preserve">Operational, Policy</x:t>
        </x:is>
      </x:c>
      <x:c r="F5" s="5" t="inlineStr">
        <x:is>
          <x:t xml:space="preserve">HITRUST e1.csv</x:t>
        </x:is>
      </x:c>
      <x:c r="G5" s="5" t="inlineStr">
        <x:is>
          <x:t xml:space="preserve">Many:1, Many:Many</x:t>
        </x:is>
      </x:c>
      <x:c r="H5" s="24" t="inlineStr">
        <x:is>
          <x:t xml:space="preserve">45 CFR § 164.308(a)(1)(ii)(A)</x:t>
        </x:is>
      </x:c>
      <x:c r="I5" s="24" t="inlineStr">
        <x:is>
          <x:t xml:space="preserve">Security Management Process — Risk Analysis</x:t>
        </x:is>
      </x:c>
      <x:c r="J5" s="24" t="inlineStr">
        <x:is>
          <x:t xml:space="preserve">Direct</x:t>
        </x:is>
      </x:c>
      <x:c r="K5" s="24" t="inlineStr">
        <x:is>
          <x:t xml:space="preserve">Control context aligns to identifying risks and vulnerabilities to ePHI.</x:t>
        </x:is>
      </x:c>
      <x:c r="L5"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5" s="24" t="inlineStr">
        <x:is>
          <x:t xml:space="preserve">Risk analysis is the most direct HIPAA citation for assessment-oriented rows.</x:t>
        </x:is>
      </x:c>
    </x:row>
    <x:row r="6" ht="30" customHeight="1">
      <x:c r="A6" s="5" t="inlineStr">
        <x:is>
          <x:t xml:space="preserve">REQ-20-HIPAA</x:t>
        </x:is>
      </x:c>
      <x:c r="B6" s="5" t="inlineStr">
        <x:is>
          <x:t xml:space="preserve">1704.03b1Organizational.12</x:t>
        </x:is>
      </x:c>
      <x:c r="C6" s="12">
        <x:f>COUNTIFS(Normalized_Tuples!$E:$E,$A6,Normalized_Tuples!$F:$F,$B6)</x:f>
        <x:v>2</x:v>
      </x:c>
      <x:c r="D6" s="5" t="inlineStr">
        <x:is>
          <x:t xml:space="preserve">Risk Assessment; Risk Management</x:t>
        </x:is>
      </x:c>
      <x:c r="E6" s="5" t="inlineStr">
        <x:is>
          <x:t xml:space="preserve">Operational, Policy</x:t>
        </x:is>
      </x:c>
      <x:c r="F6" s="5" t="inlineStr">
        <x:is>
          <x:t xml:space="preserve">HITRUST e1.csv</x:t>
        </x:is>
      </x:c>
      <x:c r="G6" s="5" t="inlineStr">
        <x:is>
          <x:t xml:space="preserve">Many:1, Many:Many</x:t>
        </x:is>
      </x:c>
      <x:c r="H6" s="24" t="inlineStr">
        <x:is>
          <x:t xml:space="preserve">45 CFR § 164.308(a)(1)(ii)(B)</x:t>
        </x:is>
      </x:c>
      <x:c r="I6" s="24" t="inlineStr">
        <x:is>
          <x:t xml:space="preserve">Security Management Process — Risk Management</x:t>
        </x:is>
      </x:c>
      <x:c r="J6" s="24" t="inlineStr">
        <x:is>
          <x:t xml:space="preserve">Direct</x:t>
        </x:is>
      </x:c>
      <x:c r="K6" s="24" t="inlineStr">
        <x:is>
          <x:t xml:space="preserve">Control context aligns to reducing identified risks and vulnerabilities to a reasonable and appropriate level.</x:t>
        </x:is>
      </x:c>
      <x:c r="L6"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6" s="24" t="inlineStr">
        <x:is>
          <x:t xml:space="preserve">Used for policy and operational rows focused on treatment/mitigation of identified risks.</x:t>
        </x:is>
      </x:c>
    </x:row>
    <x:row r="7" ht="30" customHeight="1">
      <x:c r="A7" s="5" t="inlineStr">
        <x:is>
          <x:t xml:space="preserve">REQ-26-HIPAA</x:t>
        </x:is>
      </x:c>
      <x:c r="B7" s="5" t="inlineStr">
        <x:is>
          <x:t xml:space="preserve">10.01d1System.10</x:t>
        </x:is>
      </x:c>
      <x:c r="C7" s="12">
        <x:f>COUNTIFS(Normalized_Tuples!$E:$E,$A7,Normalized_Tuples!$F:$F,$B7)</x:f>
        <x:v>2</x:v>
      </x:c>
      <x:c r="D7" s="5" t="inlineStr">
        <x:is>
          <x:t xml:space="preserve">Password and Multi-Factor Authentication; Passwords for All In-Scope Production Systems</x:t>
        </x:is>
      </x:c>
      <x:c r="E7" s="5" t="inlineStr">
        <x:is>
          <x:t xml:space="preserve">Policy, Configuration</x:t>
        </x:is>
      </x:c>
      <x:c r="F7" s="5" t="inlineStr">
        <x:is>
          <x:t xml:space="preserve">HITRUST e1.csv</x:t>
        </x:is>
      </x:c>
      <x:c r="G7" s="5" t="inlineStr">
        <x:is>
          <x:t xml:space="preserve">1:Many, 1:1</x:t>
        </x:is>
      </x:c>
      <x:c r="H7" s="24" t="inlineStr">
        <x:is>
          <x:t xml:space="preserve">45 CFR § 164.308(a)(5)(ii)(D) | 45 CFR § 164.312(d) | 45 CFR § 164.312(a)(1)</x:t>
        </x:is>
      </x:c>
      <x:c r="I7" s="24" t="inlineStr">
        <x:is>
          <x:t xml:space="preserve">Security Awareness and Training — Password Management | Person or Entity Authentication | Access Control</x:t>
        </x:is>
      </x:c>
      <x:c r="J7" s="24" t="inlineStr">
        <x:is>
          <x:t xml:space="preserve">Composite</x:t>
        </x:is>
      </x:c>
      <x:c r="K7" s="24" t="inlineStr">
        <x:is>
          <x:t xml:space="preserve">Action item explicitly combines password controls with MFA, so both password management and authentication verification are cited. | Password configuration evidence most directly aligns to password-management requirements and the broader access-control standard.</x:t>
        </x:is>
      </x:c>
      <x:c r="L7" s="24"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M7" s="24" t="inlineStr">
        <x:is>
          <x:t xml:space="preserve">Covers password creation/change/safeguarding and MFA-style authentication evidence. | This row is password-configuration evidence; MFA is not the primary evidence artifact here.</x:t>
        </x:is>
      </x:c>
    </x:row>
    <x:row r="8" ht="30" customHeight="1">
      <x:c r="A8" s="5" t="inlineStr">
        <x:is>
          <x:t xml:space="preserve">REQ-29-HIPAA</x:t>
        </x:is>
      </x:c>
      <x:c r="B8" s="5" t="inlineStr">
        <x:is>
          <x:t xml:space="preserve">11.01e1System.2</x:t>
        </x:is>
      </x:c>
      <x:c r="C8" s="12">
        <x:f>COUNTIFS(Normalized_Tuples!$E:$E,$A8,Normalized_Tuples!$F:$F,$B8)</x:f>
        <x:v>2</x:v>
      </x:c>
      <x:c r="D8" s="5" t="inlineStr">
        <x:is>
          <x:t xml:space="preserve">Access Control; Access Review Documentation</x:t>
        </x:is>
      </x:c>
      <x:c r="E8" s="5" t="inlineStr">
        <x:is>
          <x:t xml:space="preserve">Policy, Sample</x:t>
        </x:is>
      </x:c>
      <x:c r="F8" s="5" t="inlineStr">
        <x:is>
          <x:t xml:space="preserve">HITRUST e1.csv</x:t>
        </x:is>
      </x:c>
      <x:c r="G8" s="5" t="inlineStr">
        <x:is>
          <x:t xml:space="preserve">Many:1, 1:1</x:t>
        </x:is>
      </x:c>
      <x:c r="H8" s="24" t="inlineStr">
        <x:is>
          <x:t xml:space="preserve">45 CFR § 164.308(a)(4)(ii)(C)</x:t>
        </x:is>
      </x:c>
      <x:c r="I8" s="24" t="inlineStr">
        <x:is>
          <x:t xml:space="preserve">Information Access Management — Access Establishment and Modification</x:t>
        </x:is>
      </x:c>
      <x:c r="J8" s="24" t="inlineStr">
        <x:is>
          <x:t xml:space="preserve">Direct</x:t>
        </x:is>
      </x:c>
      <x:c r="K8" s="24" t="inlineStr">
        <x:is>
          <x:t xml:space="preserve">Access-review documentation aligns directly to the requirement to establish, document, review, and modify user rights of access.</x:t>
        </x:is>
      </x:c>
      <x:c r="L8"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M8" s="24" t="inlineStr">
        <x:is>
          <x:t xml:space="preserve">Used for both access-review evidence and broader policy statements that emphasize periodic review/modification.</x:t>
        </x:is>
      </x:c>
    </x:row>
    <x:row r="9" ht="30" customHeight="1">
      <x:c r="A9" s="5" t="inlineStr">
        <x:is>
          <x:t xml:space="preserve">REQ-31-HIPAA</x:t>
        </x:is>
      </x:c>
      <x:c r="B9" s="5" t="inlineStr">
        <x:is>
          <x:t xml:space="preserve">11143.02i1Organizational.3</x:t>
        </x:is>
      </x:c>
      <x:c r="C9" s="12">
        <x:f>COUNTIFS(Normalized_Tuples!$E:$E,$A9,Normalized_Tuples!$F:$F,$B9)</x:f>
        <x:v>2</x:v>
      </x:c>
      <x:c r="D9" s="5" t="inlineStr">
        <x:is>
          <x:t xml:space="preserve">All Terminated Employees During the Review Period [INSERT EXAM PERIOD]; Employee Termination Ticket</x:t>
        </x:is>
      </x:c>
      <x:c r="E9" s="5" t="inlineStr">
        <x:is>
          <x:t xml:space="preserve">Population, Sample</x:t>
        </x:is>
      </x:c>
      <x:c r="F9" s="5" t="inlineStr">
        <x:is>
          <x:t xml:space="preserve">HITRUST e1.csv</x:t>
        </x:is>
      </x:c>
      <x:c r="G9" s="5" t="inlineStr">
        <x:is>
          <x:t xml:space="preserve">Many:1, 1:1</x:t>
        </x:is>
      </x:c>
      <x:c r="H9" s="24" t="inlineStr">
        <x:is>
          <x:t xml:space="preserve">45 CFR § 164.308(a)(3)(ii)(C) | 45 CFR § 164.316(b)(1)</x:t>
        </x:is>
      </x:c>
      <x:c r="I9" s="24" t="inlineStr">
        <x:is>
          <x:t xml:space="preserve">Workforce Security — Termination Procedures | Documentation</x:t>
        </x:is>
      </x:c>
      <x:c r="J9" s="24" t="inlineStr">
        <x:is>
          <x:t xml:space="preserve">Composite</x:t>
        </x:is>
      </x:c>
      <x:c r="K9" s="24" t="inlineStr">
        <x:is>
          <x:t xml:space="preserve">Termination tickets/population evidence align directly to terminating access and documenting the action taken.</x:t>
        </x:is>
      </x:c>
      <x:c r="L9" s="24"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M9" s="24" t="inlineStr">
        <x:is>
          <x:t xml:space="preserve">Documentation is added because the row is explicit evidence that access-removal events were carried out and recorded.</x:t>
        </x:is>
      </x:c>
    </x:row>
    <x:row r="10" ht="30" customHeight="1">
      <x:c r="A10" s="5" t="inlineStr">
        <x:is>
          <x:t xml:space="preserve">REQ-33-HIPAA</x:t>
        </x:is>
      </x:c>
      <x:c r="B10" s="5" t="inlineStr">
        <x:is>
          <x:t xml:space="preserve">04.01x1Organizational.5</x:t>
        </x:is>
      </x:c>
      <x:c r="C10" s="12">
        <x:f>COUNTIFS(Normalized_Tuples!$E:$E,$A10,Normalized_Tuples!$F:$F,$B10)</x:f>
        <x:v>2</x:v>
      </x:c>
      <x:c r="D10" s="5" t="inlineStr">
        <x:is>
          <x:t xml:space="preserve">Data Encryption at Rest; Encryption In Transit (Ex. TLS Protocols)</x:t>
        </x:is>
      </x:c>
      <x:c r="E10" s="5" t="inlineStr">
        <x:is>
          <x:t xml:space="preserve">Configuration</x:t>
        </x:is>
      </x:c>
      <x:c r="F10" s="5" t="inlineStr">
        <x:is>
          <x:t xml:space="preserve">HITRUST e1.csv</x:t>
        </x:is>
      </x:c>
      <x:c r="G10" s="5" t="inlineStr">
        <x:is>
          <x:t xml:space="preserve">Many:Many</x:t>
        </x:is>
      </x:c>
      <x:c r="H10" s="24" t="inlineStr">
        <x:is>
          <x:t xml:space="preserve">45 CFR § 164.312(a)(2)(iv) | 45 CFR § 164.312(e)(2)(ii)</x:t>
        </x:is>
      </x:c>
      <x:c r="I10" s="24" t="inlineStr">
        <x:is>
          <x:t xml:space="preserve">Access Control — Encryption and Decryption | Transmission Security — Encryption</x:t>
        </x:is>
      </x:c>
      <x:c r="J10" s="24" t="inlineStr">
        <x:is>
          <x:t xml:space="preserve">Direct</x:t>
        </x:is>
      </x:c>
      <x:c r="K10" s="24" t="inlineStr">
        <x:is>
          <x:t xml:space="preserve">At-rest encryption evidence aligns directly to the encryption/decryption implementation specification under access control. | Transmission-encryption evidence aligns directly to the transmission-security encryption implementation specification.</x:t>
        </x:is>
      </x:c>
      <x:c r="L10"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 | https://www.hhs.gov/hipaa/for-professionals/security/guidance/cybersecurity-newsletter-january-2026/index.html</x:t>
        </x:is>
      </x:c>
      <x:c r="M10" s="24" t="inlineStr">
        <x:is>
          <x:t xml:space="preserve">Used when the shared action item is explicitly at-rest encryption. | Used when the shared action item is explicitly in-transit encryption.</x:t>
        </x:is>
      </x:c>
    </x:row>
    <x:row r="11" ht="30" customHeight="1">
      <x:c r="A11" s="5" t="inlineStr">
        <x:is>
          <x:t xml:space="preserve">REQ-35-HIPAA</x:t>
        </x:is>
      </x:c>
      <x:c r="B11" s="5" t="inlineStr">
        <x:is>
          <x:t xml:space="preserve">04.01x1Organizational.5</x:t>
        </x:is>
      </x:c>
      <x:c r="C11" s="12">
        <x:f>COUNTIFS(Normalized_Tuples!$E:$E,$A11,Normalized_Tuples!$F:$F,$B11)</x:f>
        <x:v>2</x:v>
      </x:c>
      <x:c r="D11" s="5" t="inlineStr">
        <x:is>
          <x:t xml:space="preserve">Data Encryption at Rest; Encryption In Transit (Ex. TLS Protocols)</x:t>
        </x:is>
      </x:c>
      <x:c r="E11" s="5" t="inlineStr">
        <x:is>
          <x:t xml:space="preserve">Configuration</x:t>
        </x:is>
      </x:c>
      <x:c r="F11" s="5" t="inlineStr">
        <x:is>
          <x:t xml:space="preserve">HITRUST e1.csv</x:t>
        </x:is>
      </x:c>
      <x:c r="G11" s="5" t="inlineStr">
        <x:is>
          <x:t xml:space="preserve">Many:Many</x:t>
        </x:is>
      </x:c>
      <x:c r="H11" s="24" t="inlineStr">
        <x:is>
          <x:t xml:space="preserve">45 CFR § 164.312(a)(2)(iv) | 45 CFR § 164.312(e)(2)(ii)</x:t>
        </x:is>
      </x:c>
      <x:c r="I11" s="24" t="inlineStr">
        <x:is>
          <x:t xml:space="preserve">Access Control — Encryption and Decryption | Transmission Security — Encryption</x:t>
        </x:is>
      </x:c>
      <x:c r="J11" s="24" t="inlineStr">
        <x:is>
          <x:t xml:space="preserve">Best-fit | Direct</x:t>
        </x:is>
      </x:c>
      <x:c r="K11" s="24" t="inlineStr">
        <x:is>
          <x:t xml:space="preserve">This internal control ID also appears on an at-rest encryption row in the source spreadsheets, so the row context points to at-rest encryption even though the same control family also covers transmission encryption elsewhere. | Action item explicitly addresses encryption in transit.</x:t>
        </x:is>
      </x:c>
      <x:c r="L11"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 | https://www.hhs.gov/hipaa/for-professionals/security/guidance/cybersecurity-newsletter-january-2026/index.html</x:t>
        </x:is>
      </x:c>
      <x:c r="M11" s="24" t="inlineStr">
        <x:is>
          <x:t xml:space="preserve">Row-context mapping takes precedence over the broader internal control family. | Used for transport/TLS evidence.</x:t>
        </x:is>
      </x:c>
    </x:row>
    <x:row r="12" ht="30" customHeight="1">
      <x:c r="A12" s="5" t="inlineStr">
        <x:is>
          <x:t xml:space="preserve">REQ-55-HIPAA</x:t>
        </x:is>
      </x:c>
      <x:c r="B12" s="5" t="inlineStr">
        <x:is>
          <x:t xml:space="preserve">06.09b1System.2</x:t>
        </x:is>
      </x:c>
      <x:c r="C12" s="12">
        <x:f>COUNTIFS(Normalized_Tuples!$E:$E,$A12,Normalized_Tuples!$F:$F,$B12)</x:f>
        <x:v>2</x:v>
      </x:c>
      <x:c r="D12" s="5" t="inlineStr">
        <x:is>
          <x:t xml:space="preserve">All Software and Infrastructure Production Changes During the Review Period [INSERT EXAM PERIOD]; Software/Infrastructure Production Change Ticket</x:t>
        </x:is>
      </x:c>
      <x:c r="E12" s="5" t="inlineStr">
        <x:is>
          <x:t xml:space="preserve">Population, Sample</x:t>
        </x:is>
      </x:c>
      <x:c r="F12" s="5" t="inlineStr">
        <x:is>
          <x:t xml:space="preserve">HITRUST e1.csv</x:t>
        </x:is>
      </x:c>
      <x:c r="G12" s="5" t="inlineStr">
        <x:is>
          <x:t xml:space="preserve">Many:Many, 1:1</x:t>
        </x:is>
      </x:c>
      <x:c r="H12" s="24" t="inlineStr">
        <x:is>
          <x:t xml:space="preserve">45 CFR § 164.308(a)(8) | 45 CFR § 164.316(b)(1)</x:t>
        </x:is>
      </x:c>
      <x:c r="I12" s="24" t="inlineStr">
        <x:is>
          <x:t xml:space="preserve">Evaluation | Documentation</x:t>
        </x:is>
      </x:c>
      <x:c r="J12" s="24" t="inlineStr">
        <x:is>
          <x:t xml:space="preserve">Best-fit composite</x:t>
        </x:is>
      </x:c>
      <x:c r="K12" s="24" t="inlineStr">
        <x:is>
          <x:t xml:space="preserve">Production-change tickets/population evidence are not a named HIPAA specification, but they are strong evidence of evaluating and documenting operational changes affecting ePHI safeguards.</x:t>
        </x:is>
      </x:c>
      <x:c r="L12"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12" s="24" t="inlineStr">
        <x:is>
          <x:t xml:space="preserve">Best-fit evidence mapping; HIPAA does not mandate a particular ticketing mechanism.</x:t>
        </x:is>
      </x:c>
    </x:row>
    <x:row r="13" ht="30" customHeight="1">
      <x:c r="A13" s="5" t="inlineStr">
        <x:is>
          <x:t xml:space="preserve">REQ-61-HIPAA</x:t>
        </x:is>
      </x:c>
      <x:c r="B13" s="5" t="inlineStr">
        <x:is>
          <x:t xml:space="preserve">1616.09l1Organizational.16</x:t>
        </x:is>
      </x:c>
      <x:c r="C13" s="12">
        <x:f>COUNTIFS(Normalized_Tuples!$E:$E,$A13,Normalized_Tuples!$F:$F,$B13)</x:f>
        <x:v>2</x:v>
      </x:c>
      <x:c r="D13" s="5" t="inlineStr">
        <x:is>
          <x:t xml:space="preserve">Backups; Completed Production Data Backup Test</x:t>
        </x:is>
      </x:c>
      <x:c r="E13" s="5" t="inlineStr">
        <x:is>
          <x:t xml:space="preserve">Policy, Operational</x:t>
        </x:is>
      </x:c>
      <x:c r="F13" s="5" t="inlineStr">
        <x:is>
          <x:t xml:space="preserve">HITRUST e1.csv</x:t>
        </x:is>
      </x:c>
      <x:c r="G13" s="5" t="inlineStr">
        <x:is>
          <x:t xml:space="preserve">Many:1, 1:1</x:t>
        </x:is>
      </x:c>
      <x:c r="H13" s="24" t="inlineStr">
        <x:is>
          <x:t xml:space="preserve">45 CFR § 164.308(a)(7)(ii)(A) | 45 CFR § 164.308(a)(7)(ii)(D)</x:t>
        </x:is>
      </x:c>
      <x:c r="I13" s="24" t="inlineStr">
        <x:is>
          <x:t xml:space="preserve">Contingency Plan — Data Backup Plan | Contingency Plan — Testing and Revision Procedure</x:t>
        </x:is>
      </x:c>
      <x:c r="J13" s="24" t="inlineStr">
        <x:is>
          <x:t xml:space="preserve">Composite | Direct</x:t>
        </x:is>
      </x:c>
      <x:c r="K13" s="24" t="inlineStr">
        <x:is>
          <x:t xml:space="preserve">This internal control appears on general backup-policy rows and explicit backup-test rows, so both backup-plan and test/revision citations are included. | A completed backup test aligns directly to periodic testing/revision of contingency plans.</x:t>
        </x:is>
      </x:c>
      <x:c r="L13"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13" s="24" t="inlineStr">
        <x:is>
          <x:t xml:space="preserve">Broader than a single implementation specification because the source spreadsheet uses the same control across planning and testing evidence. | Used for explicit backup-test evidence.</x:t>
        </x:is>
      </x:c>
    </x:row>
    <x:row r="14" ht="30" customHeight="1">
      <x:c r="A14" s="5" t="inlineStr">
        <x:is>
          <x:t xml:space="preserve">REQ-102-HIPAA</x:t>
        </x:is>
      </x:c>
      <x:c r="B14" s="5" t="inlineStr">
        <x:is>
          <x:t xml:space="preserve">07.07a1Organizational.8</x:t>
        </x:is>
      </x:c>
      <x:c r="C14" s="12">
        <x:f>COUNTIFS(Normalized_Tuples!$E:$E,$A14,Normalized_Tuples!$F:$F,$B14)</x:f>
        <x:v>1</x:v>
      </x:c>
      <x:c r="D14" s="5" t="inlineStr">
        <x:is>
          <x:t xml:space="preserve">List of All Production Systems (Servers, VMs, Data Stores)</x:t>
        </x:is>
      </x:c>
      <x:c r="E14" s="5" t="inlineStr">
        <x:is>
          <x:t xml:space="preserve">Configuration</x:t>
        </x:is>
      </x:c>
      <x:c r="F14" s="5" t="inlineStr">
        <x:is>
          <x:t xml:space="preserve">HITRUST e1.csv</x:t>
        </x:is>
      </x:c>
      <x:c r="G14" s="5" t="inlineStr">
        <x:is>
          <x:t xml:space="preserve">Many:Many</x:t>
        </x:is>
      </x:c>
      <x:c r="H14" s="24" t="inlineStr">
        <x:is>
          <x:t xml:space="preserve">45 CFR § 164.308(a)(1)(ii)(A)</x:t>
        </x:is>
      </x:c>
      <x:c r="I14" s="24" t="inlineStr">
        <x:is>
          <x:t xml:space="preserve">Security Management Process — Risk Analysis</x:t>
        </x:is>
      </x:c>
      <x:c r="J14" s="24" t="inlineStr">
        <x:is>
          <x:t xml:space="preserve">Best-fit</x:t>
        </x:is>
      </x:c>
      <x:c r="K14" s="24" t="inlineStr">
        <x:is>
          <x:t xml:space="preserve">HIPAA does not expressly mandate an IT asset inventory, but OCR guidance says a comprehensive technology asset inventory and ePHI data-flow diagrams are valuable tools for an accurate and thorough risk analysis.</x:t>
        </x:is>
      </x:c>
      <x:c r="L14" s="24"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M14" s="24" t="inlineStr">
        <x:is>
          <x:t xml:space="preserve">Mapped as supporting evidence for risk analysis rather than as a standalone named HIPAA inventory control.</x:t>
        </x:is>
      </x:c>
    </x:row>
    <x:row r="15" ht="30" customHeight="1">
      <x:c r="A15" s="5" t="inlineStr">
        <x:is>
          <x:t xml:space="preserve">REQ-102-HIPAA</x:t>
        </x:is>
      </x:c>
      <x:c r="B15" s="5" t="inlineStr">
        <x:is>
          <x:t xml:space="preserve">0701.07a1Organizational.7</x:t>
        </x:is>
      </x:c>
      <x:c r="C15" s="12">
        <x:f>COUNTIFS(Normalized_Tuples!$E:$E,$A15,Normalized_Tuples!$F:$F,$B15)</x:f>
        <x:v>1</x:v>
      </x:c>
      <x:c r="D15" s="5" t="inlineStr">
        <x:is>
          <x:t xml:space="preserve">List of All Production Systems (Servers, VMs, Data Stores)</x:t>
        </x:is>
      </x:c>
      <x:c r="E15" s="5" t="inlineStr">
        <x:is>
          <x:t xml:space="preserve">Configuration</x:t>
        </x:is>
      </x:c>
      <x:c r="F15" s="5" t="inlineStr">
        <x:is>
          <x:t xml:space="preserve">HITRUST e1.csv</x:t>
        </x:is>
      </x:c>
      <x:c r="G15" s="5" t="inlineStr">
        <x:is>
          <x:t xml:space="preserve">Many:Many</x:t>
        </x:is>
      </x:c>
      <x:c r="H15" s="24" t="inlineStr">
        <x:is>
          <x:t xml:space="preserve">45 CFR § 164.308(a)(1)(ii)(A)</x:t>
        </x:is>
      </x:c>
      <x:c r="I15" s="24" t="inlineStr">
        <x:is>
          <x:t xml:space="preserve">Security Management Process — Risk Analysis</x:t>
        </x:is>
      </x:c>
      <x:c r="J15" s="24" t="inlineStr">
        <x:is>
          <x:t xml:space="preserve">Best-fit</x:t>
        </x:is>
      </x:c>
      <x:c r="K15" s="24" t="inlineStr">
        <x:is>
          <x:t xml:space="preserve">HIPAA does not expressly mandate an IT asset inventory, but OCR guidance says a comprehensive technology asset inventory and ePHI data-flow diagrams are valuable tools for an accurate and thorough risk analysis.</x:t>
        </x:is>
      </x:c>
      <x:c r="L15" s="24"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M15" s="24" t="inlineStr">
        <x:is>
          <x:t xml:space="preserve">Mapped as supporting evidence for risk analysis rather than as a standalone named HIPAA inventory control.</x:t>
        </x:is>
      </x:c>
    </x:row>
    <x:row r="16" ht="30" customHeight="1">
      <x:c r="A16" s="5" t="inlineStr">
        <x:is>
          <x:t xml:space="preserve">REQ-102-HIPAA</x:t>
        </x:is>
      </x:c>
      <x:c r="B16" s="5" t="inlineStr">
        <x:is>
          <x:t xml:space="preserve">0701.07a1Organizational.8</x:t>
        </x:is>
      </x:c>
      <x:c r="C16" s="12">
        <x:f>COUNTIFS(Normalized_Tuples!$E:$E,$A16,Normalized_Tuples!$F:$F,$B16)</x:f>
        <x:v>1</x:v>
      </x:c>
      <x:c r="D16" s="5" t="inlineStr">
        <x:is>
          <x:t xml:space="preserve">List of All Production Systems (Servers, VMs, Data Stores)</x:t>
        </x:is>
      </x:c>
      <x:c r="E16" s="5" t="inlineStr">
        <x:is>
          <x:t xml:space="preserve">Configuration</x:t>
        </x:is>
      </x:c>
      <x:c r="F16" s="5" t="inlineStr">
        <x:is>
          <x:t xml:space="preserve">HITRUST e1.csv</x:t>
        </x:is>
      </x:c>
      <x:c r="G16" s="5" t="inlineStr">
        <x:is>
          <x:t xml:space="preserve">Many:Many</x:t>
        </x:is>
      </x:c>
      <x:c r="H16" s="24" t="inlineStr">
        <x:is>
          <x:t xml:space="preserve">45 CFR § 164.308(a)(1)(ii)(A)</x:t>
        </x:is>
      </x:c>
      <x:c r="I16" s="24" t="inlineStr">
        <x:is>
          <x:t xml:space="preserve">Security Management Process — Risk Analysis</x:t>
        </x:is>
      </x:c>
      <x:c r="J16" s="24" t="inlineStr">
        <x:is>
          <x:t xml:space="preserve">Best-fit</x:t>
        </x:is>
      </x:c>
      <x:c r="K16" s="24" t="inlineStr">
        <x:is>
          <x:t xml:space="preserve">HIPAA does not expressly mandate an IT asset inventory, but OCR guidance says a comprehensive technology asset inventory and ePHI data-flow diagrams are valuable tools for an accurate and thorough risk analysis.</x:t>
        </x:is>
      </x:c>
      <x:c r="L16" s="24"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M16" s="24" t="inlineStr">
        <x:is>
          <x:t xml:space="preserve">Mapped as supporting evidence for risk analysis rather than as a standalone named HIPAA inventory control.</x:t>
        </x:is>
      </x:c>
    </x:row>
    <x:row r="17" ht="30" customHeight="1">
      <x:c r="A17" s="5" t="inlineStr">
        <x:is>
          <x:t xml:space="preserve">REQ-109-HIPAA</x:t>
        </x:is>
      </x:c>
      <x:c r="B17" s="5" t="inlineStr">
        <x:is>
          <x:t xml:space="preserve">0701.07a1Organizational.8</x:t>
        </x:is>
      </x:c>
      <x:c r="C17" s="12">
        <x:f>COUNTIFS(Normalized_Tuples!$E:$E,$A17,Normalized_Tuples!$F:$F,$B17)</x:f>
        <x:v>1</x:v>
      </x:c>
      <x:c r="D17" s="5" t="inlineStr">
        <x:is>
          <x:t xml:space="preserve">Asset Custody Log</x:t>
        </x:is>
      </x:c>
      <x:c r="E17" s="5" t="inlineStr">
        <x:is>
          <x:t xml:space="preserve">Operational</x:t>
        </x:is>
      </x:c>
      <x:c r="F17" s="5" t="inlineStr">
        <x:is>
          <x:t xml:space="preserve">HIPAA Security.csv</x:t>
        </x:is>
      </x:c>
      <x:c r="G17" s="5" t="inlineStr">
        <x:is>
          <x:t xml:space="preserve">1:Many</x:t>
        </x:is>
      </x:c>
      <x:c r="H17" s="24" t="inlineStr">
        <x:is>
          <x:t xml:space="preserve">45 CFR § 164.310(d)(2)(iii)</x:t>
        </x:is>
      </x:c>
      <x:c r="I17" s="24" t="inlineStr">
        <x:is>
          <x:t xml:space="preserve">Device and Media Controls — Accountability</x:t>
        </x:is>
      </x:c>
      <x:c r="J17" s="24" t="inlineStr">
        <x:is>
          <x:t xml:space="preserve">Direct</x:t>
        </x:is>
      </x:c>
      <x:c r="K17" s="24" t="inlineStr">
        <x:is>
          <x:t xml:space="preserve">Asset custody logs align directly to maintaining a record of the movements of hardware/electronic media and the person responsible.</x:t>
        </x:is>
      </x:c>
      <x:c r="L17" s="24"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M17" s="24" t="inlineStr">
        <x:is>
          <x:t xml:space="preserve">Used for custody/chain-of-responsibility evidence.</x:t>
        </x:is>
      </x:c>
    </x:row>
    <x:row r="18" ht="30" customHeight="1">
      <x:c r="A18" s="5" t="inlineStr">
        <x:is>
          <x:t xml:space="preserve">REQ-109-HIPAA</x:t>
        </x:is>
      </x:c>
      <x:c r="B18" s="5" t="inlineStr">
        <x:is>
          <x:t xml:space="preserve">0704.07a1Organizational.8</x:t>
        </x:is>
      </x:c>
      <x:c r="C18" s="12">
        <x:f>COUNTIFS(Normalized_Tuples!$E:$E,$A18,Normalized_Tuples!$F:$F,$B18)</x:f>
        <x:v>1</x:v>
      </x:c>
      <x:c r="D18" s="5" t="inlineStr">
        <x:is>
          <x:t xml:space="preserve">Asset Custody Log</x:t>
        </x:is>
      </x:c>
      <x:c r="E18" s="5" t="inlineStr">
        <x:is>
          <x:t xml:space="preserve">Operational</x:t>
        </x:is>
      </x:c>
      <x:c r="F18" s="5" t="inlineStr">
        <x:is>
          <x:t xml:space="preserve">HIPAA Security.csv</x:t>
        </x:is>
      </x:c>
      <x:c r="G18" s="5" t="inlineStr">
        <x:is>
          <x:t xml:space="preserve">1:Many</x:t>
        </x:is>
      </x:c>
      <x:c r="H18" s="24" t="inlineStr">
        <x:is>
          <x:t xml:space="preserve">45 CFR § 164.310(d)(2)(iii)</x:t>
        </x:is>
      </x:c>
      <x:c r="I18" s="24" t="inlineStr">
        <x:is>
          <x:t xml:space="preserve">Device and Media Controls — Accountability</x:t>
        </x:is>
      </x:c>
      <x:c r="J18" s="24" t="inlineStr">
        <x:is>
          <x:t xml:space="preserve">Direct</x:t>
        </x:is>
      </x:c>
      <x:c r="K18" s="24" t="inlineStr">
        <x:is>
          <x:t xml:space="preserve">Asset custody logs align directly to maintaining a record of the movements of hardware/electronic media and the person responsible.</x:t>
        </x:is>
      </x:c>
      <x:c r="L18" s="24"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M18" s="24" t="inlineStr">
        <x:is>
          <x:t xml:space="preserve">Used for custody/chain-of-responsibility evidence.</x:t>
        </x:is>
      </x:c>
    </x:row>
    <x:row r="19" ht="30" customHeight="1">
      <x:c r="A19" s="5" t="inlineStr">
        <x:is>
          <x:t xml:space="preserve">REQ-110-HIPAA</x:t>
        </x:is>
      </x:c>
      <x:c r="B19" s="5" t="inlineStr">
        <x:is>
          <x:t xml:space="preserve">1704.03b1Organizational.12</x:t>
        </x:is>
      </x:c>
      <x:c r="C19" s="12">
        <x:f>COUNTIFS(Normalized_Tuples!$E:$E,$A19,Normalized_Tuples!$F:$F,$B19)</x:f>
        <x:v>1</x:v>
      </x:c>
      <x:c r="D19" s="5" t="inlineStr">
        <x:is>
          <x:t xml:space="preserve">Risk Assessment</x:t>
        </x:is>
      </x:c>
      <x:c r="E19" s="5" t="inlineStr">
        <x:is>
          <x:t xml:space="preserve">Operational</x:t>
        </x:is>
      </x:c>
      <x:c r="F19" s="5" t="inlineStr">
        <x:is>
          <x:t xml:space="preserve">HITRUST e1.csv</x:t>
        </x:is>
      </x:c>
      <x:c r="G19" s="5" t="inlineStr">
        <x:is>
          <x:t xml:space="preserve">Many:1</x:t>
        </x:is>
      </x:c>
      <x:c r="H19" s="24" t="inlineStr">
        <x:is>
          <x:t xml:space="preserve">45 CFR § 164.308(a)(1)(ii)(A)</x:t>
        </x:is>
      </x:c>
      <x:c r="I19" s="24" t="inlineStr">
        <x:is>
          <x:t xml:space="preserve">Security Management Process — Risk Analysis</x:t>
        </x:is>
      </x:c>
      <x:c r="J19" s="24" t="inlineStr">
        <x:is>
          <x:t xml:space="preserve">Best-fit</x:t>
        </x:is>
      </x:c>
      <x:c r="K19" s="24" t="inlineStr">
        <x:is>
          <x:t xml:space="preserve">The source spreadsheet only exposes an internal control ID on the Risk Assessment action item, so the closest authoritative HIPAA citation is Risk Analysis.</x:t>
        </x:is>
      </x:c>
      <x:c r="L19" s="24" t="inlineStr">
        <x:is>
          <x:t xml:space="preserve">https://www.ecfr.gov/current/title-45/subtitle-A/subchapter-C/part-164/section-164.308 | https://www.hhs.gov/hipaa/for-professionals/security/guidance/guidance-risk-analysis/index.html | https://www.hhs.gov/sites/default/files/ocr/privacy/hipaa/administrative/combined/hipaa-simplification-201303.pdf</x:t>
        </x:is>
      </x:c>
      <x:c r="M19" s="24" t="inlineStr">
        <x:is>
          <x:t xml:space="preserve">Matched by action-item semantics because the internal control itself is not labeled with an official HIPAA section.</x:t>
        </x:is>
      </x:c>
    </x:row>
    <x:row r="20" ht="30" customHeight="1">
      <x:c r="A20" s="5" t="inlineStr">
        <x:is>
          <x:t xml:space="preserve">REQ-12-HIPAA</x:t>
        </x:is>
      </x:c>
      <x:c r="B20" s="5" t="inlineStr">
        <x:is>
          <x:t xml:space="preserve">13.02e1Organizational.6</x:t>
        </x:is>
      </x:c>
      <x:c r="C20" s="12">
        <x:f>COUNTIFS(Normalized_Tuples!$E:$E,$A20,Normalized_Tuples!$F:$F,$B20)</x:f>
        <x:v>1</x:v>
      </x:c>
      <x:c r="D20" s="5" t="inlineStr">
        <x:is>
          <x:t xml:space="preserve">New Hire Security Awareness Training</x:t>
        </x:is>
      </x:c>
      <x:c r="E20" s="5" t="inlineStr">
        <x:is>
          <x:t xml:space="preserve">Sample</x:t>
        </x:is>
      </x:c>
      <x:c r="F20" s="5" t="inlineStr">
        <x:is>
          <x:t xml:space="preserve">HITRUST e1.csv</x:t>
        </x:is>
      </x:c>
      <x:c r="G20" s="5" t="inlineStr">
        <x:is>
          <x:t xml:space="preserve">1:Many</x:t>
        </x:is>
      </x:c>
      <x:c r="H20" s="24" t="inlineStr">
        <x:is>
          <x:t xml:space="preserve">45 CFR § 164.308(a)(5)</x:t>
        </x:is>
      </x:c>
      <x:c r="I20" s="24" t="inlineStr">
        <x:is>
          <x:t xml:space="preserve">Security Awareness and Training</x:t>
        </x:is>
      </x:c>
      <x:c r="J20" s="24" t="inlineStr">
        <x:is>
          <x:t xml:space="preserve">Direct</x:t>
        </x:is>
      </x:c>
      <x:c r="K20" s="24" t="inlineStr">
        <x:is>
          <x:t xml:space="preserve">Action item and control context align to workforce security-awareness training for new hires.</x:t>
        </x:is>
      </x:c>
      <x:c r="L20"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20" s="24" t="inlineStr">
        <x:is>
          <x:t xml:space="preserve">Mapped at the standard level because the spreadsheet does not break new-hire training into the more granular addressable sub-specifications.</x:t>
        </x:is>
      </x:c>
    </x:row>
    <x:row r="21" ht="30" customHeight="1">
      <x:c r="A21" s="5" t="inlineStr">
        <x:is>
          <x:t xml:space="preserve">REQ-12-HIPAA</x:t>
        </x:is>
      </x:c>
      <x:c r="B21" s="5" t="inlineStr">
        <x:is>
          <x:t xml:space="preserve">1308.09j1Organizational.5.a</x:t>
        </x:is>
      </x:c>
      <x:c r="C21" s="12">
        <x:f>COUNTIFS(Normalized_Tuples!$E:$E,$A21,Normalized_Tuples!$F:$F,$B21)</x:f>
        <x:v>1</x:v>
      </x:c>
      <x:c r="D21" s="5" t="inlineStr">
        <x:is>
          <x:t xml:space="preserve">New Hire Security Awareness Training</x:t>
        </x:is>
      </x:c>
      <x:c r="E21" s="5" t="inlineStr">
        <x:is>
          <x:t xml:space="preserve">Sample</x:t>
        </x:is>
      </x:c>
      <x:c r="F21" s="5" t="inlineStr">
        <x:is>
          <x:t xml:space="preserve">HITRUST e1.csv</x:t>
        </x:is>
      </x:c>
      <x:c r="G21" s="5" t="inlineStr">
        <x:is>
          <x:t xml:space="preserve">1:Many</x:t>
        </x:is>
      </x:c>
      <x:c r="H21" s="24" t="inlineStr">
        <x:is>
          <x:t xml:space="preserve">45 CFR § 164.308(a)(5)</x:t>
        </x:is>
      </x:c>
      <x:c r="I21" s="24" t="inlineStr">
        <x:is>
          <x:t xml:space="preserve">Security Awareness and Training</x:t>
        </x:is>
      </x:c>
      <x:c r="J21" s="24" t="inlineStr">
        <x:is>
          <x:t xml:space="preserve">Direct</x:t>
        </x:is>
      </x:c>
      <x:c r="K21" s="24" t="inlineStr">
        <x:is>
          <x:t xml:space="preserve">Action item and control context align to workforce security-awareness training for new hires.</x:t>
        </x:is>
      </x:c>
      <x:c r="L21"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21" s="24" t="inlineStr">
        <x:is>
          <x:t xml:space="preserve">Mapped at the standard level because the spreadsheet does not break new-hire training into the more granular addressable sub-specifications.</x:t>
        </x:is>
      </x:c>
    </x:row>
    <x:row r="22" ht="30" customHeight="1">
      <x:c r="A22" s="5" t="inlineStr">
        <x:is>
          <x:t xml:space="preserve">REQ-12-HIPAA</x:t>
        </x:is>
      </x:c>
      <x:c r="B22" s="5" t="inlineStr">
        <x:is>
          <x:t xml:space="preserve">13998.02e1Organizational.2</x:t>
        </x:is>
      </x:c>
      <x:c r="C22" s="12">
        <x:f>COUNTIFS(Normalized_Tuples!$E:$E,$A22,Normalized_Tuples!$F:$F,$B22)</x:f>
        <x:v>1</x:v>
      </x:c>
      <x:c r="D22" s="5" t="inlineStr">
        <x:is>
          <x:t xml:space="preserve">New Hire Security Awareness Training</x:t>
        </x:is>
      </x:c>
      <x:c r="E22" s="5" t="inlineStr">
        <x:is>
          <x:t xml:space="preserve">Sample</x:t>
        </x:is>
      </x:c>
      <x:c r="F22" s="5" t="inlineStr">
        <x:is>
          <x:t xml:space="preserve">HITRUST e1.csv</x:t>
        </x:is>
      </x:c>
      <x:c r="G22" s="5" t="inlineStr">
        <x:is>
          <x:t xml:space="preserve">1:Many</x:t>
        </x:is>
      </x:c>
      <x:c r="H22" s="24" t="inlineStr">
        <x:is>
          <x:t xml:space="preserve">45 CFR § 164.308(a)(5)</x:t>
        </x:is>
      </x:c>
      <x:c r="I22" s="24" t="inlineStr">
        <x:is>
          <x:t xml:space="preserve">Security Awareness and Training</x:t>
        </x:is>
      </x:c>
      <x:c r="J22" s="24" t="inlineStr">
        <x:is>
          <x:t xml:space="preserve">Direct</x:t>
        </x:is>
      </x:c>
      <x:c r="K22" s="24" t="inlineStr">
        <x:is>
          <x:t xml:space="preserve">Action item and control context align to workforce security-awareness training for new hires.</x:t>
        </x:is>
      </x:c>
      <x:c r="L22" s="24"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22" s="24" t="inlineStr">
        <x:is>
          <x:t xml:space="preserve">Mapped at the standard level because the spreadsheet does not break new-hire training into the more granular addressable sub-specifications.</x:t>
        </x:is>
      </x:c>
    </x:row>
    <x:row r="23" ht="30" customHeight="1">
      <x:c r="A23" s="5" t="inlineStr">
        <x:is>
          <x:t xml:space="preserve">REQ-17-HIPAA</x:t>
        </x:is>
      </x:c>
      <x:c r="B23" s="5" t="inlineStr">
        <x:is>
          <x:t xml:space="preserve">1701.03a1Organizational.12345678</x:t>
        </x:is>
      </x:c>
      <x:c r="C23" s="12">
        <x:f>COUNTIFS(Normalized_Tuples!$E:$E,$A23,Normalized_Tuples!$F:$F,$B23)</x:f>
        <x:v>1</x:v>
      </x:c>
      <x:c r="D23" s="5" t="inlineStr">
        <x:is>
          <x:t xml:space="preserve">Risk Management</x:t>
        </x:is>
      </x:c>
      <x:c r="E23" s="5" t="inlineStr">
        <x:is>
          <x:t xml:space="preserve">Policy</x:t>
        </x:is>
      </x:c>
      <x:c r="F23" s="5" t="inlineStr">
        <x:is>
          <x:t xml:space="preserve">HITRUST e1.csv</x:t>
        </x:is>
      </x:c>
      <x:c r="G23" s="5" t="inlineStr">
        <x:is>
          <x:t xml:space="preserve">Many:Many</x:t>
        </x:is>
      </x:c>
      <x:c r="H23" s="24" t="inlineStr">
        <x:is>
          <x:t xml:space="preserve">45 CFR § 164.308(a)(1)(ii)(A)</x:t>
        </x:is>
      </x:c>
      <x:c r="I23" s="24" t="inlineStr">
        <x:is>
          <x:t xml:space="preserve">Security Management Process — Risk Analysis</x:t>
        </x:is>
      </x:c>
      <x:c r="J23" s="24" t="inlineStr">
        <x:is>
          <x:t xml:space="preserve">Direct</x:t>
        </x:is>
      </x:c>
      <x:c r="K23" s="24" t="inlineStr">
        <x:is>
          <x:t xml:space="preserve">Control context aligns to identifying risks and vulnerabilities to ePHI.</x:t>
        </x:is>
      </x:c>
      <x:c r="L23"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23" s="24" t="inlineStr">
        <x:is>
          <x:t xml:space="preserve">Risk analysis is the most direct HIPAA citation for assessment-oriented rows.</x:t>
        </x:is>
      </x:c>
    </x:row>
    <x:row r="24" ht="30" customHeight="1">
      <x:c r="A24" s="5" t="inlineStr">
        <x:is>
          <x:t xml:space="preserve">REQ-20-HIPAA</x:t>
        </x:is>
      </x:c>
      <x:c r="B24" s="5" t="inlineStr">
        <x:is>
          <x:t xml:space="preserve">1701.03a1Organizational.12345678</x:t>
        </x:is>
      </x:c>
      <x:c r="C24" s="12">
        <x:f>COUNTIFS(Normalized_Tuples!$E:$E,$A24,Normalized_Tuples!$F:$F,$B24)</x:f>
        <x:v>1</x:v>
      </x:c>
      <x:c r="D24" s="5" t="inlineStr">
        <x:is>
          <x:t xml:space="preserve">Risk Management</x:t>
        </x:is>
      </x:c>
      <x:c r="E24" s="5" t="inlineStr">
        <x:is>
          <x:t xml:space="preserve">Policy</x:t>
        </x:is>
      </x:c>
      <x:c r="F24" s="5" t="inlineStr">
        <x:is>
          <x:t xml:space="preserve">HITRUST e1.csv</x:t>
        </x:is>
      </x:c>
      <x:c r="G24" s="5" t="inlineStr">
        <x:is>
          <x:t xml:space="preserve">Many:Many</x:t>
        </x:is>
      </x:c>
      <x:c r="H24" s="24" t="inlineStr">
        <x:is>
          <x:t xml:space="preserve">45 CFR § 164.308(a)(1)(ii)(B)</x:t>
        </x:is>
      </x:c>
      <x:c r="I24" s="24" t="inlineStr">
        <x:is>
          <x:t xml:space="preserve">Security Management Process — Risk Management</x:t>
        </x:is>
      </x:c>
      <x:c r="J24" s="24" t="inlineStr">
        <x:is>
          <x:t xml:space="preserve">Direct</x:t>
        </x:is>
      </x:c>
      <x:c r="K24" s="24" t="inlineStr">
        <x:is>
          <x:t xml:space="preserve">Control context aligns to reducing identified risks and vulnerabilities to a reasonable and appropriate level.</x:t>
        </x:is>
      </x:c>
      <x:c r="L24" s="24"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24" s="24" t="inlineStr">
        <x:is>
          <x:t xml:space="preserve">Used for policy and operational rows focused on treatment/mitigation of identified risks.</x:t>
        </x:is>
      </x:c>
    </x:row>
    <x:row r="25" ht="30" customHeight="1">
      <x:c r="A25" s="5" t="inlineStr">
        <x:is>
          <x:t xml:space="preserve">REQ-24-HIPAA</x:t>
        </x:is>
      </x:c>
      <x:c r="B25" s="5" t="inlineStr">
        <x:is>
          <x:t xml:space="preserve">11.01e1System.2</x:t>
        </x:is>
      </x:c>
      <x:c r="C25" s="12">
        <x:f>COUNTIFS(Normalized_Tuples!$E:$E,$A25,Normalized_Tuples!$F:$F,$B25)</x:f>
        <x:v>1</x:v>
      </x:c>
      <x:c r="D25" s="5" t="inlineStr">
        <x:is>
          <x:t xml:space="preserve">Access Control</x:t>
        </x:is>
      </x:c>
      <x:c r="E25" s="5" t="inlineStr">
        <x:is>
          <x:t xml:space="preserve">Policy</x:t>
        </x:is>
      </x:c>
      <x:c r="F25" s="5" t="inlineStr">
        <x:is>
          <x:t xml:space="preserve">HITRUST e1.csv</x:t>
        </x:is>
      </x:c>
      <x:c r="G25" s="5" t="inlineStr">
        <x:is>
          <x:t xml:space="preserve">Many:1</x:t>
        </x:is>
      </x:c>
      <x:c r="H25" s="24" t="inlineStr">
        <x:is>
          <x:t xml:space="preserve">45 CFR § 164.312(a)(1) | 45 CFR § 164.308(a)(4)(i)</x:t>
        </x:is>
      </x:c>
      <x:c r="I25" s="24" t="inlineStr">
        <x:is>
          <x:t xml:space="preserve">Access Control | Information Access Management</x:t>
        </x:is>
      </x:c>
      <x:c r="J25" s="24" t="inlineStr">
        <x:is>
          <x:t xml:space="preserve">Composite</x:t>
        </x:is>
      </x:c>
      <x:c r="K25" s="24" t="inlineStr">
        <x:is>
          <x:t xml:space="preserve">Broad access-control policy control spans both the technical access-control standard and the administrative information-access-management standard.</x:t>
        </x:is>
      </x:c>
      <x:c r="L25" s="24"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https://www.hhs.gov/sites/default/files/ocr/privacy/hipaa/administrative/combined/hipaa-simplification-201303.pdf</x:t>
        </x:is>
      </x:c>
      <x:c r="M25" s="24" t="inlineStr">
        <x:is>
          <x:t xml:space="preserve">Used when the spreadsheet row is a general access-control policy without a narrower authorization/review/termination artifact.</x:t>
        </x:is>
      </x:c>
    </x:row>
    <x:row r="26" ht="30" customHeight="1">
      <x:c r="A26" s="5" t="inlineStr">
        <x:is>
          <x:t xml:space="preserve">REQ-26-HIPAA</x:t>
        </x:is>
      </x:c>
      <x:c r="B26" s="5" t="inlineStr">
        <x:is>
          <x:t xml:space="preserve">11.01p1System.5</x:t>
        </x:is>
      </x:c>
      <x:c r="C26" s="12">
        <x:f>COUNTIFS(Normalized_Tuples!$E:$E,$A26,Normalized_Tuples!$F:$F,$B26)</x:f>
        <x:v>1</x:v>
      </x:c>
      <x:c r="D26" s="5" t="inlineStr">
        <x:is>
          <x:t xml:space="preserve">Password and Multi-Factor Authentication</x:t>
        </x:is>
      </x:c>
      <x:c r="E26" s="5" t="inlineStr">
        <x:is>
          <x:t xml:space="preserve">Policy</x:t>
        </x:is>
      </x:c>
      <x:c r="F26" s="5" t="inlineStr">
        <x:is>
          <x:t xml:space="preserve">HITRUST e1.csv</x:t>
        </x:is>
      </x:c>
      <x:c r="G26" s="5" t="inlineStr">
        <x:is>
          <x:t xml:space="preserve">1:Many</x:t>
        </x:is>
      </x:c>
      <x:c r="H26" s="24" t="inlineStr">
        <x:is>
          <x:t xml:space="preserve">45 CFR § 164.308(a)(5)(ii)(D) | 45 CFR § 164.312(d)</x:t>
        </x:is>
      </x:c>
      <x:c r="I26" s="24" t="inlineStr">
        <x:is>
          <x:t xml:space="preserve">Security Awareness and Training — Password Management | Person or Entity Authentication</x:t>
        </x:is>
      </x:c>
      <x:c r="J26" s="24" t="inlineStr">
        <x:is>
          <x:t xml:space="preserve">Composite</x:t>
        </x:is>
      </x:c>
      <x:c r="K26" s="24" t="inlineStr">
        <x:is>
          <x:t xml:space="preserve">Action item explicitly combines password controls with MFA, so both password management and authentication verification are cited.</x:t>
        </x:is>
      </x:c>
      <x:c r="L26" s="24"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M26" s="24" t="inlineStr">
        <x:is>
          <x:t xml:space="preserve">Covers password creation/change/safeguarding and MFA-style authentication evidence.</x:t>
        </x:is>
      </x:c>
    </x:row>
    <x:row r="27" ht="30" customHeight="1">
      <x:c r="A27" s="5" t="inlineStr">
        <x:is>
          <x:t xml:space="preserve">REQ-27-HIPAA</x:t>
        </x:is>
      </x:c>
      <x:c r="B27" s="5" t="inlineStr">
        <x:is>
          <x:t xml:space="preserve">11.01q1System.3</x:t>
        </x:is>
      </x:c>
      <x:c r="C27" s="12">
        <x:f>COUNTIFS(Normalized_Tuples!$E:$E,$A27,Normalized_Tuples!$F:$F,$B27)</x:f>
        <x:v>1</x:v>
      </x:c>
      <x:c r="D27" s="5" t="inlineStr">
        <x:is>
          <x:t xml:space="preserve">Evidence of Multi-Factor Authentication</x:t>
        </x:is>
      </x:c>
      <x:c r="E27" s="5" t="inlineStr">
        <x:is>
          <x:t xml:space="preserve">Configuration</x:t>
        </x:is>
      </x:c>
      <x:c r="F27" s="5" t="inlineStr">
        <x:is>
          <x:t xml:space="preserve">HITRUST e1.csv</x:t>
        </x:is>
      </x:c>
      <x:c r="G27" s="5" t="inlineStr">
        <x:is>
          <x:t xml:space="preserve">1:Many</x:t>
        </x:is>
      </x:c>
      <x:c r="H27" s="24" t="inlineStr">
        <x:is>
          <x:t xml:space="preserve">45 CFR § 164.312(d)</x:t>
        </x:is>
      </x:c>
      <x:c r="I27" s="24" t="inlineStr">
        <x:is>
          <x:t xml:space="preserve">Person or Entity Authentication</x:t>
        </x:is>
      </x:c>
      <x:c r="J27" s="24" t="inlineStr">
        <x:is>
          <x:t xml:space="preserve">Direct</x:t>
        </x:is>
      </x:c>
      <x:c r="K27" s="24" t="inlineStr">
        <x:is>
          <x:t xml:space="preserve">MFA evidence most directly supports verifying that the person or entity seeking access is the one claimed.</x:t>
        </x:is>
      </x:c>
      <x:c r="L27" s="24"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M27" s="24" t="inlineStr">
        <x:is>
          <x:t xml:space="preserve">HIPAA does not mandate a specific technology such as MFA in all cases, but MFA evidence is a strong implementation of this standard.</x:t>
        </x:is>
      </x:c>
    </x:row>
    <x:row r="28" ht="30" customHeight="1">
      <x:c r="A28" s="5" t="inlineStr">
        <x:is>
          <x:t xml:space="preserve">REQ-27-HIPAA</x:t>
        </x:is>
      </x:c>
      <x:c r="B28" s="5" t="inlineStr">
        <x:is>
          <x:t xml:space="preserve">11.01q1System.4</x:t>
        </x:is>
      </x:c>
      <x:c r="C28" s="12">
        <x:f>COUNTIFS(Normalized_Tuples!$E:$E,$A28,Normalized_Tuples!$F:$F,$B28)</x:f>
        <x:v>1</x:v>
      </x:c>
      <x:c r="D28" s="5" t="inlineStr">
        <x:is>
          <x:t xml:space="preserve">Evidence of Multi-Factor Authentication</x:t>
        </x:is>
      </x:c>
      <x:c r="E28" s="5" t="inlineStr">
        <x:is>
          <x:t xml:space="preserve">Configuration</x:t>
        </x:is>
      </x:c>
      <x:c r="F28" s="5" t="inlineStr">
        <x:is>
          <x:t xml:space="preserve">HITRUST e1.csv</x:t>
        </x:is>
      </x:c>
      <x:c r="G28" s="5" t="inlineStr">
        <x:is>
          <x:t xml:space="preserve">1:Many</x:t>
        </x:is>
      </x:c>
      <x:c r="H28" s="24" t="inlineStr">
        <x:is>
          <x:t xml:space="preserve">45 CFR § 164.312(d)</x:t>
        </x:is>
      </x:c>
      <x:c r="I28" s="24" t="inlineStr">
        <x:is>
          <x:t xml:space="preserve">Person or Entity Authentication</x:t>
        </x:is>
      </x:c>
      <x:c r="J28" s="24" t="inlineStr">
        <x:is>
          <x:t xml:space="preserve">Direct</x:t>
        </x:is>
      </x:c>
      <x:c r="K28" s="24" t="inlineStr">
        <x:is>
          <x:t xml:space="preserve">MFA evidence most directly supports verifying that the person or entity seeking access is the one claimed.</x:t>
        </x:is>
      </x:c>
      <x:c r="L28" s="24"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M28" s="24" t="inlineStr">
        <x:is>
          <x:t xml:space="preserve">HIPAA does not mandate a specific technology such as MFA in all cases, but MFA evidence is a strong implementation of this standard.</x:t>
        </x:is>
      </x:c>
    </x:row>
    <x:row r="29" ht="30" customHeight="1">
      <x:c r="A29" s="5" t="inlineStr">
        <x:is>
          <x:t xml:space="preserve">REQ-28-HIPAA</x:t>
        </x:is>
      </x:c>
      <x:c r="B29" s="5" t="inlineStr">
        <x:is>
          <x:t xml:space="preserve">1123.01q1System.2</x:t>
        </x:is>
      </x:c>
      <x:c r="C29" s="12">
        <x:f>COUNTIFS(Normalized_Tuples!$E:$E,$A29,Normalized_Tuples!$F:$F,$B29)</x:f>
        <x:v>1</x:v>
      </x:c>
      <x:c r="D29" s="5" t="inlineStr">
        <x:is>
          <x:t xml:space="preserve">Password Vault and Shared Accounts</x:t>
        </x:is>
      </x:c>
      <x:c r="E29" s="5" t="inlineStr">
        <x:is>
          <x:t xml:space="preserve">Configuration</x:t>
        </x:is>
      </x:c>
      <x:c r="F29" s="5" t="inlineStr">
        <x:is>
          <x:t xml:space="preserve">HITRUST e1.csv</x:t>
        </x:is>
      </x:c>
      <x:c r="G29" s="5" t="inlineStr">
        <x:is>
          <x:t xml:space="preserve">Many:1</x:t>
        </x:is>
      </x:c>
      <x:c r="H29" s="24" t="inlineStr">
        <x:is>
          <x:t xml:space="preserve">45 CFR § 164.312(a)(2)(i) | 45 CFR § 164.308(a)(4)(ii)(C)</x:t>
        </x:is>
      </x:c>
      <x:c r="I29" s="24" t="inlineStr">
        <x:is>
          <x:t xml:space="preserve">Access Control — Unique User Identification | Information Access Management — Access Establishment and Modification</x:t>
        </x:is>
      </x:c>
      <x:c r="J29" s="24" t="inlineStr">
        <x:is>
          <x:t xml:space="preserve">Composite</x:t>
        </x:is>
      </x:c>
      <x:c r="K29" s="24" t="inlineStr">
        <x:is>
          <x:t xml:space="preserve">Password-vault/shared-account and privileged-access evidence supports unique attribution of user activity and management of privileged rights.</x:t>
        </x:is>
      </x:c>
      <x:c r="L29" s="24"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https://www.hhs.gov/sites/default/files/ocr/privacy/hipaa/administrative/securityrule/adminsafeguards.pdf</x:t>
        </x:is>
      </x:c>
      <x:c r="M29" s="24" t="inlineStr">
        <x:is>
          <x:t xml:space="preserve">Shared or generic-account controls are best matched to unique user identification, with access-right administration as a secondary basis.</x:t>
        </x:is>
      </x:c>
    </x:row>
    <x:row r="30" ht="30" customHeight="1">
      <x:c r="A30" s="5" t="inlineStr">
        <x:is>
          <x:t xml:space="preserve">REQ-30-HIPAA</x:t>
        </x:is>
      </x:c>
      <x:c r="B30" s="5" t="inlineStr">
        <x:is>
          <x:t xml:space="preserve">11.01e1System.2</x:t>
        </x:is>
      </x:c>
      <x:c r="C30" s="12">
        <x:f>COUNTIFS(Normalized_Tuples!$E:$E,$A30,Normalized_Tuples!$F:$F,$B30)</x:f>
        <x:v>1</x:v>
      </x:c>
      <x:c r="D30" s="5" t="inlineStr">
        <x:is>
          <x:t xml:space="preserve">Access Control</x:t>
        </x:is>
      </x:c>
      <x:c r="E30" s="5" t="inlineStr">
        <x:is>
          <x:t xml:space="preserve">Policy</x:t>
        </x:is>
      </x:c>
      <x:c r="F30" s="5" t="inlineStr">
        <x:is>
          <x:t xml:space="preserve">HITRUST e1.csv</x:t>
        </x:is>
      </x:c>
      <x:c r="G30" s="5" t="inlineStr">
        <x:is>
          <x:t xml:space="preserve">Many:1</x:t>
        </x:is>
      </x:c>
      <x:c r="H30" s="24" t="inlineStr">
        <x:is>
          <x:t xml:space="preserve">45 CFR § 164.308(a)(4)(ii)(B)</x:t>
        </x:is>
      </x:c>
      <x:c r="I30" s="24" t="inlineStr">
        <x:is>
          <x:t xml:space="preserve">Information Access Management — Access Authorization</x:t>
        </x:is>
      </x:c>
      <x:c r="J30" s="24" t="inlineStr">
        <x:is>
          <x:t xml:space="preserve">Direct</x:t>
        </x:is>
      </x:c>
      <x:c r="K30" s="24" t="inlineStr">
        <x:is>
          <x:t xml:space="preserve">New-hire access request and approval evidence aligns directly to access authorization.</x:t>
        </x:is>
      </x:c>
      <x:c r="L30"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M30" s="24" t="inlineStr">
        <x:is>
          <x:t xml:space="preserve">Used for access-request forms/templates and access-control rows that center on approvals.</x:t>
        </x:is>
      </x:c>
    </x:row>
    <x:row r="31" ht="30" customHeight="1">
      <x:c r="A31" s="5" t="inlineStr">
        <x:is>
          <x:t xml:space="preserve">REQ-30-HIPAA</x:t>
        </x:is>
      </x:c>
      <x:c r="B31" s="5" t="inlineStr">
        <x:is>
          <x:t xml:space="preserve">1143.01c1System.123</x:t>
        </x:is>
      </x:c>
      <x:c r="C31" s="12">
        <x:f>COUNTIFS(Normalized_Tuples!$E:$E,$A31,Normalized_Tuples!$F:$F,$B31)</x:f>
        <x:v>1</x:v>
      </x:c>
      <x:c r="D31" s="5" t="inlineStr">
        <x:is>
          <x:t xml:space="preserve">New Hire Access Request Form</x:t>
        </x:is>
      </x:c>
      <x:c r="E31" s="5" t="inlineStr">
        <x:is>
          <x:t xml:space="preserve">Sample</x:t>
        </x:is>
      </x:c>
      <x:c r="F31" s="5" t="inlineStr">
        <x:is>
          <x:t xml:space="preserve">HITRUST e1.csv</x:t>
        </x:is>
      </x:c>
      <x:c r="G31" s="5" t="inlineStr">
        <x:is>
          <x:t xml:space="preserve">1:1</x:t>
        </x:is>
      </x:c>
      <x:c r="H31" s="24" t="inlineStr">
        <x:is>
          <x:t xml:space="preserve">45 CFR § 164.308(a)(4)(ii)(B)</x:t>
        </x:is>
      </x:c>
      <x:c r="I31" s="24" t="inlineStr">
        <x:is>
          <x:t xml:space="preserve">Information Access Management — Access Authorization</x:t>
        </x:is>
      </x:c>
      <x:c r="J31" s="24" t="inlineStr">
        <x:is>
          <x:t xml:space="preserve">Direct</x:t>
        </x:is>
      </x:c>
      <x:c r="K31" s="24" t="inlineStr">
        <x:is>
          <x:t xml:space="preserve">New-hire access request and approval evidence aligns directly to access authorization.</x:t>
        </x:is>
      </x:c>
      <x:c r="L31" s="24"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M31" s="24" t="inlineStr">
        <x:is>
          <x:t xml:space="preserve">Used for access-request forms/templates and access-control rows that center on approvals.</x:t>
        </x:is>
      </x:c>
    </x:row>
    <x:row r="32" ht="30" customHeight="1">
      <x:c r="A32" s="5" t="inlineStr">
        <x:is>
          <x:t xml:space="preserve">REQ-31-HIPAA</x:t>
        </x:is>
      </x:c>
      <x:c r="B32" s="5" t="inlineStr">
        <x:is>
          <x:t xml:space="preserve">11.01e1System.2</x:t>
        </x:is>
      </x:c>
      <x:c r="C32" s="12">
        <x:f>COUNTIFS(Normalized_Tuples!$E:$E,$A32,Normalized_Tuples!$F:$F,$B32)</x:f>
        <x:v>1</x:v>
      </x:c>
      <x:c r="D32" s="5" t="inlineStr">
        <x:is>
          <x:t xml:space="preserve">Access Control</x:t>
        </x:is>
      </x:c>
      <x:c r="E32" s="5" t="inlineStr">
        <x:is>
          <x:t xml:space="preserve">Policy</x:t>
        </x:is>
      </x:c>
      <x:c r="F32" s="5" t="inlineStr">
        <x:is>
          <x:t xml:space="preserve">HITRUST e1.csv</x:t>
        </x:is>
      </x:c>
      <x:c r="G32" s="5" t="inlineStr">
        <x:is>
          <x:t xml:space="preserve">Many:1</x:t>
        </x:is>
      </x:c>
      <x:c r="H32" s="24" t="inlineStr">
        <x:is>
          <x:t xml:space="preserve">45 CFR § 164.308(a)(3)(ii)(C) | 45 CFR § 164.308(a)(4)(ii)(C)</x:t>
        </x:is>
      </x:c>
      <x:c r="I32" s="24" t="inlineStr">
        <x:is>
          <x:t xml:space="preserve">Workforce Security — Termination Procedures | Information Access Management — Access Establishment and Modification</x:t>
        </x:is>
      </x:c>
      <x:c r="J32" s="24" t="inlineStr">
        <x:is>
          <x:t xml:space="preserve">Composite</x:t>
        </x:is>
      </x:c>
      <x:c r="K32" s="24" t="inlineStr">
        <x:is>
          <x:t xml:space="preserve">The same internal control appears within a general access-control policy row; termination remains the most likely HIPAA basis, with access-right modification as supporting context.</x:t>
        </x:is>
      </x:c>
      <x:c r="L32" s="24" t="inlineStr">
        <x:is>
          <x:t xml:space="preserve">https://www.ecfr.gov/current/title-45/subtitle-A/subchapter-C/part-164/section-164.308 | https://www.hhs.gov/hipaa/for-professionals/compliance-enforcement/audit/protocol/index.html | https://www.hhs.gov/hipaa/for-professionals/security/guidance/cybersecurity-newsletter-summer-2019/index.html</x:t>
        </x:is>
      </x:c>
      <x:c r="M32" s="24" t="inlineStr">
        <x:is>
          <x:t xml:space="preserve">Mapped conservatively because the internal control ID spans both termination evidence and access-control policy language.</x:t>
        </x:is>
      </x:c>
    </x:row>
    <x:row r="33" ht="30" customHeight="1">
      <x:c r="A33" s="5" t="inlineStr">
        <x:is>
          <x:t xml:space="preserve">REQ-31-HIPAA</x:t>
        </x:is>
      </x:c>
      <x:c r="B33" s="5" t="inlineStr">
        <x:is>
          <x:t xml:space="preserve">1123.01q1System.2</x:t>
        </x:is>
      </x:c>
      <x:c r="C33" s="12">
        <x:f>COUNTIFS(Normalized_Tuples!$E:$E,$A33,Normalized_Tuples!$F:$F,$B33)</x:f>
        <x:v>1</x:v>
      </x:c>
      <x:c r="D33" s="5" t="inlineStr">
        <x:is>
          <x:t xml:space="preserve">Password Vault and Shared Accounts</x:t>
        </x:is>
      </x:c>
      <x:c r="E33" s="5" t="inlineStr">
        <x:is>
          <x:t xml:space="preserve">Configuration</x:t>
        </x:is>
      </x:c>
      <x:c r="F33" s="5" t="inlineStr">
        <x:is>
          <x:t xml:space="preserve">HITRUST e1.csv</x:t>
        </x:is>
      </x:c>
      <x:c r="G33" s="5" t="inlineStr">
        <x:is>
          <x:t xml:space="preserve">Many:1</x:t>
        </x:is>
      </x:c>
      <x:c r="H33" s="24" t="inlineStr">
        <x:is>
          <x:t xml:space="preserve">45 CFR § 164.308(a)(3)(ii)(C) | 45 CFR § 164.312(a)(2)(i)</x:t>
        </x:is>
      </x:c>
      <x:c r="I33" s="24" t="inlineStr">
        <x:is>
          <x:t xml:space="preserve">Workforce Security — Termination Procedures | Access Control — Unique User Identification</x:t>
        </x:is>
      </x:c>
      <x:c r="J33" s="24" t="inlineStr">
        <x:is>
          <x:t xml:space="preserve">Composite</x:t>
        </x:is>
      </x:c>
      <x:c r="K33" s="24" t="inlineStr">
        <x:is>
          <x:t xml:space="preserve">Shared-account and privileged-access listings support timely removal of departing users and accountability for access tied to individuals.</x:t>
        </x:is>
      </x:c>
      <x:c r="L33" s="24" t="inlineStr">
        <x:is>
          <x:t xml:space="preserve">https://www.ecfr.gov/current/title-45/subtitle-A/subchapter-C/part-164/section-164.308 | https://www.ecfr.gov/current/title-45/subtitle-A/subchapter-C/part-164/section-164.312 | https://www.hhs.gov/hipaa/for-professionals/compliance-enforcement/audit/protocol/index.html | https://www.hhs.gov/hipaa/for-professionals/security/guidance/cybersecurity-newsletter-summer-2019/index.html</x:t>
        </x:is>
      </x:c>
      <x:c r="M33" s="24" t="inlineStr">
        <x:is>
          <x:t xml:space="preserve">Best read as supporting evidence that terminated users are removed from shared/privileged access paths.</x:t>
        </x:is>
      </x:c>
    </x:row>
    <x:row r="34" ht="30" customHeight="1">
      <x:c r="A34" s="5" t="inlineStr">
        <x:is>
          <x:t xml:space="preserve">REQ-32-HIPAA</x:t>
        </x:is>
      </x:c>
      <x:c r="B34" s="5" t="inlineStr">
        <x:is>
          <x:t xml:space="preserve">0305.09q1Organizational.12</x:t>
        </x:is>
      </x:c>
      <x:c r="C34" s="12">
        <x:f>COUNTIFS(Normalized_Tuples!$E:$E,$A34,Normalized_Tuples!$F:$F,$B34)</x:f>
        <x:v>1</x:v>
      </x:c>
      <x:c r="D34" s="5" t="inlineStr">
        <x:is>
          <x:t xml:space="preserve">Data Classification, Retention and Disposal</x:t>
        </x:is>
      </x:c>
      <x:c r="E34" s="5" t="inlineStr">
        <x:is>
          <x:t xml:space="preserve">Policy</x:t>
        </x:is>
      </x:c>
      <x:c r="F34" s="5" t="inlineStr">
        <x:is>
          <x:t xml:space="preserve">HITRUST e1.csv</x:t>
        </x:is>
      </x:c>
      <x:c r="G34" s="5" t="inlineStr">
        <x:is>
          <x:t xml:space="preserve">Many:Many</x:t>
        </x:is>
      </x:c>
      <x:c r="H34" s="24" t="inlineStr">
        <x:is>
          <x:t xml:space="preserve">45 CFR § 164.310(d)(2)(i)</x:t>
        </x:is>
      </x:c>
      <x:c r="I34" s="24" t="inlineStr">
        <x:is>
          <x:t xml:space="preserve">Device and Media Controls — Disposal</x:t>
        </x:is>
      </x:c>
      <x:c r="J34" s="24" t="inlineStr">
        <x:is>
          <x:t xml:space="preserve">Best-fit</x:t>
        </x:is>
      </x:c>
      <x:c r="K34" s="24" t="inlineStr">
        <x:is>
          <x:t xml:space="preserve">The direct HIPAA overlap in this action item is final disposition/disposal; HIPAA does not explicitly name data classification or retention as standalone Security Rule specifications.</x:t>
        </x:is>
      </x:c>
      <x:c r="L34"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4" s="24" t="inlineStr">
        <x:is>
          <x:t xml:space="preserve">Only the disposal portion of the action item maps directly to an express HIPAA implementation specification.</x:t>
        </x:is>
      </x:c>
    </x:row>
    <x:row r="35" ht="30" customHeight="1">
      <x:c r="A35" s="5" t="inlineStr">
        <x:is>
          <x:t xml:space="preserve">REQ-32-HIPAA</x:t>
        </x:is>
      </x:c>
      <x:c r="B35" s="5" t="inlineStr">
        <x:is>
          <x:t xml:space="preserve">1239.09aa1System.4</x:t>
        </x:is>
      </x:c>
      <x:c r="C35" s="12">
        <x:f>COUNTIFS(Normalized_Tuples!$E:$E,$A35,Normalized_Tuples!$F:$F,$B35)</x:f>
        <x:v>1</x:v>
      </x:c>
      <x:c r="D35" s="5" t="inlineStr">
        <x:is>
          <x:t xml:space="preserve">Data Classification, Retention and Disposal</x:t>
        </x:is>
      </x:c>
      <x:c r="E35" s="5" t="inlineStr">
        <x:is>
          <x:t xml:space="preserve">Policy</x:t>
        </x:is>
      </x:c>
      <x:c r="F35" s="5" t="inlineStr">
        <x:is>
          <x:t xml:space="preserve">HITRUST e1.csv</x:t>
        </x:is>
      </x:c>
      <x:c r="G35" s="5" t="inlineStr">
        <x:is>
          <x:t xml:space="preserve">Many:Many</x:t>
        </x:is>
      </x:c>
      <x:c r="H35" s="24" t="inlineStr">
        <x:is>
          <x:t xml:space="preserve">45 CFR § 164.310(d)(2)(i)</x:t>
        </x:is>
      </x:c>
      <x:c r="I35" s="24" t="inlineStr">
        <x:is>
          <x:t xml:space="preserve">Device and Media Controls — Disposal</x:t>
        </x:is>
      </x:c>
      <x:c r="J35" s="24" t="inlineStr">
        <x:is>
          <x:t xml:space="preserve">Best-fit</x:t>
        </x:is>
      </x:c>
      <x:c r="K35" s="24" t="inlineStr">
        <x:is>
          <x:t xml:space="preserve">The direct HIPAA overlap in this action item is final disposition/disposal; HIPAA does not explicitly name data classification or retention as standalone Security Rule specifications.</x:t>
        </x:is>
      </x:c>
      <x:c r="L35"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5" s="24" t="inlineStr">
        <x:is>
          <x:t xml:space="preserve">Only the disposal portion of the action item maps directly to an express HIPAA implementation specification.</x:t>
        </x:is>
      </x:c>
    </x:row>
    <x:row r="36" ht="30" customHeight="1">
      <x:c r="A36" s="5" t="inlineStr">
        <x:is>
          <x:t xml:space="preserve">REQ-32-HIPAA</x:t>
        </x:is>
      </x:c>
      <x:c r="B36" s="5" t="inlineStr">
        <x:is>
          <x:t xml:space="preserve">1616.09l1Organizational.16</x:t>
        </x:is>
      </x:c>
      <x:c r="C36" s="12">
        <x:f>COUNTIFS(Normalized_Tuples!$E:$E,$A36,Normalized_Tuples!$F:$F,$B36)</x:f>
        <x:v>1</x:v>
      </x:c>
      <x:c r="D36" s="5" t="inlineStr">
        <x:is>
          <x:t xml:space="preserve">Data Classification, Retention and Disposal</x:t>
        </x:is>
      </x:c>
      <x:c r="E36" s="5" t="inlineStr">
        <x:is>
          <x:t xml:space="preserve">Policy</x:t>
        </x:is>
      </x:c>
      <x:c r="F36" s="5" t="inlineStr">
        <x:is>
          <x:t xml:space="preserve">HITRUST e1.csv</x:t>
        </x:is>
      </x:c>
      <x:c r="G36" s="5" t="inlineStr">
        <x:is>
          <x:t xml:space="preserve">Many:Many</x:t>
        </x:is>
      </x:c>
      <x:c r="H36" s="24" t="inlineStr">
        <x:is>
          <x:t xml:space="preserve">45 CFR § 164.310(d)(2)(i)</x:t>
        </x:is>
      </x:c>
      <x:c r="I36" s="24" t="inlineStr">
        <x:is>
          <x:t xml:space="preserve">Device and Media Controls — Disposal</x:t>
        </x:is>
      </x:c>
      <x:c r="J36" s="24" t="inlineStr">
        <x:is>
          <x:t xml:space="preserve">Best-fit</x:t>
        </x:is>
      </x:c>
      <x:c r="K36" s="24" t="inlineStr">
        <x:is>
          <x:t xml:space="preserve">The direct HIPAA overlap in this action item is final disposition/disposal; HIPAA does not explicitly name data classification or retention as standalone Security Rule specifications.</x:t>
        </x:is>
      </x:c>
      <x:c r="L36"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6" s="24" t="inlineStr">
        <x:is>
          <x:t xml:space="preserve">Only the disposal portion of the action item maps directly to an express HIPAA implementation specification.</x:t>
        </x:is>
      </x:c>
    </x:row>
    <x:row r="37" ht="30" customHeight="1">
      <x:c r="A37" s="5" t="inlineStr">
        <x:is>
          <x:t xml:space="preserve">REQ-32-HIPAA</x:t>
        </x:is>
      </x:c>
      <x:c r="B37" s="5" t="inlineStr">
        <x:is>
          <x:t xml:space="preserve">1767.07d1Organizational.2</x:t>
        </x:is>
      </x:c>
      <x:c r="C37" s="12">
        <x:f>COUNTIFS(Normalized_Tuples!$E:$E,$A37,Normalized_Tuples!$F:$F,$B37)</x:f>
        <x:v>1</x:v>
      </x:c>
      <x:c r="D37" s="5" t="inlineStr">
        <x:is>
          <x:t xml:space="preserve">Data Classification, Retention and Disposal</x:t>
        </x:is>
      </x:c>
      <x:c r="E37" s="5" t="inlineStr">
        <x:is>
          <x:t xml:space="preserve">Policy</x:t>
        </x:is>
      </x:c>
      <x:c r="F37" s="5" t="inlineStr">
        <x:is>
          <x:t xml:space="preserve">HITRUST e1.csv</x:t>
        </x:is>
      </x:c>
      <x:c r="G37" s="5" t="inlineStr">
        <x:is>
          <x:t xml:space="preserve">Many:Many</x:t>
        </x:is>
      </x:c>
      <x:c r="H37" s="24" t="inlineStr">
        <x:is>
          <x:t xml:space="preserve">45 CFR § 164.310(d)(2)(i)</x:t>
        </x:is>
      </x:c>
      <x:c r="I37" s="24" t="inlineStr">
        <x:is>
          <x:t xml:space="preserve">Device and Media Controls — Disposal</x:t>
        </x:is>
      </x:c>
      <x:c r="J37" s="24" t="inlineStr">
        <x:is>
          <x:t xml:space="preserve">Best-fit</x:t>
        </x:is>
      </x:c>
      <x:c r="K37" s="24" t="inlineStr">
        <x:is>
          <x:t xml:space="preserve">The direct HIPAA overlap in this action item is final disposition/disposal; HIPAA does not explicitly name data classification or retention as standalone Security Rule specifications.</x:t>
        </x:is>
      </x:c>
      <x:c r="L37"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7" s="24" t="inlineStr">
        <x:is>
          <x:t xml:space="preserve">Only the disposal portion of the action item maps directly to an express HIPAA implementation specification.</x:t>
        </x:is>
      </x:c>
    </x:row>
    <x:row r="38" ht="30" customHeight="1">
      <x:c r="A38" s="5" t="inlineStr">
        <x:is>
          <x:t xml:space="preserve">REQ-32-HIPAA</x:t>
        </x:is>
      </x:c>
      <x:c r="B38" s="5" t="inlineStr">
        <x:is>
          <x:t xml:space="preserve">19142.06c1Organizational.8</x:t>
        </x:is>
      </x:c>
      <x:c r="C38" s="12">
        <x:f>COUNTIFS(Normalized_Tuples!$E:$E,$A38,Normalized_Tuples!$F:$F,$B38)</x:f>
        <x:v>1</x:v>
      </x:c>
      <x:c r="D38" s="5" t="inlineStr">
        <x:is>
          <x:t xml:space="preserve">Data Classification, Retention and Disposal</x:t>
        </x:is>
      </x:c>
      <x:c r="E38" s="5" t="inlineStr">
        <x:is>
          <x:t xml:space="preserve">Policy</x:t>
        </x:is>
      </x:c>
      <x:c r="F38" s="5" t="inlineStr">
        <x:is>
          <x:t xml:space="preserve">HITRUST e1.csv</x:t>
        </x:is>
      </x:c>
      <x:c r="G38" s="5" t="inlineStr">
        <x:is>
          <x:t xml:space="preserve">Many:Many</x:t>
        </x:is>
      </x:c>
      <x:c r="H38" s="24" t="inlineStr">
        <x:is>
          <x:t xml:space="preserve">45 CFR § 164.310(d)(2)(i)</x:t>
        </x:is>
      </x:c>
      <x:c r="I38" s="24" t="inlineStr">
        <x:is>
          <x:t xml:space="preserve">Device and Media Controls — Disposal</x:t>
        </x:is>
      </x:c>
      <x:c r="J38" s="24" t="inlineStr">
        <x:is>
          <x:t xml:space="preserve">Best-fit</x:t>
        </x:is>
      </x:c>
      <x:c r="K38" s="24" t="inlineStr">
        <x:is>
          <x:t xml:space="preserve">The direct HIPAA overlap in this action item is final disposition/disposal; HIPAA does not explicitly name data classification or retention as standalone Security Rule specifications.</x:t>
        </x:is>
      </x:c>
      <x:c r="L38"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8" s="24" t="inlineStr">
        <x:is>
          <x:t xml:space="preserve">Only the disposal portion of the action item maps directly to an express HIPAA implementation specification.</x:t>
        </x:is>
      </x:c>
    </x:row>
    <x:row r="39" ht="30" customHeight="1">
      <x:c r="A39" s="5" t="inlineStr">
        <x:is>
          <x:t xml:space="preserve">REQ-33-HIPAA</x:t>
        </x:is>
      </x:c>
      <x:c r="B39" s="5" t="inlineStr">
        <x:is>
          <x:t xml:space="preserve">07.07a1Organizational.8</x:t>
        </x:is>
      </x:c>
      <x:c r="C39" s="12">
        <x:f>COUNTIFS(Normalized_Tuples!$E:$E,$A39,Normalized_Tuples!$F:$F,$B39)</x:f>
        <x:v>1</x:v>
      </x:c>
      <x:c r="D39" s="5" t="inlineStr">
        <x:is>
          <x:t xml:space="preserve">List of All Production Systems (Servers, VMs, Data Stores)</x:t>
        </x:is>
      </x:c>
      <x:c r="E39" s="5" t="inlineStr">
        <x:is>
          <x:t xml:space="preserve">Configuration</x:t>
        </x:is>
      </x:c>
      <x:c r="F39" s="5" t="inlineStr">
        <x:is>
          <x:t xml:space="preserve">HITRUST e1.csv</x:t>
        </x:is>
      </x:c>
      <x:c r="G39" s="5" t="inlineStr">
        <x:is>
          <x:t xml:space="preserve">Many:Many</x:t>
        </x:is>
      </x:c>
      <x:c r="H39" s="24" t="inlineStr">
        <x:is>
          <x:t xml:space="preserve">45 CFR § 164.308(a)(1)(ii)(A) | 45 CFR § 164.312(a)(2)(iv) | 45 CFR § 164.312(e)(2)(ii)</x:t>
        </x:is>
      </x:c>
      <x:c r="I39" s="24" t="inlineStr">
        <x:is>
          <x:t xml:space="preserve">Security Management Process — Risk Analysis | Access Control — Encryption and Decryption | Transmission Security — Encryption</x:t>
        </x:is>
      </x:c>
      <x:c r="J39" s="24" t="inlineStr">
        <x:is>
          <x:t xml:space="preserve">Best-fit composite</x:t>
        </x:is>
      </x:c>
      <x:c r="K39" s="24" t="inlineStr">
        <x:is>
          <x:t xml:space="preserve">System-inventory evidence is not explicitly named in the Security Rule, but OCR guidance treats asset inventories and system scoping as supporting accurate risk analysis and implementation of encryption safeguards.</x:t>
        </x:is>
      </x:c>
      <x:c r="L39"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M39" s="24" t="inlineStr">
        <x:is>
          <x:t xml:space="preserve">Inventory/list-of-systems evidence is supporting evidence for encryption coverage, not a standalone named HIPAA inventory mandate.</x:t>
        </x:is>
      </x:c>
    </x:row>
    <x:row r="40" ht="30" customHeight="1">
      <x:c r="A40" s="5" t="inlineStr">
        <x:is>
          <x:t xml:space="preserve">REQ-33-HIPAA</x:t>
        </x:is>
      </x:c>
      <x:c r="B40" s="5" t="inlineStr">
        <x:is>
          <x:t xml:space="preserve">0701.07a1Organizational.7</x:t>
        </x:is>
      </x:c>
      <x:c r="C40" s="12">
        <x:f>COUNTIFS(Normalized_Tuples!$E:$E,$A40,Normalized_Tuples!$F:$F,$B40)</x:f>
        <x:v>1</x:v>
      </x:c>
      <x:c r="D40" s="5" t="inlineStr">
        <x:is>
          <x:t xml:space="preserve">List of All Production Systems (Servers, VMs, Data Stores)</x:t>
        </x:is>
      </x:c>
      <x:c r="E40" s="5" t="inlineStr">
        <x:is>
          <x:t xml:space="preserve">Configuration</x:t>
        </x:is>
      </x:c>
      <x:c r="F40" s="5" t="inlineStr">
        <x:is>
          <x:t xml:space="preserve">HITRUST e1.csv</x:t>
        </x:is>
      </x:c>
      <x:c r="G40" s="5" t="inlineStr">
        <x:is>
          <x:t xml:space="preserve">Many:Many</x:t>
        </x:is>
      </x:c>
      <x:c r="H40" s="24" t="inlineStr">
        <x:is>
          <x:t xml:space="preserve">45 CFR § 164.308(a)(1)(ii)(A) | 45 CFR § 164.312(a)(2)(iv) | 45 CFR § 164.312(e)(2)(ii)</x:t>
        </x:is>
      </x:c>
      <x:c r="I40" s="24" t="inlineStr">
        <x:is>
          <x:t xml:space="preserve">Security Management Process — Risk Analysis | Access Control — Encryption and Decryption | Transmission Security — Encryption</x:t>
        </x:is>
      </x:c>
      <x:c r="J40" s="24" t="inlineStr">
        <x:is>
          <x:t xml:space="preserve">Best-fit composite</x:t>
        </x:is>
      </x:c>
      <x:c r="K40" s="24" t="inlineStr">
        <x:is>
          <x:t xml:space="preserve">System-inventory evidence is not explicitly named in the Security Rule, but OCR guidance treats asset inventories and system scoping as supporting accurate risk analysis and implementation of encryption safeguards.</x:t>
        </x:is>
      </x:c>
      <x:c r="L40"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M40" s="24" t="inlineStr">
        <x:is>
          <x:t xml:space="preserve">Inventory/list-of-systems evidence is supporting evidence for encryption coverage, not a standalone named HIPAA inventory mandate.</x:t>
        </x:is>
      </x:c>
    </x:row>
    <x:row r="41">
      <x:c r="A41" s="5" t="inlineStr">
        <x:is>
          <x:t xml:space="preserve">REQ-33-HIPAA</x:t>
        </x:is>
      </x:c>
      <x:c r="B41" s="5" t="inlineStr">
        <x:is>
          <x:t xml:space="preserve">0701.07a1Organizational.8</x:t>
        </x:is>
      </x:c>
      <x:c r="C41" s="12">
        <x:f>COUNTIFS(Normalized_Tuples!$E:$E,$A41,Normalized_Tuples!$F:$F,$B41)</x:f>
        <x:v>1</x:v>
      </x:c>
      <x:c r="D41" s="5" t="inlineStr">
        <x:is>
          <x:t xml:space="preserve">List of All Production Systems (Servers, VMs, Data Stores)</x:t>
        </x:is>
      </x:c>
      <x:c r="E41" s="5" t="inlineStr">
        <x:is>
          <x:t xml:space="preserve">Configuration</x:t>
        </x:is>
      </x:c>
      <x:c r="F41" s="5" t="inlineStr">
        <x:is>
          <x:t xml:space="preserve">HITRUST e1.csv</x:t>
        </x:is>
      </x:c>
      <x:c r="G41" s="5" t="inlineStr">
        <x:is>
          <x:t xml:space="preserve">Many:Many</x:t>
        </x:is>
      </x:c>
      <x:c r="H41" s="24" t="inlineStr">
        <x:is>
          <x:t xml:space="preserve">45 CFR § 164.308(a)(1)(ii)(A) | 45 CFR § 164.312(a)(2)(iv) | 45 CFR § 164.312(e)(2)(ii)</x:t>
        </x:is>
      </x:c>
      <x:c r="I41" s="24" t="inlineStr">
        <x:is>
          <x:t xml:space="preserve">Security Management Process — Risk Analysis | Access Control — Encryption and Decryption | Transmission Security — Encryption</x:t>
        </x:is>
      </x:c>
      <x:c r="J41" s="24" t="inlineStr">
        <x:is>
          <x:t xml:space="preserve">Best-fit composite</x:t>
        </x:is>
      </x:c>
      <x:c r="K41" s="24" t="inlineStr">
        <x:is>
          <x:t xml:space="preserve">System-inventory evidence is not explicitly named in the Security Rule, but OCR guidance treats asset inventories and system scoping as supporting accurate risk analysis and implementation of encryption safeguards.</x:t>
        </x:is>
      </x:c>
      <x:c r="L41"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M41" s="24" t="inlineStr">
        <x:is>
          <x:t xml:space="preserve">Inventory/list-of-systems evidence is supporting evidence for encryption coverage, not a standalone named HIPAA inventory mandate.</x:t>
        </x:is>
      </x:c>
    </x:row>
    <x:row r="42">
      <x:c r="A42" s="5" t="inlineStr">
        <x:is>
          <x:t xml:space="preserve">REQ-33-HIPAA</x:t>
        </x:is>
      </x:c>
      <x:c r="B42" s="5" t="inlineStr">
        <x:is>
          <x:t xml:space="preserve">0862.09m2Organizational.8</x:t>
        </x:is>
      </x:c>
      <x:c r="C42" s="12">
        <x:f>COUNTIFS(Normalized_Tuples!$E:$E,$A42,Normalized_Tuples!$F:$F,$B42)</x:f>
        <x:v>1</x:v>
      </x:c>
      <x:c r="D42" s="5" t="inlineStr">
        <x:is>
          <x:t xml:space="preserve">Encryption In Transit (Ex. TLS Protocols)</x:t>
        </x:is>
      </x:c>
      <x:c r="E42" s="5" t="inlineStr">
        <x:is>
          <x:t xml:space="preserve">Configuration</x:t>
        </x:is>
      </x:c>
      <x:c r="F42" s="5" t="inlineStr">
        <x:is>
          <x:t xml:space="preserve">HITRUST e1.csv</x:t>
        </x:is>
      </x:c>
      <x:c r="G42" s="5" t="inlineStr">
        <x:is>
          <x:t xml:space="preserve">Many:Many</x:t>
        </x:is>
      </x:c>
      <x:c r="H42" s="24" t="inlineStr">
        <x:is>
          <x:t xml:space="preserve">45 CFR § 164.312(e)(2)(ii)</x:t>
        </x:is>
      </x:c>
      <x:c r="I42" s="24" t="inlineStr">
        <x:is>
          <x:t xml:space="preserve">Transmission Security — Encryption</x:t>
        </x:is>
      </x:c>
      <x:c r="J42" s="24" t="inlineStr">
        <x:is>
          <x:t xml:space="preserve">Direct</x:t>
        </x:is>
      </x:c>
      <x:c r="K42" s="24" t="inlineStr">
        <x:is>
          <x:t xml:space="preserve">Transmission-encryption evidence aligns directly to the transmission-security encryption implementation specification.</x:t>
        </x:is>
      </x:c>
      <x:c r="L42"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2" s="24" t="inlineStr">
        <x:is>
          <x:t xml:space="preserve">Used when the shared action item is explicitly in-transit encryption.</x:t>
        </x:is>
      </x:c>
    </x:row>
    <x:row r="43">
      <x:c r="A43" s="5" t="inlineStr">
        <x:is>
          <x:t xml:space="preserve">REQ-33-HIPAA</x:t>
        </x:is>
      </x:c>
      <x:c r="B43" s="5" t="inlineStr">
        <x:is>
          <x:t xml:space="preserve">0903.10f1Organizational.1.a</x:t>
        </x:is>
      </x:c>
      <x:c r="C43" s="12">
        <x:f>COUNTIFS(Normalized_Tuples!$E:$E,$A43,Normalized_Tuples!$F:$F,$B43)</x:f>
        <x:v>1</x:v>
      </x:c>
      <x:c r="D43" s="5" t="inlineStr">
        <x:is>
          <x:t xml:space="preserve">Encryption In Transit (Ex. TLS Protocols)</x:t>
        </x:is>
      </x:c>
      <x:c r="E43" s="5" t="inlineStr">
        <x:is>
          <x:t xml:space="preserve">Configuration</x:t>
        </x:is>
      </x:c>
      <x:c r="F43" s="5" t="inlineStr">
        <x:is>
          <x:t xml:space="preserve">HITRUST e1.csv</x:t>
        </x:is>
      </x:c>
      <x:c r="G43" s="5" t="inlineStr">
        <x:is>
          <x:t xml:space="preserve">Many:Many</x:t>
        </x:is>
      </x:c>
      <x:c r="H43" s="24" t="inlineStr">
        <x:is>
          <x:t xml:space="preserve">45 CFR § 164.312(e)(2)(ii)</x:t>
        </x:is>
      </x:c>
      <x:c r="I43" s="24" t="inlineStr">
        <x:is>
          <x:t xml:space="preserve">Transmission Security — Encryption</x:t>
        </x:is>
      </x:c>
      <x:c r="J43" s="24" t="inlineStr">
        <x:is>
          <x:t xml:space="preserve">Direct</x:t>
        </x:is>
      </x:c>
      <x:c r="K43" s="24" t="inlineStr">
        <x:is>
          <x:t xml:space="preserve">Transmission-encryption evidence aligns directly to the transmission-security encryption implementation specification.</x:t>
        </x:is>
      </x:c>
      <x:c r="L43"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3" s="24" t="inlineStr">
        <x:is>
          <x:t xml:space="preserve">Used when the shared action item is explicitly in-transit encryption.</x:t>
        </x:is>
      </x:c>
    </x:row>
    <x:row r="44">
      <x:c r="A44" s="5" t="inlineStr">
        <x:is>
          <x:t xml:space="preserve">REQ-33-HIPAA</x:t>
        </x:is>
      </x:c>
      <x:c r="B44" s="5" t="inlineStr">
        <x:is>
          <x:t xml:space="preserve">0913.09s1Organizational.5</x:t>
        </x:is>
      </x:c>
      <x:c r="C44" s="12">
        <x:f>COUNTIFS(Normalized_Tuples!$E:$E,$A44,Normalized_Tuples!$F:$F,$B44)</x:f>
        <x:v>1</x:v>
      </x:c>
      <x:c r="D44" s="5" t="inlineStr">
        <x:is>
          <x:t xml:space="preserve">Encryption In Transit (Ex. TLS Protocols)</x:t>
        </x:is>
      </x:c>
      <x:c r="E44" s="5" t="inlineStr">
        <x:is>
          <x:t xml:space="preserve">Configuration</x:t>
        </x:is>
      </x:c>
      <x:c r="F44" s="5" t="inlineStr">
        <x:is>
          <x:t xml:space="preserve">HITRUST e1.csv</x:t>
        </x:is>
      </x:c>
      <x:c r="G44" s="5" t="inlineStr">
        <x:is>
          <x:t xml:space="preserve">Many:Many</x:t>
        </x:is>
      </x:c>
      <x:c r="H44" s="24" t="inlineStr">
        <x:is>
          <x:t xml:space="preserve">45 CFR § 164.312(e)(2)(ii)</x:t>
        </x:is>
      </x:c>
      <x:c r="I44" s="24" t="inlineStr">
        <x:is>
          <x:t xml:space="preserve">Transmission Security — Encryption</x:t>
        </x:is>
      </x:c>
      <x:c r="J44" s="24" t="inlineStr">
        <x:is>
          <x:t xml:space="preserve">Direct</x:t>
        </x:is>
      </x:c>
      <x:c r="K44" s="24" t="inlineStr">
        <x:is>
          <x:t xml:space="preserve">Transmission-encryption evidence aligns directly to the transmission-security encryption implementation specification.</x:t>
        </x:is>
      </x:c>
      <x:c r="L44"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4" s="24" t="inlineStr">
        <x:is>
          <x:t xml:space="preserve">Used when the shared action item is explicitly in-transit encryption.</x:t>
        </x:is>
      </x:c>
    </x:row>
    <x:row r="45">
      <x:c r="A45" s="5" t="inlineStr">
        <x:is>
          <x:t xml:space="preserve">REQ-33-HIPAA</x:t>
        </x:is>
      </x:c>
      <x:c r="B45" s="5" t="inlineStr">
        <x:is>
          <x:t xml:space="preserve">0928.09v2Organizational.1</x:t>
        </x:is>
      </x:c>
      <x:c r="C45" s="12">
        <x:f>COUNTIFS(Normalized_Tuples!$E:$E,$A45,Normalized_Tuples!$F:$F,$B45)</x:f>
        <x:v>1</x:v>
      </x:c>
      <x:c r="D45" s="5" t="inlineStr">
        <x:is>
          <x:t xml:space="preserve">Encryption In Transit (Ex. TLS Protocols)</x:t>
        </x:is>
      </x:c>
      <x:c r="E45" s="5" t="inlineStr">
        <x:is>
          <x:t xml:space="preserve">Configuration</x:t>
        </x:is>
      </x:c>
      <x:c r="F45" s="5" t="inlineStr">
        <x:is>
          <x:t xml:space="preserve">HITRUST e1.csv</x:t>
        </x:is>
      </x:c>
      <x:c r="G45" s="5" t="inlineStr">
        <x:is>
          <x:t xml:space="preserve">Many:Many</x:t>
        </x:is>
      </x:c>
      <x:c r="H45" s="24" t="inlineStr">
        <x:is>
          <x:t xml:space="preserve">45 CFR § 164.312(e)(2)(ii)</x:t>
        </x:is>
      </x:c>
      <x:c r="I45" s="24" t="inlineStr">
        <x:is>
          <x:t xml:space="preserve">Transmission Security — Encryption</x:t>
        </x:is>
      </x:c>
      <x:c r="J45" s="24" t="inlineStr">
        <x:is>
          <x:t xml:space="preserve">Direct</x:t>
        </x:is>
      </x:c>
      <x:c r="K45" s="24" t="inlineStr">
        <x:is>
          <x:t xml:space="preserve">Transmission-encryption evidence aligns directly to the transmission-security encryption implementation specification.</x:t>
        </x:is>
      </x:c>
      <x:c r="L45"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5" s="24" t="inlineStr">
        <x:is>
          <x:t xml:space="preserve">Used when the shared action item is explicitly in-transit encryption.</x:t>
        </x:is>
      </x:c>
    </x:row>
    <x:row r="46">
      <x:c r="A46" s="5" t="inlineStr">
        <x:is>
          <x:t xml:space="preserve">REQ-33-HIPAA</x:t>
        </x:is>
      </x:c>
      <x:c r="B46" s="5" t="inlineStr">
        <x:is>
          <x:t xml:space="preserve">0945.09y1Organizational.3</x:t>
        </x:is>
      </x:c>
      <x:c r="C46" s="12">
        <x:f>COUNTIFS(Normalized_Tuples!$E:$E,$A46,Normalized_Tuples!$F:$F,$B46)</x:f>
        <x:v>1</x:v>
      </x:c>
      <x:c r="D46" s="5" t="inlineStr">
        <x:is>
          <x:t xml:space="preserve">Encryption In Transit (Ex. TLS Protocols)</x:t>
        </x:is>
      </x:c>
      <x:c r="E46" s="5" t="inlineStr">
        <x:is>
          <x:t xml:space="preserve">Configuration</x:t>
        </x:is>
      </x:c>
      <x:c r="F46" s="5" t="inlineStr">
        <x:is>
          <x:t xml:space="preserve">HITRUST e1.csv</x:t>
        </x:is>
      </x:c>
      <x:c r="G46" s="5" t="inlineStr">
        <x:is>
          <x:t xml:space="preserve">Many:Many</x:t>
        </x:is>
      </x:c>
      <x:c r="H46" s="24" t="inlineStr">
        <x:is>
          <x:t xml:space="preserve">45 CFR § 164.312(e)(2)(ii)</x:t>
        </x:is>
      </x:c>
      <x:c r="I46" s="24" t="inlineStr">
        <x:is>
          <x:t xml:space="preserve">Transmission Security — Encryption</x:t>
        </x:is>
      </x:c>
      <x:c r="J46" s="24" t="inlineStr">
        <x:is>
          <x:t xml:space="preserve">Direct</x:t>
        </x:is>
      </x:c>
      <x:c r="K46" s="24" t="inlineStr">
        <x:is>
          <x:t xml:space="preserve">Transmission-encryption evidence aligns directly to the transmission-security encryption implementation specification.</x:t>
        </x:is>
      </x:c>
      <x:c r="L46"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6" s="24" t="inlineStr">
        <x:is>
          <x:t xml:space="preserve">Used when the shared action item is explicitly in-transit encryption.</x:t>
        </x:is>
      </x:c>
    </x:row>
    <x:row r="47">
      <x:c r="A47" s="5" t="inlineStr">
        <x:is>
          <x:t xml:space="preserve">REQ-33-HIPAA</x:t>
        </x:is>
      </x:c>
      <x:c r="B47" s="5" t="inlineStr">
        <x:is>
          <x:t xml:space="preserve">0954.10d1System.1</x:t>
        </x:is>
      </x:c>
      <x:c r="C47" s="12">
        <x:f>COUNTIFS(Normalized_Tuples!$E:$E,$A47,Normalized_Tuples!$F:$F,$B47)</x:f>
        <x:v>1</x:v>
      </x:c>
      <x:c r="D47" s="5" t="inlineStr">
        <x:is>
          <x:t xml:space="preserve">Encryption In Transit (Ex. TLS Protocols)</x:t>
        </x:is>
      </x:c>
      <x:c r="E47" s="5" t="inlineStr">
        <x:is>
          <x:t xml:space="preserve">Configuration</x:t>
        </x:is>
      </x:c>
      <x:c r="F47" s="5" t="inlineStr">
        <x:is>
          <x:t xml:space="preserve">HITRUST e1.csv</x:t>
        </x:is>
      </x:c>
      <x:c r="G47" s="5" t="inlineStr">
        <x:is>
          <x:t xml:space="preserve">Many:Many</x:t>
        </x:is>
      </x:c>
      <x:c r="H47" s="24" t="inlineStr">
        <x:is>
          <x:t xml:space="preserve">45 CFR § 164.312(e)(2)(ii)</x:t>
        </x:is>
      </x:c>
      <x:c r="I47" s="24" t="inlineStr">
        <x:is>
          <x:t xml:space="preserve">Transmission Security — Encryption</x:t>
        </x:is>
      </x:c>
      <x:c r="J47" s="24" t="inlineStr">
        <x:is>
          <x:t xml:space="preserve">Direct</x:t>
        </x:is>
      </x:c>
      <x:c r="K47" s="24" t="inlineStr">
        <x:is>
          <x:t xml:space="preserve">Transmission-encryption evidence aligns directly to the transmission-security encryption implementation specification.</x:t>
        </x:is>
      </x:c>
      <x:c r="L47"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7" s="24" t="inlineStr">
        <x:is>
          <x:t xml:space="preserve">Used when the shared action item is explicitly in-transit encryption.</x:t>
        </x:is>
      </x:c>
    </x:row>
    <x:row r="48">
      <x:c r="A48" s="5" t="inlineStr">
        <x:is>
          <x:t xml:space="preserve">REQ-33-HIPAA</x:t>
        </x:is>
      </x:c>
      <x:c r="B48" s="5" t="inlineStr">
        <x:is>
          <x:t xml:space="preserve">1013.01r1System.2</x:t>
        </x:is>
      </x:c>
      <x:c r="C48" s="12">
        <x:f>COUNTIFS(Normalized_Tuples!$E:$E,$A48,Normalized_Tuples!$F:$F,$B48)</x:f>
        <x:v>1</x:v>
      </x:c>
      <x:c r="D48" s="5" t="inlineStr">
        <x:is>
          <x:t xml:space="preserve">Encryption In Transit (Ex. TLS Protocols)</x:t>
        </x:is>
      </x:c>
      <x:c r="E48" s="5" t="inlineStr">
        <x:is>
          <x:t xml:space="preserve">Configuration</x:t>
        </x:is>
      </x:c>
      <x:c r="F48" s="5" t="inlineStr">
        <x:is>
          <x:t xml:space="preserve">HITRUST e1.csv</x:t>
        </x:is>
      </x:c>
      <x:c r="G48" s="5" t="inlineStr">
        <x:is>
          <x:t xml:space="preserve">Many:Many</x:t>
        </x:is>
      </x:c>
      <x:c r="H48" s="24" t="inlineStr">
        <x:is>
          <x:t xml:space="preserve">45 CFR § 164.312(e)(2)(ii)</x:t>
        </x:is>
      </x:c>
      <x:c r="I48" s="24" t="inlineStr">
        <x:is>
          <x:t xml:space="preserve">Transmission Security — Encryption</x:t>
        </x:is>
      </x:c>
      <x:c r="J48" s="24" t="inlineStr">
        <x:is>
          <x:t xml:space="preserve">Direct</x:t>
        </x:is>
      </x:c>
      <x:c r="K48" s="24" t="inlineStr">
        <x:is>
          <x:t xml:space="preserve">Transmission-encryption evidence aligns directly to the transmission-security encryption implementation specification.</x:t>
        </x:is>
      </x:c>
      <x:c r="L48"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8" s="24" t="inlineStr">
        <x:is>
          <x:t xml:space="preserve">Used when the shared action item is explicitly in-transit encryption.</x:t>
        </x:is>
      </x:c>
    </x:row>
    <x:row r="49">
      <x:c r="A49" s="5" t="inlineStr">
        <x:is>
          <x:t xml:space="preserve">REQ-33-HIPAA</x:t>
        </x:is>
      </x:c>
      <x:c r="B49" s="5" t="inlineStr">
        <x:is>
          <x:t xml:space="preserve">1903.06d1Organizational.3456711</x:t>
        </x:is>
      </x:c>
      <x:c r="C49" s="12">
        <x:f>COUNTIFS(Normalized_Tuples!$E:$E,$A49,Normalized_Tuples!$F:$F,$B49)</x:f>
        <x:v>1</x:v>
      </x:c>
      <x:c r="D49" s="5" t="inlineStr">
        <x:is>
          <x:t xml:space="preserve">Data Encryption at Rest</x:t>
        </x:is>
      </x:c>
      <x:c r="E49" s="5" t="inlineStr">
        <x:is>
          <x:t xml:space="preserve">Configuration</x:t>
        </x:is>
      </x:c>
      <x:c r="F49" s="5" t="inlineStr">
        <x:is>
          <x:t xml:space="preserve">HITRUST e1.csv</x:t>
        </x:is>
      </x:c>
      <x:c r="G49" s="5" t="inlineStr">
        <x:is>
          <x:t xml:space="preserve">Many:Many</x:t>
        </x:is>
      </x:c>
      <x:c r="H49" s="24" t="inlineStr">
        <x:is>
          <x:t xml:space="preserve">45 CFR § 164.312(a)(2)(iv)</x:t>
        </x:is>
      </x:c>
      <x:c r="I49" s="24" t="inlineStr">
        <x:is>
          <x:t xml:space="preserve">Access Control — Encryption and Decryption</x:t>
        </x:is>
      </x:c>
      <x:c r="J49" s="24" t="inlineStr">
        <x:is>
          <x:t xml:space="preserve">Direct</x:t>
        </x:is>
      </x:c>
      <x:c r="K49" s="24" t="inlineStr">
        <x:is>
          <x:t xml:space="preserve">At-rest encryption evidence aligns directly to the encryption/decryption implementation specification under access control.</x:t>
        </x:is>
      </x:c>
      <x:c r="L49"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49" s="24" t="inlineStr">
        <x:is>
          <x:t xml:space="preserve">Used when the shared action item is explicitly at-rest encryption.</x:t>
        </x:is>
      </x:c>
    </x:row>
    <x:row r="50">
      <x:c r="A50" s="5" t="inlineStr">
        <x:is>
          <x:t xml:space="preserve">REQ-34-HIPAA</x:t>
        </x:is>
      </x:c>
      <x:c r="B50" s="5" t="inlineStr">
        <x:is>
          <x:t xml:space="preserve">04.01x1Organizational.5</x:t>
        </x:is>
      </x:c>
      <x:c r="C50" s="12">
        <x:f>COUNTIFS(Normalized_Tuples!$E:$E,$A50,Normalized_Tuples!$F:$F,$B50)</x:f>
        <x:v>1</x:v>
      </x:c>
      <x:c r="D50" s="5" t="inlineStr">
        <x:is>
          <x:t xml:space="preserve">Data Encryption at Rest</x:t>
        </x:is>
      </x:c>
      <x:c r="E50" s="5" t="inlineStr">
        <x:is>
          <x:t xml:space="preserve">Configuration</x:t>
        </x:is>
      </x:c>
      <x:c r="F50" s="5" t="inlineStr">
        <x:is>
          <x:t xml:space="preserve">HITRUST e1.csv</x:t>
        </x:is>
      </x:c>
      <x:c r="G50" s="5" t="inlineStr">
        <x:is>
          <x:t xml:space="preserve">Many:Many</x:t>
        </x:is>
      </x:c>
      <x:c r="H50" s="24" t="inlineStr">
        <x:is>
          <x:t xml:space="preserve">45 CFR § 164.312(a)(2)(iv)</x:t>
        </x:is>
      </x:c>
      <x:c r="I50" s="24" t="inlineStr">
        <x:is>
          <x:t xml:space="preserve">Access Control — Encryption and Decryption</x:t>
        </x:is>
      </x:c>
      <x:c r="J50" s="24" t="inlineStr">
        <x:is>
          <x:t xml:space="preserve">Direct</x:t>
        </x:is>
      </x:c>
      <x:c r="K50" s="24" t="inlineStr">
        <x:is>
          <x:t xml:space="preserve">Control/action-item context aligns to at-rest encryption.</x:t>
        </x:is>
      </x:c>
      <x:c r="L50"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50" s="24" t="inlineStr">
        <x:is>
          <x:t xml:space="preserve">Used for data-encryption-at-rest rows.</x:t>
        </x:is>
      </x:c>
    </x:row>
    <x:row r="51">
      <x:c r="A51" s="5" t="inlineStr">
        <x:is>
          <x:t xml:space="preserve">REQ-34-HIPAA</x:t>
        </x:is>
      </x:c>
      <x:c r="B51" s="5" t="inlineStr">
        <x:is>
          <x:t xml:space="preserve">07.07a1Organizational.8</x:t>
        </x:is>
      </x:c>
      <x:c r="C51" s="12">
        <x:f>COUNTIFS(Normalized_Tuples!$E:$E,$A51,Normalized_Tuples!$F:$F,$B51)</x:f>
        <x:v>1</x:v>
      </x:c>
      <x:c r="D51" s="5" t="inlineStr">
        <x:is>
          <x:t xml:space="preserve">List of All Production Systems (Servers, VMs, Data Stores)</x:t>
        </x:is>
      </x:c>
      <x:c r="E51" s="5" t="inlineStr">
        <x:is>
          <x:t xml:space="preserve">Configuration</x:t>
        </x:is>
      </x:c>
      <x:c r="F51" s="5" t="inlineStr">
        <x:is>
          <x:t xml:space="preserve">HITRUST e1.csv</x:t>
        </x:is>
      </x:c>
      <x:c r="G51" s="5" t="inlineStr">
        <x:is>
          <x:t xml:space="preserve">Many:Many</x:t>
        </x:is>
      </x:c>
      <x:c r="H51" s="24" t="inlineStr">
        <x:is>
          <x:t xml:space="preserve">45 CFR § 164.308(a)(1)(ii)(A) | 45 CFR § 164.312(a)(2)(iv)</x:t>
        </x:is>
      </x:c>
      <x:c r="I51" s="24" t="inlineStr">
        <x:is>
          <x:t xml:space="preserve">Security Management Process — Risk Analysis | Access Control — Encryption and Decryption</x:t>
        </x:is>
      </x:c>
      <x:c r="J51" s="24" t="inlineStr">
        <x:is>
          <x:t xml:space="preserve">Best-fit composite</x:t>
        </x:is>
      </x:c>
      <x:c r="K51" s="24" t="inlineStr">
        <x:is>
          <x:t xml:space="preserve">System inventory supports scoping/coverage of at-rest encryption and accurate risk analysis.</x:t>
        </x:is>
      </x:c>
      <x:c r="L51"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M51" s="24" t="inlineStr">
        <x:is>
          <x:t xml:space="preserve">Asset inventory is supporting evidence rather than an explicit standalone at-rest-encryption requirement.</x:t>
        </x:is>
      </x:c>
    </x:row>
    <x:row r="52">
      <x:c r="A52" s="5" t="inlineStr">
        <x:is>
          <x:t xml:space="preserve">REQ-34-HIPAA</x:t>
        </x:is>
      </x:c>
      <x:c r="B52" s="5" t="inlineStr">
        <x:is>
          <x:t xml:space="preserve">0701.07a1Organizational.7</x:t>
        </x:is>
      </x:c>
      <x:c r="C52" s="12">
        <x:f>COUNTIFS(Normalized_Tuples!$E:$E,$A52,Normalized_Tuples!$F:$F,$B52)</x:f>
        <x:v>1</x:v>
      </x:c>
      <x:c r="D52" s="5" t="inlineStr">
        <x:is>
          <x:t xml:space="preserve">List of All Production Systems (Servers, VMs, Data Stores)</x:t>
        </x:is>
      </x:c>
      <x:c r="E52" s="5" t="inlineStr">
        <x:is>
          <x:t xml:space="preserve">Configuration</x:t>
        </x:is>
      </x:c>
      <x:c r="F52" s="5" t="inlineStr">
        <x:is>
          <x:t xml:space="preserve">HITRUST e1.csv</x:t>
        </x:is>
      </x:c>
      <x:c r="G52" s="5" t="inlineStr">
        <x:is>
          <x:t xml:space="preserve">Many:Many</x:t>
        </x:is>
      </x:c>
      <x:c r="H52" s="24" t="inlineStr">
        <x:is>
          <x:t xml:space="preserve">45 CFR § 164.308(a)(1)(ii)(A) | 45 CFR § 164.312(a)(2)(iv)</x:t>
        </x:is>
      </x:c>
      <x:c r="I52" s="24" t="inlineStr">
        <x:is>
          <x:t xml:space="preserve">Security Management Process — Risk Analysis | Access Control — Encryption and Decryption</x:t>
        </x:is>
      </x:c>
      <x:c r="J52" s="24" t="inlineStr">
        <x:is>
          <x:t xml:space="preserve">Best-fit composite</x:t>
        </x:is>
      </x:c>
      <x:c r="K52" s="24" t="inlineStr">
        <x:is>
          <x:t xml:space="preserve">System inventory supports scoping/coverage of at-rest encryption and accurate risk analysis.</x:t>
        </x:is>
      </x:c>
      <x:c r="L52"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M52" s="24" t="inlineStr">
        <x:is>
          <x:t xml:space="preserve">Asset inventory is supporting evidence rather than an explicit standalone at-rest-encryption requirement.</x:t>
        </x:is>
      </x:c>
    </x:row>
    <x:row r="53">
      <x:c r="A53" s="5" t="inlineStr">
        <x:is>
          <x:t xml:space="preserve">REQ-34-HIPAA</x:t>
        </x:is>
      </x:c>
      <x:c r="B53" s="5" t="inlineStr">
        <x:is>
          <x:t xml:space="preserve">0701.07a1Organizational.8</x:t>
        </x:is>
      </x:c>
      <x:c r="C53" s="12">
        <x:f>COUNTIFS(Normalized_Tuples!$E:$E,$A53,Normalized_Tuples!$F:$F,$B53)</x:f>
        <x:v>1</x:v>
      </x:c>
      <x:c r="D53" s="5" t="inlineStr">
        <x:is>
          <x:t xml:space="preserve">List of All Production Systems (Servers, VMs, Data Stores)</x:t>
        </x:is>
      </x:c>
      <x:c r="E53" s="5" t="inlineStr">
        <x:is>
          <x:t xml:space="preserve">Configuration</x:t>
        </x:is>
      </x:c>
      <x:c r="F53" s="5" t="inlineStr">
        <x:is>
          <x:t xml:space="preserve">HITRUST e1.csv</x:t>
        </x:is>
      </x:c>
      <x:c r="G53" s="5" t="inlineStr">
        <x:is>
          <x:t xml:space="preserve">Many:Many</x:t>
        </x:is>
      </x:c>
      <x:c r="H53" s="24" t="inlineStr">
        <x:is>
          <x:t xml:space="preserve">45 CFR § 164.308(a)(1)(ii)(A) | 45 CFR § 164.312(a)(2)(iv)</x:t>
        </x:is>
      </x:c>
      <x:c r="I53" s="24" t="inlineStr">
        <x:is>
          <x:t xml:space="preserve">Security Management Process — Risk Analysis | Access Control — Encryption and Decryption</x:t>
        </x:is>
      </x:c>
      <x:c r="J53" s="24" t="inlineStr">
        <x:is>
          <x:t xml:space="preserve">Best-fit composite</x:t>
        </x:is>
      </x:c>
      <x:c r="K53" s="24" t="inlineStr">
        <x:is>
          <x:t xml:space="preserve">System inventory supports scoping/coverage of at-rest encryption and accurate risk analysis.</x:t>
        </x:is>
      </x:c>
      <x:c r="L53" s="24"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M53" s="24" t="inlineStr">
        <x:is>
          <x:t xml:space="preserve">Asset inventory is supporting evidence rather than an explicit standalone at-rest-encryption requirement.</x:t>
        </x:is>
      </x:c>
    </x:row>
    <x:row r="54">
      <x:c r="A54" s="5" t="inlineStr">
        <x:is>
          <x:t xml:space="preserve">REQ-34-HIPAA</x:t>
        </x:is>
      </x:c>
      <x:c r="B54" s="5" t="inlineStr">
        <x:is>
          <x:t xml:space="preserve">1903.06d1Organizational.3456711</x:t>
        </x:is>
      </x:c>
      <x:c r="C54" s="12">
        <x:f>COUNTIFS(Normalized_Tuples!$E:$E,$A54,Normalized_Tuples!$F:$F,$B54)</x:f>
        <x:v>1</x:v>
      </x:c>
      <x:c r="D54" s="5" t="inlineStr">
        <x:is>
          <x:t xml:space="preserve">Data Encryption at Rest</x:t>
        </x:is>
      </x:c>
      <x:c r="E54" s="5" t="inlineStr">
        <x:is>
          <x:t xml:space="preserve">Configuration</x:t>
        </x:is>
      </x:c>
      <x:c r="F54" s="5" t="inlineStr">
        <x:is>
          <x:t xml:space="preserve">HITRUST e1.csv</x:t>
        </x:is>
      </x:c>
      <x:c r="G54" s="5" t="inlineStr">
        <x:is>
          <x:t xml:space="preserve">Many:Many</x:t>
        </x:is>
      </x:c>
      <x:c r="H54" s="24" t="inlineStr">
        <x:is>
          <x:t xml:space="preserve">45 CFR § 164.312(a)(2)(iv)</x:t>
        </x:is>
      </x:c>
      <x:c r="I54" s="24" t="inlineStr">
        <x:is>
          <x:t xml:space="preserve">Access Control — Encryption and Decryption</x:t>
        </x:is>
      </x:c>
      <x:c r="J54" s="24" t="inlineStr">
        <x:is>
          <x:t xml:space="preserve">Direct</x:t>
        </x:is>
      </x:c>
      <x:c r="K54" s="24" t="inlineStr">
        <x:is>
          <x:t xml:space="preserve">Control/action-item context aligns to at-rest encryption.</x:t>
        </x:is>
      </x:c>
      <x:c r="L54"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54" s="24" t="inlineStr">
        <x:is>
          <x:t xml:space="preserve">Used for data-encryption-at-rest rows.</x:t>
        </x:is>
      </x:c>
    </x:row>
    <x:row r="55">
      <x:c r="A55" s="5" t="inlineStr">
        <x:is>
          <x:t xml:space="preserve">REQ-35-HIPAA</x:t>
        </x:is>
      </x:c>
      <x:c r="B55" s="5" t="inlineStr">
        <x:is>
          <x:t xml:space="preserve">0862.09m2Organizational.8</x:t>
        </x:is>
      </x:c>
      <x:c r="C55" s="12">
        <x:f>COUNTIFS(Normalized_Tuples!$E:$E,$A55,Normalized_Tuples!$F:$F,$B55)</x:f>
        <x:v>1</x:v>
      </x:c>
      <x:c r="D55" s="5" t="inlineStr">
        <x:is>
          <x:t xml:space="preserve">Encryption In Transit (Ex. TLS Protocols)</x:t>
        </x:is>
      </x:c>
      <x:c r="E55" s="5" t="inlineStr">
        <x:is>
          <x:t xml:space="preserve">Configuration</x:t>
        </x:is>
      </x:c>
      <x:c r="F55" s="5" t="inlineStr">
        <x:is>
          <x:t xml:space="preserve">HITRUST e1.csv</x:t>
        </x:is>
      </x:c>
      <x:c r="G55" s="5" t="inlineStr">
        <x:is>
          <x:t xml:space="preserve">Many:Many</x:t>
        </x:is>
      </x:c>
      <x:c r="H55" s="24" t="inlineStr">
        <x:is>
          <x:t xml:space="preserve">45 CFR § 164.312(e)(2)(ii)</x:t>
        </x:is>
      </x:c>
      <x:c r="I55" s="24" t="inlineStr">
        <x:is>
          <x:t xml:space="preserve">Transmission Security — Encryption</x:t>
        </x:is>
      </x:c>
      <x:c r="J55" s="24" t="inlineStr">
        <x:is>
          <x:t xml:space="preserve">Direct</x:t>
        </x:is>
      </x:c>
      <x:c r="K55" s="24" t="inlineStr">
        <x:is>
          <x:t xml:space="preserve">Action item explicitly addresses encryption in transit.</x:t>
        </x:is>
      </x:c>
      <x:c r="L55"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5" s="24" t="inlineStr">
        <x:is>
          <x:t xml:space="preserve">Used for transport/TLS evidence.</x:t>
        </x:is>
      </x:c>
    </x:row>
    <x:row r="56">
      <x:c r="A56" s="5" t="inlineStr">
        <x:is>
          <x:t xml:space="preserve">REQ-35-HIPAA</x:t>
        </x:is>
      </x:c>
      <x:c r="B56" s="5" t="inlineStr">
        <x:is>
          <x:t xml:space="preserve">0903.10f1Organizational.1.a</x:t>
        </x:is>
      </x:c>
      <x:c r="C56" s="12">
        <x:f>COUNTIFS(Normalized_Tuples!$E:$E,$A56,Normalized_Tuples!$F:$F,$B56)</x:f>
        <x:v>1</x:v>
      </x:c>
      <x:c r="D56" s="5" t="inlineStr">
        <x:is>
          <x:t xml:space="preserve">Encryption In Transit (Ex. TLS Protocols)</x:t>
        </x:is>
      </x:c>
      <x:c r="E56" s="5" t="inlineStr">
        <x:is>
          <x:t xml:space="preserve">Configuration</x:t>
        </x:is>
      </x:c>
      <x:c r="F56" s="5" t="inlineStr">
        <x:is>
          <x:t xml:space="preserve">HITRUST e1.csv</x:t>
        </x:is>
      </x:c>
      <x:c r="G56" s="5" t="inlineStr">
        <x:is>
          <x:t xml:space="preserve">Many:Many</x:t>
        </x:is>
      </x:c>
      <x:c r="H56" s="24" t="inlineStr">
        <x:is>
          <x:t xml:space="preserve">45 CFR § 164.312(e)(2)(ii)</x:t>
        </x:is>
      </x:c>
      <x:c r="I56" s="24" t="inlineStr">
        <x:is>
          <x:t xml:space="preserve">Transmission Security — Encryption</x:t>
        </x:is>
      </x:c>
      <x:c r="J56" s="24" t="inlineStr">
        <x:is>
          <x:t xml:space="preserve">Direct</x:t>
        </x:is>
      </x:c>
      <x:c r="K56" s="24" t="inlineStr">
        <x:is>
          <x:t xml:space="preserve">Action item explicitly addresses encryption in transit.</x:t>
        </x:is>
      </x:c>
      <x:c r="L56"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6" s="24" t="inlineStr">
        <x:is>
          <x:t xml:space="preserve">Used for transport/TLS evidence.</x:t>
        </x:is>
      </x:c>
    </x:row>
    <x:row r="57">
      <x:c r="A57" s="5" t="inlineStr">
        <x:is>
          <x:t xml:space="preserve">REQ-35-HIPAA</x:t>
        </x:is>
      </x:c>
      <x:c r="B57" s="5" t="inlineStr">
        <x:is>
          <x:t xml:space="preserve">0913.09s1Organizational.5</x:t>
        </x:is>
      </x:c>
      <x:c r="C57" s="12">
        <x:f>COUNTIFS(Normalized_Tuples!$E:$E,$A57,Normalized_Tuples!$F:$F,$B57)</x:f>
        <x:v>1</x:v>
      </x:c>
      <x:c r="D57" s="5" t="inlineStr">
        <x:is>
          <x:t xml:space="preserve">Encryption In Transit (Ex. TLS Protocols)</x:t>
        </x:is>
      </x:c>
      <x:c r="E57" s="5" t="inlineStr">
        <x:is>
          <x:t xml:space="preserve">Configuration</x:t>
        </x:is>
      </x:c>
      <x:c r="F57" s="5" t="inlineStr">
        <x:is>
          <x:t xml:space="preserve">HITRUST e1.csv</x:t>
        </x:is>
      </x:c>
      <x:c r="G57" s="5" t="inlineStr">
        <x:is>
          <x:t xml:space="preserve">Many:Many</x:t>
        </x:is>
      </x:c>
      <x:c r="H57" s="24" t="inlineStr">
        <x:is>
          <x:t xml:space="preserve">45 CFR § 164.312(e)(2)(ii)</x:t>
        </x:is>
      </x:c>
      <x:c r="I57" s="24" t="inlineStr">
        <x:is>
          <x:t xml:space="preserve">Transmission Security — Encryption</x:t>
        </x:is>
      </x:c>
      <x:c r="J57" s="24" t="inlineStr">
        <x:is>
          <x:t xml:space="preserve">Direct</x:t>
        </x:is>
      </x:c>
      <x:c r="K57" s="24" t="inlineStr">
        <x:is>
          <x:t xml:space="preserve">Action item explicitly addresses encryption in transit.</x:t>
        </x:is>
      </x:c>
      <x:c r="L57"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7" s="24" t="inlineStr">
        <x:is>
          <x:t xml:space="preserve">Used for transport/TLS evidence.</x:t>
        </x:is>
      </x:c>
    </x:row>
    <x:row r="58">
      <x:c r="A58" s="5" t="inlineStr">
        <x:is>
          <x:t xml:space="preserve">REQ-35-HIPAA</x:t>
        </x:is>
      </x:c>
      <x:c r="B58" s="5" t="inlineStr">
        <x:is>
          <x:t xml:space="preserve">0928.09v2Organizational.1</x:t>
        </x:is>
      </x:c>
      <x:c r="C58" s="12">
        <x:f>COUNTIFS(Normalized_Tuples!$E:$E,$A58,Normalized_Tuples!$F:$F,$B58)</x:f>
        <x:v>1</x:v>
      </x:c>
      <x:c r="D58" s="5" t="inlineStr">
        <x:is>
          <x:t xml:space="preserve">Encryption In Transit (Ex. TLS Protocols)</x:t>
        </x:is>
      </x:c>
      <x:c r="E58" s="5" t="inlineStr">
        <x:is>
          <x:t xml:space="preserve">Configuration</x:t>
        </x:is>
      </x:c>
      <x:c r="F58" s="5" t="inlineStr">
        <x:is>
          <x:t xml:space="preserve">HITRUST e1.csv</x:t>
        </x:is>
      </x:c>
      <x:c r="G58" s="5" t="inlineStr">
        <x:is>
          <x:t xml:space="preserve">Many:Many</x:t>
        </x:is>
      </x:c>
      <x:c r="H58" s="24" t="inlineStr">
        <x:is>
          <x:t xml:space="preserve">45 CFR § 164.312(e)(2)(ii)</x:t>
        </x:is>
      </x:c>
      <x:c r="I58" s="24" t="inlineStr">
        <x:is>
          <x:t xml:space="preserve">Transmission Security — Encryption</x:t>
        </x:is>
      </x:c>
      <x:c r="J58" s="24" t="inlineStr">
        <x:is>
          <x:t xml:space="preserve">Direct</x:t>
        </x:is>
      </x:c>
      <x:c r="K58" s="24" t="inlineStr">
        <x:is>
          <x:t xml:space="preserve">Action item explicitly addresses encryption in transit.</x:t>
        </x:is>
      </x:c>
      <x:c r="L58"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8" s="24" t="inlineStr">
        <x:is>
          <x:t xml:space="preserve">Used for transport/TLS evidence.</x:t>
        </x:is>
      </x:c>
    </x:row>
    <x:row r="59">
      <x:c r="A59" s="5" t="inlineStr">
        <x:is>
          <x:t xml:space="preserve">REQ-35-HIPAA</x:t>
        </x:is>
      </x:c>
      <x:c r="B59" s="5" t="inlineStr">
        <x:is>
          <x:t xml:space="preserve">0945.09y1Organizational.3</x:t>
        </x:is>
      </x:c>
      <x:c r="C59" s="12">
        <x:f>COUNTIFS(Normalized_Tuples!$E:$E,$A59,Normalized_Tuples!$F:$F,$B59)</x:f>
        <x:v>1</x:v>
      </x:c>
      <x:c r="D59" s="5" t="inlineStr">
        <x:is>
          <x:t xml:space="preserve">Encryption In Transit (Ex. TLS Protocols)</x:t>
        </x:is>
      </x:c>
      <x:c r="E59" s="5" t="inlineStr">
        <x:is>
          <x:t xml:space="preserve">Configuration</x:t>
        </x:is>
      </x:c>
      <x:c r="F59" s="5" t="inlineStr">
        <x:is>
          <x:t xml:space="preserve">HITRUST e1.csv</x:t>
        </x:is>
      </x:c>
      <x:c r="G59" s="5" t="inlineStr">
        <x:is>
          <x:t xml:space="preserve">Many:Many</x:t>
        </x:is>
      </x:c>
      <x:c r="H59" s="24" t="inlineStr">
        <x:is>
          <x:t xml:space="preserve">45 CFR § 164.312(e)(2)(ii)</x:t>
        </x:is>
      </x:c>
      <x:c r="I59" s="24" t="inlineStr">
        <x:is>
          <x:t xml:space="preserve">Transmission Security — Encryption</x:t>
        </x:is>
      </x:c>
      <x:c r="J59" s="24" t="inlineStr">
        <x:is>
          <x:t xml:space="preserve">Direct</x:t>
        </x:is>
      </x:c>
      <x:c r="K59" s="24" t="inlineStr">
        <x:is>
          <x:t xml:space="preserve">Action item explicitly addresses encryption in transit.</x:t>
        </x:is>
      </x:c>
      <x:c r="L59"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9" s="24" t="inlineStr">
        <x:is>
          <x:t xml:space="preserve">Used for transport/TLS evidence.</x:t>
        </x:is>
      </x:c>
    </x:row>
    <x:row r="60">
      <x:c r="A60" s="5" t="inlineStr">
        <x:is>
          <x:t xml:space="preserve">REQ-35-HIPAA</x:t>
        </x:is>
      </x:c>
      <x:c r="B60" s="5" t="inlineStr">
        <x:is>
          <x:t xml:space="preserve">0954.10d1System.1</x:t>
        </x:is>
      </x:c>
      <x:c r="C60" s="12">
        <x:f>COUNTIFS(Normalized_Tuples!$E:$E,$A60,Normalized_Tuples!$F:$F,$B60)</x:f>
        <x:v>1</x:v>
      </x:c>
      <x:c r="D60" s="5" t="inlineStr">
        <x:is>
          <x:t xml:space="preserve">Encryption In Transit (Ex. TLS Protocols)</x:t>
        </x:is>
      </x:c>
      <x:c r="E60" s="5" t="inlineStr">
        <x:is>
          <x:t xml:space="preserve">Configuration</x:t>
        </x:is>
      </x:c>
      <x:c r="F60" s="5" t="inlineStr">
        <x:is>
          <x:t xml:space="preserve">HITRUST e1.csv</x:t>
        </x:is>
      </x:c>
      <x:c r="G60" s="5" t="inlineStr">
        <x:is>
          <x:t xml:space="preserve">Many:Many</x:t>
        </x:is>
      </x:c>
      <x:c r="H60" s="24" t="inlineStr">
        <x:is>
          <x:t xml:space="preserve">45 CFR § 164.312(e)(2)(ii)</x:t>
        </x:is>
      </x:c>
      <x:c r="I60" s="24" t="inlineStr">
        <x:is>
          <x:t xml:space="preserve">Transmission Security — Encryption</x:t>
        </x:is>
      </x:c>
      <x:c r="J60" s="24" t="inlineStr">
        <x:is>
          <x:t xml:space="preserve">Direct</x:t>
        </x:is>
      </x:c>
      <x:c r="K60" s="24" t="inlineStr">
        <x:is>
          <x:t xml:space="preserve">Action item explicitly addresses encryption in transit.</x:t>
        </x:is>
      </x:c>
      <x:c r="L60"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60" s="24" t="inlineStr">
        <x:is>
          <x:t xml:space="preserve">Used for transport/TLS evidence.</x:t>
        </x:is>
      </x:c>
    </x:row>
    <x:row r="61">
      <x:c r="A61" s="5" t="inlineStr">
        <x:is>
          <x:t xml:space="preserve">REQ-35-HIPAA</x:t>
        </x:is>
      </x:c>
      <x:c r="B61" s="5" t="inlineStr">
        <x:is>
          <x:t xml:space="preserve">1013.01r1System.2</x:t>
        </x:is>
      </x:c>
      <x:c r="C61" s="12">
        <x:f>COUNTIFS(Normalized_Tuples!$E:$E,$A61,Normalized_Tuples!$F:$F,$B61)</x:f>
        <x:v>1</x:v>
      </x:c>
      <x:c r="D61" s="5" t="inlineStr">
        <x:is>
          <x:t xml:space="preserve">Encryption In Transit (Ex. TLS Protocols)</x:t>
        </x:is>
      </x:c>
      <x:c r="E61" s="5" t="inlineStr">
        <x:is>
          <x:t xml:space="preserve">Configuration</x:t>
        </x:is>
      </x:c>
      <x:c r="F61" s="5" t="inlineStr">
        <x:is>
          <x:t xml:space="preserve">HITRUST e1.csv</x:t>
        </x:is>
      </x:c>
      <x:c r="G61" s="5" t="inlineStr">
        <x:is>
          <x:t xml:space="preserve">Many:Many</x:t>
        </x:is>
      </x:c>
      <x:c r="H61" s="24" t="inlineStr">
        <x:is>
          <x:t xml:space="preserve">45 CFR § 164.312(e)(2)(ii)</x:t>
        </x:is>
      </x:c>
      <x:c r="I61" s="24" t="inlineStr">
        <x:is>
          <x:t xml:space="preserve">Transmission Security — Encryption</x:t>
        </x:is>
      </x:c>
      <x:c r="J61" s="24" t="inlineStr">
        <x:is>
          <x:t xml:space="preserve">Direct</x:t>
        </x:is>
      </x:c>
      <x:c r="K61" s="24" t="inlineStr">
        <x:is>
          <x:t xml:space="preserve">Action item explicitly addresses encryption in transit.</x:t>
        </x:is>
      </x:c>
      <x:c r="L61" s="24"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61" s="24" t="inlineStr">
        <x:is>
          <x:t xml:space="preserve">Used for transport/TLS evidence.</x:t>
        </x:is>
      </x:c>
    </x:row>
    <x:row r="62">
      <x:c r="A62" s="5" t="inlineStr">
        <x:is>
          <x:t xml:space="preserve">REQ-35-HIPAA</x:t>
        </x:is>
      </x:c>
      <x:c r="B62" s="5" t="inlineStr">
        <x:is>
          <x:t xml:space="preserve">1903.06d1Organizational.3456711</x:t>
        </x:is>
      </x:c>
      <x:c r="C62" s="12">
        <x:f>COUNTIFS(Normalized_Tuples!$E:$E,$A62,Normalized_Tuples!$F:$F,$B62)</x:f>
        <x:v>1</x:v>
      </x:c>
      <x:c r="D62" s="5" t="inlineStr">
        <x:is>
          <x:t xml:space="preserve">Data Encryption at Rest</x:t>
        </x:is>
      </x:c>
      <x:c r="E62" s="5" t="inlineStr">
        <x:is>
          <x:t xml:space="preserve">Configuration</x:t>
        </x:is>
      </x:c>
      <x:c r="F62" s="5" t="inlineStr">
        <x:is>
          <x:t xml:space="preserve">HITRUST e1.csv</x:t>
        </x:is>
      </x:c>
      <x:c r="G62" s="5" t="inlineStr">
        <x:is>
          <x:t xml:space="preserve">Many:Many</x:t>
        </x:is>
      </x:c>
      <x:c r="H62" s="24" t="inlineStr">
        <x:is>
          <x:t xml:space="preserve">45 CFR § 164.312(a)(2)(iv)</x:t>
        </x:is>
      </x:c>
      <x:c r="I62" s="24" t="inlineStr">
        <x:is>
          <x:t xml:space="preserve">Access Control — Encryption and Decryption</x:t>
        </x:is>
      </x:c>
      <x:c r="J62" s="24" t="inlineStr">
        <x:is>
          <x:t xml:space="preserve">Best-fit</x:t>
        </x:is>
      </x:c>
      <x:c r="K62" s="24" t="inlineStr">
        <x:is>
          <x:t xml:space="preserve">This internal control ID also appears on an at-rest encryption row in the source spreadsheets, so the row context points to at-rest encryption even though the same control family also covers transmission encryption elsewhere.</x:t>
        </x:is>
      </x:c>
      <x:c r="L62" s="24"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62" s="24" t="inlineStr">
        <x:is>
          <x:t xml:space="preserve">Row-context mapping takes precedence over the broader internal control family.</x:t>
        </x:is>
      </x:c>
    </x:row>
    <x:row r="63">
      <x:c r="A63" s="5" t="inlineStr">
        <x:is>
          <x:t xml:space="preserve">REQ-36-HIPAA</x:t>
        </x:is>
      </x:c>
      <x:c r="B63" s="5" t="inlineStr">
        <x:is>
          <x:t xml:space="preserve">0504.09m1Organizational.13</x:t>
        </x:is>
      </x:c>
      <x:c r="C63" s="12">
        <x:f>COUNTIFS(Normalized_Tuples!$E:$E,$A63,Normalized_Tuples!$F:$F,$B63)</x:f>
        <x:v>1</x:v>
      </x:c>
      <x:c r="D63" s="5" t="inlineStr">
        <x:is>
          <x:t xml:space="preserve">Network Diagram and Segmentation</x:t>
        </x:is>
      </x:c>
      <x:c r="E63" s="5" t="inlineStr">
        <x:is>
          <x:t xml:space="preserve">Configuration</x:t>
        </x:is>
      </x:c>
      <x:c r="F63" s="5" t="inlineStr">
        <x:is>
          <x:t xml:space="preserve">HITRUST e1.csv</x:t>
        </x:is>
      </x:c>
      <x:c r="G63" s="5" t="inlineStr">
        <x:is>
          <x:t xml:space="preserve">1:Many</x:t>
        </x:is>
      </x:c>
      <x:c r="H63" s="24" t="inlineStr">
        <x:is>
          <x:t xml:space="preserve">45 CFR § 164.312(a)(1)</x:t>
        </x:is>
      </x:c>
      <x:c r="I63" s="24" t="inlineStr">
        <x:is>
          <x:t xml:space="preserve">Access Control</x:t>
        </x:is>
      </x:c>
      <x:c r="J63" s="24" t="inlineStr">
        <x:is>
          <x:t xml:space="preserve">Best-fit</x:t>
        </x:is>
      </x:c>
      <x:c r="K63" s="24" t="inlineStr">
        <x:is>
          <x:t xml:space="preserve">HIPAA does not explicitly name network segmentation, but OCR guidance and enforcement materials cite segmentation as a way to implement access control between systems.</x:t>
        </x:is>
      </x:c>
      <x:c r="L63" s="24"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M63" s="24" t="inlineStr">
        <x:is>
          <x:t xml:space="preserve">Mapped as an access-control implementation example rather than a standalone named HIPAA implementation specification.</x:t>
        </x:is>
      </x:c>
    </x:row>
    <x:row r="64">
      <x:c r="A64" s="5" t="inlineStr">
        <x:is>
          <x:t xml:space="preserve">REQ-36-HIPAA</x:t>
        </x:is>
      </x:c>
      <x:c r="B64" s="5" t="inlineStr">
        <x:is>
          <x:t xml:space="preserve">0805.01m1Organizational.12</x:t>
        </x:is>
      </x:c>
      <x:c r="C64" s="12">
        <x:f>COUNTIFS(Normalized_Tuples!$E:$E,$A64,Normalized_Tuples!$F:$F,$B64)</x:f>
        <x:v>1</x:v>
      </x:c>
      <x:c r="D64" s="5" t="inlineStr">
        <x:is>
          <x:t xml:space="preserve">Network Diagram and Segmentation</x:t>
        </x:is>
      </x:c>
      <x:c r="E64" s="5" t="inlineStr">
        <x:is>
          <x:t xml:space="preserve">Configuration</x:t>
        </x:is>
      </x:c>
      <x:c r="F64" s="5" t="inlineStr">
        <x:is>
          <x:t xml:space="preserve">HITRUST e1.csv</x:t>
        </x:is>
      </x:c>
      <x:c r="G64" s="5" t="inlineStr">
        <x:is>
          <x:t xml:space="preserve">1:Many</x:t>
        </x:is>
      </x:c>
      <x:c r="H64" s="24" t="inlineStr">
        <x:is>
          <x:t xml:space="preserve">45 CFR § 164.312(a)(1)</x:t>
        </x:is>
      </x:c>
      <x:c r="I64" s="24" t="inlineStr">
        <x:is>
          <x:t xml:space="preserve">Access Control</x:t>
        </x:is>
      </x:c>
      <x:c r="J64" s="24" t="inlineStr">
        <x:is>
          <x:t xml:space="preserve">Best-fit</x:t>
        </x:is>
      </x:c>
      <x:c r="K64" s="24" t="inlineStr">
        <x:is>
          <x:t xml:space="preserve">HIPAA does not explicitly name network segmentation, but OCR guidance and enforcement materials cite segmentation as a way to implement access control between systems.</x:t>
        </x:is>
      </x:c>
      <x:c r="L64" s="24"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M64" s="24" t="inlineStr">
        <x:is>
          <x:t xml:space="preserve">Mapped as an access-control implementation example rather than a standalone named HIPAA implementation specification.</x:t>
        </x:is>
      </x:c>
    </x:row>
    <x:row r="65">
      <x:c r="A65" s="5" t="inlineStr">
        <x:is>
          <x:t xml:space="preserve">REQ-37-HIPAA</x:t>
        </x:is>
      </x:c>
      <x:c r="B65" s="5" t="inlineStr">
        <x:is>
          <x:t xml:space="preserve">0265.09m1Organizational.2</x:t>
        </x:is>
      </x:c>
      <x:c r="C65" s="12">
        <x:f>COUNTIFS(Normalized_Tuples!$E:$E,$A65,Normalized_Tuples!$F:$F,$B65)</x:f>
        <x:v>1</x:v>
      </x:c>
      <x:c r="D65" s="5" t="inlineStr">
        <x:is>
          <x:t xml:space="preserve">Firewall Rules/Security Groups</x:t>
        </x:is>
      </x:c>
      <x:c r="E65" s="5" t="inlineStr">
        <x:is>
          <x:t xml:space="preserve">Configuration</x:t>
        </x:is>
      </x:c>
      <x:c r="F65" s="5" t="inlineStr">
        <x:is>
          <x:t xml:space="preserve">HITRUST e1.csv</x:t>
        </x:is>
      </x:c>
      <x:c r="G65" s="5" t="inlineStr">
        <x:is>
          <x:t xml:space="preserve">1:Many</x:t>
        </x:is>
      </x:c>
      <x:c r="H65" s="24" t="inlineStr">
        <x:is>
          <x:t xml:space="preserve">45 CFR § 164.312(a)(1)</x:t>
        </x:is>
      </x:c>
      <x:c r="I65" s="24" t="inlineStr">
        <x:is>
          <x:t xml:space="preserve">Access Control</x:t>
        </x:is>
      </x:c>
      <x:c r="J65" s="24" t="inlineStr">
        <x:is>
          <x:t xml:space="preserve">Best-fit</x:t>
        </x:is>
      </x:c>
      <x:c r="K65" s="24" t="inlineStr">
        <x:is>
          <x:t xml:space="preserve">Firewall rules/security groups are a technical means of enforcing access restrictions around systems containing ePHI.</x:t>
        </x:is>
      </x:c>
      <x:c r="L65" s="24"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M65" s="24" t="inlineStr">
        <x:is>
          <x:t xml:space="preserve">Mapped to the broad access-control standard because HIPAA does not list firewall rules as a separate named specification.</x:t>
        </x:is>
      </x:c>
    </x:row>
    <x:row r="66">
      <x:c r="A66" s="5" t="inlineStr">
        <x:is>
          <x:t xml:space="preserve">REQ-37-HIPAA</x:t>
        </x:is>
      </x:c>
      <x:c r="B66" s="5" t="inlineStr">
        <x:is>
          <x:t xml:space="preserve">0805.01m1Organizational.12</x:t>
        </x:is>
      </x:c>
      <x:c r="C66" s="12">
        <x:f>COUNTIFS(Normalized_Tuples!$E:$E,$A66,Normalized_Tuples!$F:$F,$B66)</x:f>
        <x:v>1</x:v>
      </x:c>
      <x:c r="D66" s="5" t="inlineStr">
        <x:is>
          <x:t xml:space="preserve">Firewall Rules/Security Groups</x:t>
        </x:is>
      </x:c>
      <x:c r="E66" s="5" t="inlineStr">
        <x:is>
          <x:t xml:space="preserve">Configuration</x:t>
        </x:is>
      </x:c>
      <x:c r="F66" s="5" t="inlineStr">
        <x:is>
          <x:t xml:space="preserve">HITRUST e1.csv</x:t>
        </x:is>
      </x:c>
      <x:c r="G66" s="5" t="inlineStr">
        <x:is>
          <x:t xml:space="preserve">1:Many</x:t>
        </x:is>
      </x:c>
      <x:c r="H66" s="24" t="inlineStr">
        <x:is>
          <x:t xml:space="preserve">45 CFR § 164.312(a)(1)</x:t>
        </x:is>
      </x:c>
      <x:c r="I66" s="24" t="inlineStr">
        <x:is>
          <x:t xml:space="preserve">Access Control</x:t>
        </x:is>
      </x:c>
      <x:c r="J66" s="24" t="inlineStr">
        <x:is>
          <x:t xml:space="preserve">Best-fit</x:t>
        </x:is>
      </x:c>
      <x:c r="K66" s="24" t="inlineStr">
        <x:is>
          <x:t xml:space="preserve">Firewall rules/security groups are a technical means of enforcing access restrictions around systems containing ePHI.</x:t>
        </x:is>
      </x:c>
      <x:c r="L66" s="24"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M66" s="24" t="inlineStr">
        <x:is>
          <x:t xml:space="preserve">Mapped to the broad access-control standard because HIPAA does not list firewall rules as a separate named specification.</x:t>
        </x:is>
      </x:c>
    </x:row>
    <x:row r="67">
      <x:c r="A67" s="5" t="inlineStr">
        <x:is>
          <x:t xml:space="preserve">REQ-38-HIPAA</x:t>
        </x:is>
      </x:c>
      <x:c r="B67" s="5" t="inlineStr">
        <x:is>
          <x:t xml:space="preserve">0207.09j1Organizational.6</x:t>
        </x:is>
      </x:c>
      <x:c r="C67" s="12">
        <x:f>COUNTIFS(Normalized_Tuples!$E:$E,$A67,Normalized_Tuples!$F:$F,$B67)</x:f>
        <x:v>1</x:v>
      </x:c>
      <x:c r="D67" s="5" t="inlineStr">
        <x:is>
          <x:t xml:space="preserve">Anti-malware and Alerts</x:t>
        </x:is>
      </x:c>
      <x:c r="E67" s="5" t="inlineStr">
        <x:is>
          <x:t xml:space="preserve">Configuration</x:t>
        </x:is>
      </x:c>
      <x:c r="F67" s="5" t="inlineStr">
        <x:is>
          <x:t xml:space="preserve">HITRUST e1.csv</x:t>
        </x:is>
      </x:c>
      <x:c r="G67" s="5" t="inlineStr">
        <x:is>
          <x:t xml:space="preserve">1:Many</x:t>
        </x:is>
      </x:c>
      <x:c r="H67" s="24" t="inlineStr">
        <x:is>
          <x:t xml:space="preserve">45 CFR § 164.308(a)(5)(ii)(B)</x:t>
        </x:is>
      </x:c>
      <x:c r="I67" s="24" t="inlineStr">
        <x:is>
          <x:t xml:space="preserve">Security Awareness and Training — Protection from Malicious Software</x:t>
        </x:is>
      </x:c>
      <x:c r="J67" s="24" t="inlineStr">
        <x:is>
          <x:t xml:space="preserve">Direct</x:t>
        </x:is>
      </x:c>
      <x:c r="K67" s="24" t="inlineStr">
        <x:is>
          <x:t xml:space="preserve">Anti-malware evidence aligns directly to guarding against, detecting, and reporting malicious software.</x:t>
        </x:is>
      </x:c>
      <x:c r="L67"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67" s="24" t="inlineStr">
        <x:is>
          <x:t xml:space="preserve">Alerts are treated as part of guarding against/detecting malicious software.</x:t>
        </x:is>
      </x:c>
    </x:row>
    <x:row r="68">
      <x:c r="A68" s="5" t="inlineStr">
        <x:is>
          <x:t xml:space="preserve">REQ-38-HIPAA</x:t>
        </x:is>
      </x:c>
      <x:c r="B68" s="5" t="inlineStr">
        <x:is>
          <x:t xml:space="preserve">0226.09k1Organizational.2</x:t>
        </x:is>
      </x:c>
      <x:c r="C68" s="12">
        <x:f>COUNTIFS(Normalized_Tuples!$E:$E,$A68,Normalized_Tuples!$F:$F,$B68)</x:f>
        <x:v>1</x:v>
      </x:c>
      <x:c r="D68" s="5" t="inlineStr">
        <x:is>
          <x:t xml:space="preserve">Anti-malware and Alerts</x:t>
        </x:is>
      </x:c>
      <x:c r="E68" s="5" t="inlineStr">
        <x:is>
          <x:t xml:space="preserve">Configuration</x:t>
        </x:is>
      </x:c>
      <x:c r="F68" s="5" t="inlineStr">
        <x:is>
          <x:t xml:space="preserve">HITRUST e1.csv</x:t>
        </x:is>
      </x:c>
      <x:c r="G68" s="5" t="inlineStr">
        <x:is>
          <x:t xml:space="preserve">1:Many</x:t>
        </x:is>
      </x:c>
      <x:c r="H68" s="24" t="inlineStr">
        <x:is>
          <x:t xml:space="preserve">45 CFR § 164.308(a)(5)(ii)(B)</x:t>
        </x:is>
      </x:c>
      <x:c r="I68" s="24" t="inlineStr">
        <x:is>
          <x:t xml:space="preserve">Security Awareness and Training — Protection from Malicious Software</x:t>
        </x:is>
      </x:c>
      <x:c r="J68" s="24" t="inlineStr">
        <x:is>
          <x:t xml:space="preserve">Direct</x:t>
        </x:is>
      </x:c>
      <x:c r="K68" s="24" t="inlineStr">
        <x:is>
          <x:t xml:space="preserve">Anti-malware evidence aligns directly to guarding against, detecting, and reporting malicious software.</x:t>
        </x:is>
      </x:c>
      <x:c r="L68"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68" s="24" t="inlineStr">
        <x:is>
          <x:t xml:space="preserve">Alerts are treated as part of guarding against/detecting malicious software.</x:t>
        </x:is>
      </x:c>
    </x:row>
    <x:row r="69">
      <x:c r="A69" s="5" t="inlineStr">
        <x:is>
          <x:t xml:space="preserve">REQ-38-HIPAA</x:t>
        </x:is>
      </x:c>
      <x:c r="B69" s="5" t="inlineStr">
        <x:is>
          <x:t xml:space="preserve">02962.09j1Organizational.5</x:t>
        </x:is>
      </x:c>
      <x:c r="C69" s="12">
        <x:f>COUNTIFS(Normalized_Tuples!$E:$E,$A69,Normalized_Tuples!$F:$F,$B69)</x:f>
        <x:v>1</x:v>
      </x:c>
      <x:c r="D69" s="5" t="inlineStr">
        <x:is>
          <x:t xml:space="preserve">Anti-malware and Alerts</x:t>
        </x:is>
      </x:c>
      <x:c r="E69" s="5" t="inlineStr">
        <x:is>
          <x:t xml:space="preserve">Configuration</x:t>
        </x:is>
      </x:c>
      <x:c r="F69" s="5" t="inlineStr">
        <x:is>
          <x:t xml:space="preserve">HITRUST e1.csv</x:t>
        </x:is>
      </x:c>
      <x:c r="G69" s="5" t="inlineStr">
        <x:is>
          <x:t xml:space="preserve">1:Many</x:t>
        </x:is>
      </x:c>
      <x:c r="H69" s="24" t="inlineStr">
        <x:is>
          <x:t xml:space="preserve">45 CFR § 164.308(a)(5)(ii)(B)</x:t>
        </x:is>
      </x:c>
      <x:c r="I69" s="24" t="inlineStr">
        <x:is>
          <x:t xml:space="preserve">Security Awareness and Training — Protection from Malicious Software</x:t>
        </x:is>
      </x:c>
      <x:c r="J69" s="24" t="inlineStr">
        <x:is>
          <x:t xml:space="preserve">Direct</x:t>
        </x:is>
      </x:c>
      <x:c r="K69" s="24" t="inlineStr">
        <x:is>
          <x:t xml:space="preserve">Anti-malware evidence aligns directly to guarding against, detecting, and reporting malicious software.</x:t>
        </x:is>
      </x:c>
      <x:c r="L69"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69" s="24" t="inlineStr">
        <x:is>
          <x:t xml:space="preserve">Alerts are treated as part of guarding against/detecting malicious software.</x:t>
        </x:is>
      </x:c>
    </x:row>
    <x:row r="70">
      <x:c r="A70" s="5" t="inlineStr">
        <x:is>
          <x:t xml:space="preserve">REQ-38-HIPAA</x:t>
        </x:is>
      </x:c>
      <x:c r="B70" s="5" t="inlineStr">
        <x:is>
          <x:t xml:space="preserve">08.09m1Organizational.8</x:t>
        </x:is>
      </x:c>
      <x:c r="C70" s="12">
        <x:f>COUNTIFS(Normalized_Tuples!$E:$E,$A70,Normalized_Tuples!$F:$F,$B70)</x:f>
        <x:v>1</x:v>
      </x:c>
      <x:c r="D70" s="5" t="inlineStr">
        <x:is>
          <x:t xml:space="preserve">Anti-malware and Alerts</x:t>
        </x:is>
      </x:c>
      <x:c r="E70" s="5" t="inlineStr">
        <x:is>
          <x:t xml:space="preserve">Configuration</x:t>
        </x:is>
      </x:c>
      <x:c r="F70" s="5" t="inlineStr">
        <x:is>
          <x:t xml:space="preserve">HITRUST e1.csv</x:t>
        </x:is>
      </x:c>
      <x:c r="G70" s="5" t="inlineStr">
        <x:is>
          <x:t xml:space="preserve">1:Many</x:t>
        </x:is>
      </x:c>
      <x:c r="H70" s="24" t="inlineStr">
        <x:is>
          <x:t xml:space="preserve">45 CFR § 164.308(a)(5)(ii)(B)</x:t>
        </x:is>
      </x:c>
      <x:c r="I70" s="24" t="inlineStr">
        <x:is>
          <x:t xml:space="preserve">Security Awareness and Training — Protection from Malicious Software</x:t>
        </x:is>
      </x:c>
      <x:c r="J70" s="24" t="inlineStr">
        <x:is>
          <x:t xml:space="preserve">Direct</x:t>
        </x:is>
      </x:c>
      <x:c r="K70" s="24" t="inlineStr">
        <x:is>
          <x:t xml:space="preserve">Anti-malware evidence aligns directly to guarding against, detecting, and reporting malicious software.</x:t>
        </x:is>
      </x:c>
      <x:c r="L70" s="24"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70" s="24" t="inlineStr">
        <x:is>
          <x:t xml:space="preserve">Alerts are treated as part of guarding against/detecting malicious software.</x:t>
        </x:is>
      </x:c>
    </x:row>
    <x:row r="71">
      <x:c r="A71" s="5" t="inlineStr">
        <x:is>
          <x:t xml:space="preserve">REQ-43-HIPAA</x:t>
        </x:is>
      </x:c>
      <x:c r="B71" s="5" t="inlineStr">
        <x:is>
          <x:t xml:space="preserve">07.07a1Organizational.8</x:t>
        </x:is>
      </x:c>
      <x:c r="C71" s="12">
        <x:f>COUNTIFS(Normalized_Tuples!$E:$E,$A71,Normalized_Tuples!$F:$F,$B71)</x:f>
        <x:v>1</x:v>
      </x:c>
      <x:c r="D71" s="5" t="inlineStr">
        <x:is>
          <x:t xml:space="preserve">List of All Production Systems (Servers, VMs, Data Stores)</x:t>
        </x:is>
      </x:c>
      <x:c r="E71" s="5" t="inlineStr">
        <x:is>
          <x:t xml:space="preserve">Configuration</x:t>
        </x:is>
      </x:c>
      <x:c r="F71" s="5" t="inlineStr">
        <x:is>
          <x:t xml:space="preserve">HITRUST e1.csv</x:t>
        </x:is>
      </x:c>
      <x:c r="G71" s="5" t="inlineStr">
        <x:is>
          <x:t xml:space="preserve">Many:Many</x:t>
        </x:is>
      </x:c>
      <x:c r="H71" s="24" t="inlineStr">
        <x:is>
          <x:t xml:space="preserve">45 CFR § 164.308(a)(1)(ii)(A) | 45 CFR § 164.308(a)(1)(ii)(B)</x:t>
        </x:is>
      </x:c>
      <x:c r="I71" s="24" t="inlineStr">
        <x:is>
          <x:t xml:space="preserve">Security Management Process — Risk Analysis | Security Management Process — Risk Management</x:t>
        </x:is>
      </x:c>
      <x:c r="J71" s="24" t="inlineStr">
        <x:is>
          <x:t xml:space="preserve">Best-fit composite</x:t>
        </x:is>
      </x:c>
      <x:c r="K71" s="24" t="inlineStr">
        <x:is>
          <x:t xml:space="preserve">A production-systems inventory is supporting evidence for patch coverage and vulnerability scoping under risk analysis/risk management.</x:t>
        </x:is>
      </x:c>
      <x:c r="L71" s="24"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M71" s="24" t="inlineStr">
        <x:is>
          <x:t xml:space="preserve">OCR guidance treats a technology asset inventory as a valuable tool for accurate and thorough risk analysis.</x:t>
        </x:is>
      </x:c>
    </x:row>
    <x:row r="72">
      <x:c r="A72" s="5" t="inlineStr">
        <x:is>
          <x:t xml:space="preserve">REQ-43-HIPAA</x:t>
        </x:is>
      </x:c>
      <x:c r="B72" s="5" t="inlineStr">
        <x:is>
          <x:t xml:space="preserve">0701.07a1Organizational.7</x:t>
        </x:is>
      </x:c>
      <x:c r="C72" s="12">
        <x:f>COUNTIFS(Normalized_Tuples!$E:$E,$A72,Normalized_Tuples!$F:$F,$B72)</x:f>
        <x:v>1</x:v>
      </x:c>
      <x:c r="D72" s="5" t="inlineStr">
        <x:is>
          <x:t xml:space="preserve">List of All Production Systems (Servers, VMs, Data Stores)</x:t>
        </x:is>
      </x:c>
      <x:c r="E72" s="5" t="inlineStr">
        <x:is>
          <x:t xml:space="preserve">Configuration</x:t>
        </x:is>
      </x:c>
      <x:c r="F72" s="5" t="inlineStr">
        <x:is>
          <x:t xml:space="preserve">HITRUST e1.csv</x:t>
        </x:is>
      </x:c>
      <x:c r="G72" s="5" t="inlineStr">
        <x:is>
          <x:t xml:space="preserve">Many:Many</x:t>
        </x:is>
      </x:c>
      <x:c r="H72" s="24" t="inlineStr">
        <x:is>
          <x:t xml:space="preserve">45 CFR § 164.308(a)(1)(ii)(A) | 45 CFR § 164.308(a)(1)(ii)(B)</x:t>
        </x:is>
      </x:c>
      <x:c r="I72" s="24" t="inlineStr">
        <x:is>
          <x:t xml:space="preserve">Security Management Process — Risk Analysis | Security Management Process — Risk Management</x:t>
        </x:is>
      </x:c>
      <x:c r="J72" s="24" t="inlineStr">
        <x:is>
          <x:t xml:space="preserve">Best-fit composite</x:t>
        </x:is>
      </x:c>
      <x:c r="K72" s="24" t="inlineStr">
        <x:is>
          <x:t xml:space="preserve">A production-systems inventory is supporting evidence for patch coverage and vulnerability scoping under risk analysis/risk management.</x:t>
        </x:is>
      </x:c>
      <x:c r="L72" s="24"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M72" s="24" t="inlineStr">
        <x:is>
          <x:t xml:space="preserve">OCR guidance treats a technology asset inventory as a valuable tool for accurate and thorough risk analysis.</x:t>
        </x:is>
      </x:c>
    </x:row>
    <x:row r="73">
      <x:c r="A73" s="5" t="inlineStr">
        <x:is>
          <x:t xml:space="preserve">REQ-43-HIPAA</x:t>
        </x:is>
      </x:c>
      <x:c r="B73" s="5" t="inlineStr">
        <x:is>
          <x:t xml:space="preserve">0701.07a1Organizational.8</x:t>
        </x:is>
      </x:c>
      <x:c r="C73" s="12">
        <x:f>COUNTIFS(Normalized_Tuples!$E:$E,$A73,Normalized_Tuples!$F:$F,$B73)</x:f>
        <x:v>1</x:v>
      </x:c>
      <x:c r="D73" s="5" t="inlineStr">
        <x:is>
          <x:t xml:space="preserve">List of All Production Systems (Servers, VMs, Data Stores)</x:t>
        </x:is>
      </x:c>
      <x:c r="E73" s="5" t="inlineStr">
        <x:is>
          <x:t xml:space="preserve">Configuration</x:t>
        </x:is>
      </x:c>
      <x:c r="F73" s="5" t="inlineStr">
        <x:is>
          <x:t xml:space="preserve">HITRUST e1.csv</x:t>
        </x:is>
      </x:c>
      <x:c r="G73" s="5" t="inlineStr">
        <x:is>
          <x:t xml:space="preserve">Many:Many</x:t>
        </x:is>
      </x:c>
      <x:c r="H73" s="24" t="inlineStr">
        <x:is>
          <x:t xml:space="preserve">45 CFR § 164.308(a)(1)(ii)(A) | 45 CFR § 164.308(a)(1)(ii)(B)</x:t>
        </x:is>
      </x:c>
      <x:c r="I73" s="24" t="inlineStr">
        <x:is>
          <x:t xml:space="preserve">Security Management Process — Risk Analysis | Security Management Process — Risk Management</x:t>
        </x:is>
      </x:c>
      <x:c r="J73" s="24" t="inlineStr">
        <x:is>
          <x:t xml:space="preserve">Best-fit composite</x:t>
        </x:is>
      </x:c>
      <x:c r="K73" s="24" t="inlineStr">
        <x:is>
          <x:t xml:space="preserve">A production-systems inventory is supporting evidence for patch coverage and vulnerability scoping under risk analysis/risk management.</x:t>
        </x:is>
      </x:c>
      <x:c r="L73" s="24"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M73" s="24" t="inlineStr">
        <x:is>
          <x:t xml:space="preserve">OCR guidance treats a technology asset inventory as a valuable tool for accurate and thorough risk analysis.</x:t>
        </x:is>
      </x:c>
    </x:row>
    <x:row r="74">
      <x:c r="A74" s="5" t="inlineStr">
        <x:is>
          <x:t xml:space="preserve">REQ-46-HIPAA</x:t>
        </x:is>
      </x:c>
      <x:c r="B74" s="5" t="inlineStr">
        <x:is>
          <x:t xml:space="preserve">07.10m1Organizational.3</x:t>
        </x:is>
      </x:c>
      <x:c r="C74" s="12">
        <x:f>COUNTIFS(Normalized_Tuples!$E:$E,$A74,Normalized_Tuples!$F:$F,$B74)</x:f>
        <x:v>1</x:v>
      </x:c>
      <x:c r="D74" s="5" t="inlineStr">
        <x:is>
          <x:t xml:space="preserve">Evidence of Vulnerability Scan Results</x:t>
        </x:is>
      </x:c>
      <x:c r="E74" s="5" t="inlineStr">
        <x:is>
          <x:t xml:space="preserve">Sample</x:t>
        </x:is>
      </x:c>
      <x:c r="F74" s="5" t="inlineStr">
        <x:is>
          <x:t xml:space="preserve">HITRUST e1.csv</x:t>
        </x:is>
      </x:c>
      <x:c r="G74" s="5" t="inlineStr">
        <x:is>
          <x:t xml:space="preserve">Many:1</x:t>
        </x:is>
      </x:c>
      <x:c r="H74" s="24" t="inlineStr">
        <x:is>
          <x:t xml:space="preserve">45 CFR § 164.308(a)(1)(ii)(A)</x:t>
        </x:is>
      </x:c>
      <x:c r="I74" s="24" t="inlineStr">
        <x:is>
          <x:t xml:space="preserve">Security Management Process — Risk Analysis</x:t>
        </x:is>
      </x:c>
      <x:c r="J74" s="24" t="inlineStr">
        <x:is>
          <x:t xml:space="preserve">Best-fit</x:t>
        </x:is>
      </x:c>
      <x:c r="K74" s="24" t="inlineStr">
        <x:is>
          <x:t xml:space="preserve">OCR guidance identifies vulnerability scanning as one way to identify risks and vulnerabilities to ePHI.</x:t>
        </x:is>
      </x:c>
      <x:c r="L74" s="24"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M74" s="24" t="inlineStr">
        <x:is>
          <x:t xml:space="preserve">Used for vulnerability-scan result evidence.</x:t>
        </x:is>
      </x:c>
    </x:row>
    <x:row r="75">
      <x:c r="A75" s="5" t="inlineStr">
        <x:is>
          <x:t xml:space="preserve">REQ-47-HIPAA</x:t>
        </x:is>
      </x:c>
      <x:c r="B75" s="5" t="inlineStr">
        <x:is>
          <x:t xml:space="preserve">07.10m1Organizational.3</x:t>
        </x:is>
      </x:c>
      <x:c r="C75" s="12">
        <x:f>COUNTIFS(Normalized_Tuples!$E:$E,$A75,Normalized_Tuples!$F:$F,$B75)</x:f>
        <x:v>1</x:v>
      </x:c>
      <x:c r="D75" s="5" t="inlineStr">
        <x:is>
          <x:t xml:space="preserve">Evidence of Vulnerability Scan Results</x:t>
        </x:is>
      </x:c>
      <x:c r="E75" s="5" t="inlineStr">
        <x:is>
          <x:t xml:space="preserve">Sample</x:t>
        </x:is>
      </x:c>
      <x:c r="F75" s="5" t="inlineStr">
        <x:is>
          <x:t xml:space="preserve">HITRUST e1.csv</x:t>
        </x:is>
      </x:c>
      <x:c r="G75" s="5" t="inlineStr">
        <x:is>
          <x:t xml:space="preserve">Many:1</x:t>
        </x:is>
      </x:c>
      <x:c r="H75" s="24" t="inlineStr">
        <x:is>
          <x:t xml:space="preserve">45 CFR § 164.308(a)(1)(ii)(B)</x:t>
        </x:is>
      </x:c>
      <x:c r="I75" s="24" t="inlineStr">
        <x:is>
          <x:t xml:space="preserve">Security Management Process — Risk Management</x:t>
        </x:is>
      </x:c>
      <x:c r="J75" s="24" t="inlineStr">
        <x:is>
          <x:t xml:space="preserve">Best-fit</x:t>
        </x:is>
      </x:c>
      <x:c r="K75" s="24" t="inlineStr">
        <x:is>
          <x:t xml:space="preserve">Vulnerability remediation is the treatment/mitigation step after risks are identified.</x:t>
        </x:is>
      </x:c>
      <x:c r="L75" s="24"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M75" s="24" t="inlineStr">
        <x:is>
          <x:t xml:space="preserve">Used for remediation evidence and related patch/vulnerability-management policy rows.</x:t>
        </x:is>
      </x:c>
    </x:row>
    <x:row r="76">
      <x:c r="A76" s="5" t="inlineStr">
        <x:is>
          <x:t xml:space="preserve">REQ-48-HIPAA</x:t>
        </x:is>
      </x:c>
      <x:c r="B76" s="5" t="inlineStr">
        <x:is>
          <x:t xml:space="preserve">1561.11c1Organizational.4</x:t>
        </x:is>
      </x:c>
      <x:c r="C76" s="12">
        <x:f>COUNTIFS(Normalized_Tuples!$E:$E,$A76,Normalized_Tuples!$F:$F,$B76)</x:f>
        <x:v>1</x:v>
      </x:c>
      <x:c r="D76" s="5" t="inlineStr">
        <x:is>
          <x:t xml:space="preserve">Incident Response</x:t>
        </x:is>
      </x:c>
      <x:c r="E76" s="5" t="inlineStr">
        <x:is>
          <x:t xml:space="preserve">Policy</x:t>
        </x:is>
      </x:c>
      <x:c r="F76" s="5" t="inlineStr">
        <x:is>
          <x:t xml:space="preserve">HITRUST e1.csv</x:t>
        </x:is>
      </x:c>
      <x:c r="G76" s="5" t="inlineStr">
        <x:is>
          <x:t xml:space="preserve">Many:Many</x:t>
        </x:is>
      </x:c>
      <x:c r="H76" s="24" t="inlineStr">
        <x:is>
          <x:t xml:space="preserve">45 CFR § 164.308(a)(6)(i)</x:t>
        </x:is>
      </x:c>
      <x:c r="I76" s="24" t="inlineStr">
        <x:is>
          <x:t xml:space="preserve">Security Incident Procedures</x:t>
        </x:is>
      </x:c>
      <x:c r="J76" s="24" t="inlineStr">
        <x:is>
          <x:t xml:space="preserve">Direct</x:t>
        </x:is>
      </x:c>
      <x:c r="K76" s="24" t="inlineStr">
        <x:is>
          <x:t xml:space="preserve">Incident-response policy aligns directly to the Security Incident Procedures standard.</x:t>
        </x:is>
      </x:c>
      <x:c r="L76"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6" s="24" t="inlineStr">
        <x:is>
          <x:t xml:space="preserve">Used for policy-level incident-response rows.</x:t>
        </x:is>
      </x:c>
    </x:row>
    <x:row r="77">
      <x:c r="A77" s="5" t="inlineStr">
        <x:is>
          <x:t xml:space="preserve">REQ-48-HIPAA</x:t>
        </x:is>
      </x:c>
      <x:c r="B77" s="5" t="inlineStr">
        <x:is>
          <x:t xml:space="preserve">1589.11c1Organizational.5</x:t>
        </x:is>
      </x:c>
      <x:c r="C77" s="12">
        <x:f>COUNTIFS(Normalized_Tuples!$E:$E,$A77,Normalized_Tuples!$F:$F,$B77)</x:f>
        <x:v>1</x:v>
      </x:c>
      <x:c r="D77" s="5" t="inlineStr">
        <x:is>
          <x:t xml:space="preserve">Incident Response</x:t>
        </x:is>
      </x:c>
      <x:c r="E77" s="5" t="inlineStr">
        <x:is>
          <x:t xml:space="preserve">Policy</x:t>
        </x:is>
      </x:c>
      <x:c r="F77" s="5" t="inlineStr">
        <x:is>
          <x:t xml:space="preserve">HITRUST e1.csv</x:t>
        </x:is>
      </x:c>
      <x:c r="G77" s="5" t="inlineStr">
        <x:is>
          <x:t xml:space="preserve">Many:Many</x:t>
        </x:is>
      </x:c>
      <x:c r="H77" s="24" t="inlineStr">
        <x:is>
          <x:t xml:space="preserve">45 CFR § 164.308(a)(6)(i)</x:t>
        </x:is>
      </x:c>
      <x:c r="I77" s="24" t="inlineStr">
        <x:is>
          <x:t xml:space="preserve">Security Incident Procedures</x:t>
        </x:is>
      </x:c>
      <x:c r="J77" s="24" t="inlineStr">
        <x:is>
          <x:t xml:space="preserve">Direct</x:t>
        </x:is>
      </x:c>
      <x:c r="K77" s="24" t="inlineStr">
        <x:is>
          <x:t xml:space="preserve">Incident-response policy aligns directly to the Security Incident Procedures standard.</x:t>
        </x:is>
      </x:c>
      <x:c r="L77"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7" s="24" t="inlineStr">
        <x:is>
          <x:t xml:space="preserve">Used for policy-level incident-response rows.</x:t>
        </x:is>
      </x:c>
    </x:row>
    <x:row r="78">
      <x:c r="A78" s="5" t="inlineStr">
        <x:is>
          <x:t xml:space="preserve">REQ-49-HIPAA</x:t>
        </x:is>
      </x:c>
      <x:c r="B78" s="5" t="inlineStr">
        <x:is>
          <x:t xml:space="preserve">1561.11c1Organizational.4</x:t>
        </x:is>
      </x:c>
      <x:c r="C78" s="12">
        <x:f>COUNTIFS(Normalized_Tuples!$E:$E,$A78,Normalized_Tuples!$F:$F,$B78)</x:f>
        <x:v>1</x:v>
      </x:c>
      <x:c r="D78" s="5" t="inlineStr">
        <x:is>
          <x:t xml:space="preserve">Incident Response</x:t>
        </x:is>
      </x:c>
      <x:c r="E78" s="5" t="inlineStr">
        <x:is>
          <x:t xml:space="preserve">Policy</x:t>
        </x:is>
      </x:c>
      <x:c r="F78" s="5" t="inlineStr">
        <x:is>
          <x:t xml:space="preserve">HITRUST e1.csv</x:t>
        </x:is>
      </x:c>
      <x:c r="G78" s="5" t="inlineStr">
        <x:is>
          <x:t xml:space="preserve">Many:Many</x:t>
        </x:is>
      </x:c>
      <x:c r="H78" s="24" t="inlineStr">
        <x:is>
          <x:t xml:space="preserve">45 CFR § 164.308(a)(6)(ii)</x:t>
        </x:is>
      </x:c>
      <x:c r="I78" s="24" t="inlineStr">
        <x:is>
          <x:t xml:space="preserve">Security Incident Procedures — Response and Reporting</x:t>
        </x:is>
      </x:c>
      <x:c r="J78" s="24" t="inlineStr">
        <x:is>
          <x:t xml:space="preserve">Direct</x:t>
        </x:is>
      </x:c>
      <x:c r="K78" s="24" t="inlineStr">
        <x:is>
          <x:t xml:space="preserve">This internal control best aligns to the response/reporting implementation specification under incident procedures.</x:t>
        </x:is>
      </x:c>
      <x:c r="L78"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8" s="24" t="inlineStr">
        <x:is>
          <x:t xml:space="preserve">Used where the spreadsheet distinguishes the response/reporting component of incident handling.</x:t>
        </x:is>
      </x:c>
    </x:row>
    <x:row r="79">
      <x:c r="A79" s="5" t="inlineStr">
        <x:is>
          <x:t xml:space="preserve">REQ-49-HIPAA</x:t>
        </x:is>
      </x:c>
      <x:c r="B79" s="5" t="inlineStr">
        <x:is>
          <x:t xml:space="preserve">1589.11c1Organizational.5</x:t>
        </x:is>
      </x:c>
      <x:c r="C79" s="12">
        <x:f>COUNTIFS(Normalized_Tuples!$E:$E,$A79,Normalized_Tuples!$F:$F,$B79)</x:f>
        <x:v>1</x:v>
      </x:c>
      <x:c r="D79" s="5" t="inlineStr">
        <x:is>
          <x:t xml:space="preserve">Incident Response</x:t>
        </x:is>
      </x:c>
      <x:c r="E79" s="5" t="inlineStr">
        <x:is>
          <x:t xml:space="preserve">Policy</x:t>
        </x:is>
      </x:c>
      <x:c r="F79" s="5" t="inlineStr">
        <x:is>
          <x:t xml:space="preserve">HITRUST e1.csv</x:t>
        </x:is>
      </x:c>
      <x:c r="G79" s="5" t="inlineStr">
        <x:is>
          <x:t xml:space="preserve">Many:Many</x:t>
        </x:is>
      </x:c>
      <x:c r="H79" s="24" t="inlineStr">
        <x:is>
          <x:t xml:space="preserve">45 CFR § 164.308(a)(6)(ii)</x:t>
        </x:is>
      </x:c>
      <x:c r="I79" s="24" t="inlineStr">
        <x:is>
          <x:t xml:space="preserve">Security Incident Procedures — Response and Reporting</x:t>
        </x:is>
      </x:c>
      <x:c r="J79" s="24" t="inlineStr">
        <x:is>
          <x:t xml:space="preserve">Direct</x:t>
        </x:is>
      </x:c>
      <x:c r="K79" s="24" t="inlineStr">
        <x:is>
          <x:t xml:space="preserve">This internal control best aligns to the response/reporting implementation specification under incident procedures.</x:t>
        </x:is>
      </x:c>
      <x:c r="L79" s="24"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9" s="24" t="inlineStr">
        <x:is>
          <x:t xml:space="preserve">Used where the spreadsheet distinguishes the response/reporting component of incident handling.</x:t>
        </x:is>
      </x:c>
    </x:row>
    <x:row r="80">
      <x:c r="A80" s="5" t="inlineStr">
        <x:is>
          <x:t xml:space="preserve">REQ-50-HIPAA</x:t>
        </x:is>
      </x:c>
      <x:c r="B80" s="5" t="inlineStr">
        <x:is>
          <x:t xml:space="preserve">1561.11c1Organizational.4</x:t>
        </x:is>
      </x:c>
      <x:c r="C80" s="12">
        <x:f>COUNTIFS(Normalized_Tuples!$E:$E,$A80,Normalized_Tuples!$F:$F,$B80)</x:f>
        <x:v>1</x:v>
      </x:c>
      <x:c r="D80" s="5" t="inlineStr">
        <x:is>
          <x:t xml:space="preserve">All Incidents Identified During the Review Period [INSERT EXAM PERIOD]</x:t>
        </x:is>
      </x:c>
      <x:c r="E80" s="5" t="inlineStr">
        <x:is>
          <x:t xml:space="preserve">Population</x:t>
        </x:is>
      </x:c>
      <x:c r="F80" s="5" t="inlineStr">
        <x:is>
          <x:t xml:space="preserve">HITRUST e1.csv</x:t>
        </x:is>
      </x:c>
      <x:c r="G80" s="5" t="inlineStr">
        <x:is>
          <x:t xml:space="preserve">Many:1</x:t>
        </x:is>
      </x:c>
      <x:c r="H80" s="24" t="inlineStr">
        <x:is>
          <x:t xml:space="preserve">45 CFR § 164.308(a)(6)(ii) | 45 CFR § 164.316(b)(1)</x:t>
        </x:is>
      </x:c>
      <x:c r="I80" s="24" t="inlineStr">
        <x:is>
          <x:t xml:space="preserve">Security Incident Procedures — Response and Reporting | Documentation</x:t>
        </x:is>
      </x:c>
      <x:c r="J80" s="24" t="inlineStr">
        <x:is>
          <x:t xml:space="preserve">Composite</x:t>
        </x:is>
      </x:c>
      <x:c r="K80" s="24" t="inlineStr">
        <x:is>
          <x:t xml:space="preserve">Incident tickets/population evidence show response/reporting activities and the required documentation of incidents and outcomes.</x:t>
        </x:is>
      </x:c>
      <x:c r="L80" s="24"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M80" s="24" t="inlineStr">
        <x:is>
          <x:t xml:space="preserve">Documentation is added because the evidence row is a ticket/log of incidents during the review period.</x:t>
        </x:is>
      </x:c>
    </x:row>
    <x:row r="81">
      <x:c r="A81" s="5" t="inlineStr">
        <x:is>
          <x:t xml:space="preserve">REQ-53-HIPAA</x:t>
        </x:is>
      </x:c>
      <x:c r="B81" s="5" t="inlineStr">
        <x:is>
          <x:t xml:space="preserve">06.09b1System.2</x:t>
        </x:is>
      </x:c>
      <x:c r="C81" s="12">
        <x:f>COUNTIFS(Normalized_Tuples!$E:$E,$A81,Normalized_Tuples!$F:$F,$B81)</x:f>
        <x:v>1</x:v>
      </x:c>
      <x:c r="D81" s="5" t="inlineStr">
        <x:is>
          <x:t xml:space="preserve">Change Management</x:t>
        </x:is>
      </x:c>
      <x:c r="E81" s="5" t="inlineStr">
        <x:is>
          <x:t xml:space="preserve">Policy</x:t>
        </x:is>
      </x:c>
      <x:c r="F81" s="5" t="inlineStr">
        <x:is>
          <x:t xml:space="preserve">HITRUST e1.csv</x:t>
        </x:is>
      </x:c>
      <x:c r="G81" s="5" t="inlineStr">
        <x:is>
          <x:t xml:space="preserve">1:Many</x:t>
        </x:is>
      </x:c>
      <x:c r="H81" s="24" t="inlineStr">
        <x:is>
          <x:t xml:space="preserve">45 CFR § 164.308(a)(8) | 45 CFR § 164.306(e) | 45 CFR § 164.316(b)(2)(iii)</x:t>
        </x:is>
      </x:c>
      <x:c r="I81" s="24" t="inlineStr">
        <x:is>
          <x:t xml:space="preserve">Evaluation | Maintenance | Documentation — Updates</x:t>
        </x:is>
      </x:c>
      <x:c r="J81" s="24" t="inlineStr">
        <x:is>
          <x:t xml:space="preserve">Best-fit composite</x:t>
        </x:is>
      </x:c>
      <x:c r="K81" s="24" t="inlineStr">
        <x:is>
          <x:t xml:space="preserve">HIPAA does not expressly name change management, but OCR guidance links environmental/operational changes to ongoing evaluation, maintenance, and updating of security documentation.</x:t>
        </x:is>
      </x:c>
      <x:c r="L81" s="24"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M81" s="24" t="inlineStr">
        <x:is>
          <x:t xml:space="preserve">Used for the change-management policy row as the closest HIPAA analogue.</x:t>
        </x:is>
      </x:c>
    </x:row>
    <x:row r="82">
      <x:c r="A82" s="5" t="inlineStr">
        <x:is>
          <x:t xml:space="preserve">REQ-53-HIPAA</x:t>
        </x:is>
      </x:c>
      <x:c r="B82" s="5" t="inlineStr">
        <x:is>
          <x:t xml:space="preserve">1769.09i1System.12</x:t>
        </x:is>
      </x:c>
      <x:c r="C82" s="12">
        <x:f>COUNTIFS(Normalized_Tuples!$E:$E,$A82,Normalized_Tuples!$F:$F,$B82)</x:f>
        <x:v>1</x:v>
      </x:c>
      <x:c r="D82" s="5" t="inlineStr">
        <x:is>
          <x:t xml:space="preserve">Change Management</x:t>
        </x:is>
      </x:c>
      <x:c r="E82" s="5" t="inlineStr">
        <x:is>
          <x:t xml:space="preserve">Policy</x:t>
        </x:is>
      </x:c>
      <x:c r="F82" s="5" t="inlineStr">
        <x:is>
          <x:t xml:space="preserve">HITRUST e1.csv</x:t>
        </x:is>
      </x:c>
      <x:c r="G82" s="5" t="inlineStr">
        <x:is>
          <x:t xml:space="preserve">1:Many</x:t>
        </x:is>
      </x:c>
      <x:c r="H82" s="24" t="inlineStr">
        <x:is>
          <x:t xml:space="preserve">45 CFR § 164.308(a)(8) | 45 CFR § 164.306(e) | 45 CFR § 164.316(b)(2)(iii)</x:t>
        </x:is>
      </x:c>
      <x:c r="I82" s="24" t="inlineStr">
        <x:is>
          <x:t xml:space="preserve">Evaluation | Maintenance | Documentation — Updates</x:t>
        </x:is>
      </x:c>
      <x:c r="J82" s="24" t="inlineStr">
        <x:is>
          <x:t xml:space="preserve">Best-fit composite</x:t>
        </x:is>
      </x:c>
      <x:c r="K82" s="24" t="inlineStr">
        <x:is>
          <x:t xml:space="preserve">HIPAA does not expressly name change management, but OCR guidance links environmental/operational changes to ongoing evaluation, maintenance, and updating of security documentation.</x:t>
        </x:is>
      </x:c>
      <x:c r="L82" s="24"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M82" s="24" t="inlineStr">
        <x:is>
          <x:t xml:space="preserve">Used for the change-management policy row as the closest HIPAA analogue.</x:t>
        </x:is>
      </x:c>
    </x:row>
    <x:row r="83">
      <x:c r="A83" s="5" t="inlineStr">
        <x:is>
          <x:t xml:space="preserve">REQ-55-HIPAA</x:t>
        </x:is>
      </x:c>
      <x:c r="B83" s="5" t="inlineStr">
        <x:is>
          <x:t xml:space="preserve">1704.03b1Organizational.12</x:t>
        </x:is>
      </x:c>
      <x:c r="C83" s="12">
        <x:f>COUNTIFS(Normalized_Tuples!$E:$E,$A83,Normalized_Tuples!$F:$F,$B83)</x:f>
        <x:v>1</x:v>
      </x:c>
      <x:c r="D83" s="5" t="inlineStr">
        <x:is>
          <x:t xml:space="preserve">All Software and Infrastructure Production Changes During the Review Period [INSERT EXAM PERIOD]</x:t>
        </x:is>
      </x:c>
      <x:c r="E83" s="5" t="inlineStr">
        <x:is>
          <x:t xml:space="preserve">Population</x:t>
        </x:is>
      </x:c>
      <x:c r="F83" s="5" t="inlineStr">
        <x:is>
          <x:t xml:space="preserve">HITRUST e1.csv</x:t>
        </x:is>
      </x:c>
      <x:c r="G83" s="5" t="inlineStr">
        <x:is>
          <x:t xml:space="preserve">Many:Many</x:t>
        </x:is>
      </x:c>
      <x:c r="H83" s="24" t="inlineStr">
        <x:is>
          <x:t xml:space="preserve">45 CFR § 164.308(a)(8) | 45 CFR § 164.316(b)(1)</x:t>
        </x:is>
      </x:c>
      <x:c r="I83" s="24" t="inlineStr">
        <x:is>
          <x:t xml:space="preserve">Evaluation | Documentation</x:t>
        </x:is>
      </x:c>
      <x:c r="J83" s="24" t="inlineStr">
        <x:is>
          <x:t xml:space="preserve">Best-fit composite</x:t>
        </x:is>
      </x:c>
      <x:c r="K83" s="24" t="inlineStr">
        <x:is>
          <x:t xml:space="preserve">Production-change tickets/population evidence are not a named HIPAA specification, but they are strong evidence of evaluating and documenting operational changes affecting ePHI safeguards.</x:t>
        </x:is>
      </x:c>
      <x:c r="L83"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83" s="24" t="inlineStr">
        <x:is>
          <x:t xml:space="preserve">Best-fit evidence mapping; HIPAA does not mandate a particular ticketing mechanism.</x:t>
        </x:is>
      </x:c>
    </x:row>
    <x:row r="84">
      <x:c r="A84" s="5" t="inlineStr">
        <x:is>
          <x:t xml:space="preserve">REQ-60-HIPAA</x:t>
        </x:is>
      </x:c>
      <x:c r="B84" s="5" t="inlineStr">
        <x:is>
          <x:t xml:space="preserve">1616.09l1Organizational.16</x:t>
        </x:is>
      </x:c>
      <x:c r="C84" s="12">
        <x:f>COUNTIFS(Normalized_Tuples!$E:$E,$A84,Normalized_Tuples!$F:$F,$B84)</x:f>
        <x:v>1</x:v>
      </x:c>
      <x:c r="D84" s="5" t="inlineStr">
        <x:is>
          <x:t xml:space="preserve">Backups</x:t>
        </x:is>
      </x:c>
      <x:c r="E84" s="5" t="inlineStr">
        <x:is>
          <x:t xml:space="preserve">Policy</x:t>
        </x:is>
      </x:c>
      <x:c r="F84" s="5" t="inlineStr">
        <x:is>
          <x:t xml:space="preserve">HITRUST e1.csv</x:t>
        </x:is>
      </x:c>
      <x:c r="G84" s="5" t="inlineStr">
        <x:is>
          <x:t xml:space="preserve">Many:1</x:t>
        </x:is>
      </x:c>
      <x:c r="H84" s="24" t="inlineStr">
        <x:is>
          <x:t xml:space="preserve">45 CFR § 164.308(a)(7)(ii)(A)</x:t>
        </x:is>
      </x:c>
      <x:c r="I84" s="24" t="inlineStr">
        <x:is>
          <x:t xml:space="preserve">Contingency Plan — Data Backup Plan</x:t>
        </x:is>
      </x:c>
      <x:c r="J84" s="24" t="inlineStr">
        <x:is>
          <x:t xml:space="preserve">Direct</x:t>
        </x:is>
      </x:c>
      <x:c r="K84" s="24" t="inlineStr">
        <x:is>
          <x:t xml:space="preserve">Backup policy aligns directly to creation and maintenance of retrievable exact copies of ePHI.</x:t>
        </x:is>
      </x:c>
      <x:c r="L84"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84" s="24" t="inlineStr">
        <x:is>
          <x:t xml:space="preserve">Used for backup-policy rows.</x:t>
        </x:is>
      </x:c>
    </x:row>
    <x:row r="85">
      <x:c r="A85" s="5" t="inlineStr">
        <x:is>
          <x:t xml:space="preserve">REQ-62-HIPAA</x:t>
        </x:is>
      </x:c>
      <x:c r="B85" s="5" t="inlineStr">
        <x:is>
          <x:t xml:space="preserve">16.09l1Organizational.4</x:t>
        </x:is>
      </x:c>
      <x:c r="C85" s="12">
        <x:f>COUNTIFS(Normalized_Tuples!$E:$E,$A85,Normalized_Tuples!$F:$F,$B85)</x:f>
        <x:v>1</x:v>
      </x:c>
      <x:c r="D85" s="5" t="inlineStr">
        <x:is>
          <x:t xml:space="preserve">Backups and Schedules</x:t>
        </x:is>
      </x:c>
      <x:c r="E85" s="5" t="inlineStr">
        <x:is>
          <x:t xml:space="preserve">Configuration</x:t>
        </x:is>
      </x:c>
      <x:c r="F85" s="5" t="inlineStr">
        <x:is>
          <x:t xml:space="preserve">HITRUST e1.csv</x:t>
        </x:is>
      </x:c>
      <x:c r="G85" s="5" t="inlineStr">
        <x:is>
          <x:t xml:space="preserve">Many:Many</x:t>
        </x:is>
      </x:c>
      <x:c r="H85" s="24" t="inlineStr">
        <x:is>
          <x:t xml:space="preserve">45 CFR § 164.308(a)(7)(ii)(A)</x:t>
        </x:is>
      </x:c>
      <x:c r="I85" s="24" t="inlineStr">
        <x:is>
          <x:t xml:space="preserve">Contingency Plan — Data Backup Plan</x:t>
        </x:is>
      </x:c>
      <x:c r="J85" s="24" t="inlineStr">
        <x:is>
          <x:t xml:space="preserve">Direct</x:t>
        </x:is>
      </x:c>
      <x:c r="K85" s="24" t="inlineStr">
        <x:is>
          <x:t xml:space="preserve">Backup schedules most directly align to maintaining retrievable exact copies of ePHI.</x:t>
        </x:is>
      </x:c>
      <x:c r="L85"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85" s="24" t="inlineStr">
        <x:is>
          <x:t xml:space="preserve">Used for backup schedule evidence.</x:t>
        </x:is>
      </x:c>
    </x:row>
    <x:row r="86">
      <x:c r="A86" s="5" t="inlineStr">
        <x:is>
          <x:t xml:space="preserve">REQ-62-HIPAA</x:t>
        </x:is>
      </x:c>
      <x:c r="B86" s="5" t="inlineStr">
        <x:is>
          <x:t xml:space="preserve">1616.09l1Organizational.16</x:t>
        </x:is>
      </x:c>
      <x:c r="C86" s="12">
        <x:f>COUNTIFS(Normalized_Tuples!$E:$E,$A86,Normalized_Tuples!$F:$F,$B86)</x:f>
        <x:v>1</x:v>
      </x:c>
      <x:c r="D86" s="5" t="inlineStr">
        <x:is>
          <x:t xml:space="preserve">Backups and Schedules</x:t>
        </x:is>
      </x:c>
      <x:c r="E86" s="5" t="inlineStr">
        <x:is>
          <x:t xml:space="preserve">Configuration</x:t>
        </x:is>
      </x:c>
      <x:c r="F86" s="5" t="inlineStr">
        <x:is>
          <x:t xml:space="preserve">HITRUST e1.csv</x:t>
        </x:is>
      </x:c>
      <x:c r="G86" s="5" t="inlineStr">
        <x:is>
          <x:t xml:space="preserve">Many:Many</x:t>
        </x:is>
      </x:c>
      <x:c r="H86" s="24" t="inlineStr">
        <x:is>
          <x:t xml:space="preserve">45 CFR § 164.308(a)(7)(ii)(A)</x:t>
        </x:is>
      </x:c>
      <x:c r="I86" s="24" t="inlineStr">
        <x:is>
          <x:t xml:space="preserve">Contingency Plan — Data Backup Plan</x:t>
        </x:is>
      </x:c>
      <x:c r="J86" s="24" t="inlineStr">
        <x:is>
          <x:t xml:space="preserve">Direct</x:t>
        </x:is>
      </x:c>
      <x:c r="K86" s="24" t="inlineStr">
        <x:is>
          <x:t xml:space="preserve">Backup schedules most directly align to maintaining retrievable exact copies of ePHI.</x:t>
        </x:is>
      </x:c>
      <x:c r="L86"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86" s="24" t="inlineStr">
        <x:is>
          <x:t xml:space="preserve">Used for backup schedule evidence.</x:t>
        </x:is>
      </x:c>
    </x:row>
    <x:row r="87">
      <x:c r="A87" s="5" t="inlineStr">
        <x:is>
          <x:t xml:space="preserve">REQ-62-HIPAA</x:t>
        </x:is>
      </x:c>
      <x:c r="B87" s="5" t="inlineStr">
        <x:is>
          <x:t xml:space="preserve">1618.09l1Organizational.45</x:t>
        </x:is>
      </x:c>
      <x:c r="C87" s="12">
        <x:f>COUNTIFS(Normalized_Tuples!$E:$E,$A87,Normalized_Tuples!$F:$F,$B87)</x:f>
        <x:v>1</x:v>
      </x:c>
      <x:c r="D87" s="5" t="inlineStr">
        <x:is>
          <x:t xml:space="preserve">Backups and Schedules</x:t>
        </x:is>
      </x:c>
      <x:c r="E87" s="5" t="inlineStr">
        <x:is>
          <x:t xml:space="preserve">Configuration</x:t>
        </x:is>
      </x:c>
      <x:c r="F87" s="5" t="inlineStr">
        <x:is>
          <x:t xml:space="preserve">HITRUST e1.csv</x:t>
        </x:is>
      </x:c>
      <x:c r="G87" s="5" t="inlineStr">
        <x:is>
          <x:t xml:space="preserve">Many:Many</x:t>
        </x:is>
      </x:c>
      <x:c r="H87" s="24" t="inlineStr">
        <x:is>
          <x:t xml:space="preserve">45 CFR § 164.308(a)(7)(ii)(A)</x:t>
        </x:is>
      </x:c>
      <x:c r="I87" s="24" t="inlineStr">
        <x:is>
          <x:t xml:space="preserve">Contingency Plan — Data Backup Plan</x:t>
        </x:is>
      </x:c>
      <x:c r="J87" s="24" t="inlineStr">
        <x:is>
          <x:t xml:space="preserve">Direct</x:t>
        </x:is>
      </x:c>
      <x:c r="K87" s="24" t="inlineStr">
        <x:is>
          <x:t xml:space="preserve">Backup schedules most directly align to maintaining retrievable exact copies of ePHI.</x:t>
        </x:is>
      </x:c>
      <x:c r="L87" s="24"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87" s="24" t="inlineStr">
        <x:is>
          <x:t xml:space="preserve">Used for backup schedule evidence.</x:t>
        </x:is>
      </x:c>
    </x:row>
    <x:row r="88">
      <x:c r="A88" s="5" t="inlineStr">
        <x:is>
          <x:t xml:space="preserve">REQ-63-HIPAA</x:t>
        </x:is>
      </x:c>
      <x:c r="B88" s="5" t="inlineStr">
        <x:is>
          <x:t xml:space="preserve">16.09l1Organizational.4</x:t>
        </x:is>
      </x:c>
      <x:c r="C88" s="12">
        <x:f>COUNTIFS(Normalized_Tuples!$E:$E,$A88,Normalized_Tuples!$F:$F,$B88)</x:f>
        <x:v>1</x:v>
      </x:c>
      <x:c r="D88" s="5" t="inlineStr">
        <x:is>
          <x:t xml:space="preserve">Backups and Schedules</x:t>
        </x:is>
      </x:c>
      <x:c r="E88" s="5" t="inlineStr">
        <x:is>
          <x:t xml:space="preserve">Configuration</x:t>
        </x:is>
      </x:c>
      <x:c r="F88" s="5" t="inlineStr">
        <x:is>
          <x:t xml:space="preserve">HITRUST e1.csv</x:t>
        </x:is>
      </x:c>
      <x:c r="G88" s="5" t="inlineStr">
        <x:is>
          <x:t xml:space="preserve">Many:Many</x:t>
        </x:is>
      </x:c>
      <x:c r="H88" s="24" t="inlineStr">
        <x:is>
          <x:t xml:space="preserve">45 CFR § 164.308(a)(7)(ii)(B)</x:t>
        </x:is>
      </x:c>
      <x:c r="I88" s="24" t="inlineStr">
        <x:is>
          <x:t xml:space="preserve">Contingency Plan — Disaster Recovery Plan</x:t>
        </x:is>
      </x:c>
      <x:c r="J88" s="24" t="inlineStr">
        <x:is>
          <x:t xml:space="preserve">Best-fit</x:t>
        </x:is>
      </x:c>
      <x:c r="K88" s="24" t="inlineStr">
        <x:is>
          <x:t xml:space="preserve">Backup/replication planning most closely aligns to restoring lost data and recovering operations after a disruption.</x:t>
        </x:is>
      </x:c>
      <x:c r="L88"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88" s="24" t="inlineStr">
        <x:is>
          <x:t xml:space="preserve">Used for schedule-level backup rows when the internal control appears to emphasize recoverability/replication.</x:t>
        </x:is>
      </x:c>
    </x:row>
    <x:row r="89">
      <x:c r="A89" s="5" t="inlineStr">
        <x:is>
          <x:t xml:space="preserve">REQ-63-HIPAA</x:t>
        </x:is>
      </x:c>
      <x:c r="B89" s="5" t="inlineStr">
        <x:is>
          <x:t xml:space="preserve">1616.09l1Organizational.16</x:t>
        </x:is>
      </x:c>
      <x:c r="C89" s="12">
        <x:f>COUNTIFS(Normalized_Tuples!$E:$E,$A89,Normalized_Tuples!$F:$F,$B89)</x:f>
        <x:v>1</x:v>
      </x:c>
      <x:c r="D89" s="5" t="inlineStr">
        <x:is>
          <x:t xml:space="preserve">Backups and Schedules</x:t>
        </x:is>
      </x:c>
      <x:c r="E89" s="5" t="inlineStr">
        <x:is>
          <x:t xml:space="preserve">Configuration</x:t>
        </x:is>
      </x:c>
      <x:c r="F89" s="5" t="inlineStr">
        <x:is>
          <x:t xml:space="preserve">HITRUST e1.csv</x:t>
        </x:is>
      </x:c>
      <x:c r="G89" s="5" t="inlineStr">
        <x:is>
          <x:t xml:space="preserve">Many:Many</x:t>
        </x:is>
      </x:c>
      <x:c r="H89" s="24" t="inlineStr">
        <x:is>
          <x:t xml:space="preserve">45 CFR § 164.308(a)(7)(ii)(B)</x:t>
        </x:is>
      </x:c>
      <x:c r="I89" s="24" t="inlineStr">
        <x:is>
          <x:t xml:space="preserve">Contingency Plan — Disaster Recovery Plan</x:t>
        </x:is>
      </x:c>
      <x:c r="J89" s="24" t="inlineStr">
        <x:is>
          <x:t xml:space="preserve">Best-fit</x:t>
        </x:is>
      </x:c>
      <x:c r="K89" s="24" t="inlineStr">
        <x:is>
          <x:t xml:space="preserve">Backup/replication planning most closely aligns to restoring lost data and recovering operations after a disruption.</x:t>
        </x:is>
      </x:c>
      <x:c r="L89"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89" s="24" t="inlineStr">
        <x:is>
          <x:t xml:space="preserve">Used for schedule-level backup rows when the internal control appears to emphasize recoverability/replication.</x:t>
        </x:is>
      </x:c>
    </x:row>
    <x:row r="90">
      <x:c r="A90" s="5" t="inlineStr">
        <x:is>
          <x:t xml:space="preserve">REQ-63-HIPAA</x:t>
        </x:is>
      </x:c>
      <x:c r="B90" s="5" t="inlineStr">
        <x:is>
          <x:t xml:space="preserve">1618.09l1Organizational.45</x:t>
        </x:is>
      </x:c>
      <x:c r="C90" s="12">
        <x:f>COUNTIFS(Normalized_Tuples!$E:$E,$A90,Normalized_Tuples!$F:$F,$B90)</x:f>
        <x:v>1</x:v>
      </x:c>
      <x:c r="D90" s="5" t="inlineStr">
        <x:is>
          <x:t xml:space="preserve">Backups and Schedules</x:t>
        </x:is>
      </x:c>
      <x:c r="E90" s="5" t="inlineStr">
        <x:is>
          <x:t xml:space="preserve">Configuration</x:t>
        </x:is>
      </x:c>
      <x:c r="F90" s="5" t="inlineStr">
        <x:is>
          <x:t xml:space="preserve">HITRUST e1.csv</x:t>
        </x:is>
      </x:c>
      <x:c r="G90" s="5" t="inlineStr">
        <x:is>
          <x:t xml:space="preserve">Many:Many</x:t>
        </x:is>
      </x:c>
      <x:c r="H90" s="24" t="inlineStr">
        <x:is>
          <x:t xml:space="preserve">45 CFR § 164.308(a)(7)(ii)(B)</x:t>
        </x:is>
      </x:c>
      <x:c r="I90" s="24" t="inlineStr">
        <x:is>
          <x:t xml:space="preserve">Contingency Plan — Disaster Recovery Plan</x:t>
        </x:is>
      </x:c>
      <x:c r="J90" s="24" t="inlineStr">
        <x:is>
          <x:t xml:space="preserve">Best-fit</x:t>
        </x:is>
      </x:c>
      <x:c r="K90" s="24" t="inlineStr">
        <x:is>
          <x:t xml:space="preserve">Backup/replication planning most closely aligns to restoring lost data and recovering operations after a disruption.</x:t>
        </x:is>
      </x:c>
      <x:c r="L90" s="24"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90" s="24" t="inlineStr">
        <x:is>
          <x:t xml:space="preserve">Used for schedule-level backup rows when the internal control appears to emphasize recoverability/replication.</x:t>
        </x:is>
      </x:c>
    </x:row>
    <x:row r="91">
      <x:c r="A91" s="5" t="inlineStr">
        <x:is>
          <x:t xml:space="preserve">REQ-66-HIPAA</x:t>
        </x:is>
      </x:c>
      <x:c r="B91" s="5" t="inlineStr">
        <x:is>
          <x:t xml:space="preserve">0305.09q1Organizational.12</x:t>
        </x:is>
      </x:c>
      <x:c r="C91" s="12">
        <x:f>COUNTIFS(Normalized_Tuples!$E:$E,$A91,Normalized_Tuples!$F:$F,$B91)</x:f>
        <x:v>1</x:v>
      </x:c>
      <x:c r="D91" s="5" t="inlineStr">
        <x:is>
          <x:t xml:space="preserve">Data Classification, Retention and Disposal</x:t>
        </x:is>
      </x:c>
      <x:c r="E91" s="5" t="inlineStr">
        <x:is>
          <x:t xml:space="preserve">Policy</x:t>
        </x:is>
      </x:c>
      <x:c r="F91" s="5" t="inlineStr">
        <x:is>
          <x:t xml:space="preserve">HITRUST e1.csv</x:t>
        </x:is>
      </x:c>
      <x:c r="G91" s="5" t="inlineStr">
        <x:is>
          <x:t xml:space="preserve">Many:Many</x:t>
        </x:is>
      </x:c>
      <x:c r="H91" s="24" t="inlineStr">
        <x:is>
          <x:t xml:space="preserve">45 CFR § 164.310(d)(2)(ii)</x:t>
        </x:is>
      </x:c>
      <x:c r="I91" s="24" t="inlineStr">
        <x:is>
          <x:t xml:space="preserve">Device and Media Controls — Media Re-use</x:t>
        </x:is>
      </x:c>
      <x:c r="J91" s="24" t="inlineStr">
        <x:is>
          <x:t xml:space="preserve">Best-fit</x:t>
        </x:is>
      </x:c>
      <x:c r="K91" s="24" t="inlineStr">
        <x:is>
          <x:t xml:space="preserve">Within the data-retention/disposal action item, this internal control is best matched to sanitization/reuse of media; HIPAA does not separately name classification or retention.</x:t>
        </x:is>
      </x:c>
      <x:c r="L91"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1" s="24" t="inlineStr">
        <x:is>
          <x:t xml:space="preserve">Only the media-reuse/sanitization aspect maps directly to an express HIPAA specification.</x:t>
        </x:is>
      </x:c>
    </x:row>
    <x:row r="92">
      <x:c r="A92" s="5" t="inlineStr">
        <x:is>
          <x:t xml:space="preserve">REQ-66-HIPAA</x:t>
        </x:is>
      </x:c>
      <x:c r="B92" s="5" t="inlineStr">
        <x:is>
          <x:t xml:space="preserve">1239.09aa1System.4</x:t>
        </x:is>
      </x:c>
      <x:c r="C92" s="12">
        <x:f>COUNTIFS(Normalized_Tuples!$E:$E,$A92,Normalized_Tuples!$F:$F,$B92)</x:f>
        <x:v>1</x:v>
      </x:c>
      <x:c r="D92" s="5" t="inlineStr">
        <x:is>
          <x:t xml:space="preserve">Data Classification, Retention and Disposal</x:t>
        </x:is>
      </x:c>
      <x:c r="E92" s="5" t="inlineStr">
        <x:is>
          <x:t xml:space="preserve">Policy</x:t>
        </x:is>
      </x:c>
      <x:c r="F92" s="5" t="inlineStr">
        <x:is>
          <x:t xml:space="preserve">HITRUST e1.csv</x:t>
        </x:is>
      </x:c>
      <x:c r="G92" s="5" t="inlineStr">
        <x:is>
          <x:t xml:space="preserve">Many:Many</x:t>
        </x:is>
      </x:c>
      <x:c r="H92" s="24" t="inlineStr">
        <x:is>
          <x:t xml:space="preserve">45 CFR § 164.310(d)(2)(ii)</x:t>
        </x:is>
      </x:c>
      <x:c r="I92" s="24" t="inlineStr">
        <x:is>
          <x:t xml:space="preserve">Device and Media Controls — Media Re-use</x:t>
        </x:is>
      </x:c>
      <x:c r="J92" s="24" t="inlineStr">
        <x:is>
          <x:t xml:space="preserve">Best-fit</x:t>
        </x:is>
      </x:c>
      <x:c r="K92" s="24" t="inlineStr">
        <x:is>
          <x:t xml:space="preserve">Within the data-retention/disposal action item, this internal control is best matched to sanitization/reuse of media; HIPAA does not separately name classification or retention.</x:t>
        </x:is>
      </x:c>
      <x:c r="L92"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2" s="24" t="inlineStr">
        <x:is>
          <x:t xml:space="preserve">Only the media-reuse/sanitization aspect maps directly to an express HIPAA specification.</x:t>
        </x:is>
      </x:c>
    </x:row>
    <x:row r="93">
      <x:c r="A93" s="5" t="inlineStr">
        <x:is>
          <x:t xml:space="preserve">REQ-66-HIPAA</x:t>
        </x:is>
      </x:c>
      <x:c r="B93" s="5" t="inlineStr">
        <x:is>
          <x:t xml:space="preserve">1616.09l1Organizational.16</x:t>
        </x:is>
      </x:c>
      <x:c r="C93" s="12">
        <x:f>COUNTIFS(Normalized_Tuples!$E:$E,$A93,Normalized_Tuples!$F:$F,$B93)</x:f>
        <x:v>1</x:v>
      </x:c>
      <x:c r="D93" s="5" t="inlineStr">
        <x:is>
          <x:t xml:space="preserve">Data Classification, Retention and Disposal</x:t>
        </x:is>
      </x:c>
      <x:c r="E93" s="5" t="inlineStr">
        <x:is>
          <x:t xml:space="preserve">Policy</x:t>
        </x:is>
      </x:c>
      <x:c r="F93" s="5" t="inlineStr">
        <x:is>
          <x:t xml:space="preserve">HITRUST e1.csv</x:t>
        </x:is>
      </x:c>
      <x:c r="G93" s="5" t="inlineStr">
        <x:is>
          <x:t xml:space="preserve">Many:Many</x:t>
        </x:is>
      </x:c>
      <x:c r="H93" s="24" t="inlineStr">
        <x:is>
          <x:t xml:space="preserve">45 CFR § 164.310(d)(2)(ii)</x:t>
        </x:is>
      </x:c>
      <x:c r="I93" s="24" t="inlineStr">
        <x:is>
          <x:t xml:space="preserve">Device and Media Controls — Media Re-use</x:t>
        </x:is>
      </x:c>
      <x:c r="J93" s="24" t="inlineStr">
        <x:is>
          <x:t xml:space="preserve">Best-fit</x:t>
        </x:is>
      </x:c>
      <x:c r="K93" s="24" t="inlineStr">
        <x:is>
          <x:t xml:space="preserve">Within the data-retention/disposal action item, this internal control is best matched to sanitization/reuse of media; HIPAA does not separately name classification or retention.</x:t>
        </x:is>
      </x:c>
      <x:c r="L93"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3" s="24" t="inlineStr">
        <x:is>
          <x:t xml:space="preserve">Only the media-reuse/sanitization aspect maps directly to an express HIPAA specification.</x:t>
        </x:is>
      </x:c>
    </x:row>
    <x:row r="94">
      <x:c r="A94" s="5" t="inlineStr">
        <x:is>
          <x:t xml:space="preserve">REQ-66-HIPAA</x:t>
        </x:is>
      </x:c>
      <x:c r="B94" s="5" t="inlineStr">
        <x:is>
          <x:t xml:space="preserve">1767.07d1Organizational.2</x:t>
        </x:is>
      </x:c>
      <x:c r="C94" s="12">
        <x:f>COUNTIFS(Normalized_Tuples!$E:$E,$A94,Normalized_Tuples!$F:$F,$B94)</x:f>
        <x:v>1</x:v>
      </x:c>
      <x:c r="D94" s="5" t="inlineStr">
        <x:is>
          <x:t xml:space="preserve">Data Classification, Retention and Disposal</x:t>
        </x:is>
      </x:c>
      <x:c r="E94" s="5" t="inlineStr">
        <x:is>
          <x:t xml:space="preserve">Policy</x:t>
        </x:is>
      </x:c>
      <x:c r="F94" s="5" t="inlineStr">
        <x:is>
          <x:t xml:space="preserve">HITRUST e1.csv</x:t>
        </x:is>
      </x:c>
      <x:c r="G94" s="5" t="inlineStr">
        <x:is>
          <x:t xml:space="preserve">Many:Many</x:t>
        </x:is>
      </x:c>
      <x:c r="H94" s="24" t="inlineStr">
        <x:is>
          <x:t xml:space="preserve">45 CFR § 164.310(d)(2)(ii)</x:t>
        </x:is>
      </x:c>
      <x:c r="I94" s="24" t="inlineStr">
        <x:is>
          <x:t xml:space="preserve">Device and Media Controls — Media Re-use</x:t>
        </x:is>
      </x:c>
      <x:c r="J94" s="24" t="inlineStr">
        <x:is>
          <x:t xml:space="preserve">Best-fit</x:t>
        </x:is>
      </x:c>
      <x:c r="K94" s="24" t="inlineStr">
        <x:is>
          <x:t xml:space="preserve">Within the data-retention/disposal action item, this internal control is best matched to sanitization/reuse of media; HIPAA does not separately name classification or retention.</x:t>
        </x:is>
      </x:c>
      <x:c r="L94"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4" s="24" t="inlineStr">
        <x:is>
          <x:t xml:space="preserve">Only the media-reuse/sanitization aspect maps directly to an express HIPAA specification.</x:t>
        </x:is>
      </x:c>
    </x:row>
    <x:row r="95">
      <x:c r="A95" s="5" t="inlineStr">
        <x:is>
          <x:t xml:space="preserve">REQ-66-HIPAA</x:t>
        </x:is>
      </x:c>
      <x:c r="B95" s="5" t="inlineStr">
        <x:is>
          <x:t xml:space="preserve">19142.06c1Organizational.8</x:t>
        </x:is>
      </x:c>
      <x:c r="C95" s="12">
        <x:f>COUNTIFS(Normalized_Tuples!$E:$E,$A95,Normalized_Tuples!$F:$F,$B95)</x:f>
        <x:v>1</x:v>
      </x:c>
      <x:c r="D95" s="5" t="inlineStr">
        <x:is>
          <x:t xml:space="preserve">Data Classification, Retention and Disposal</x:t>
        </x:is>
      </x:c>
      <x:c r="E95" s="5" t="inlineStr">
        <x:is>
          <x:t xml:space="preserve">Policy</x:t>
        </x:is>
      </x:c>
      <x:c r="F95" s="5" t="inlineStr">
        <x:is>
          <x:t xml:space="preserve">HITRUST e1.csv</x:t>
        </x:is>
      </x:c>
      <x:c r="G95" s="5" t="inlineStr">
        <x:is>
          <x:t xml:space="preserve">Many:Many</x:t>
        </x:is>
      </x:c>
      <x:c r="H95" s="24" t="inlineStr">
        <x:is>
          <x:t xml:space="preserve">45 CFR § 164.310(d)(2)(ii)</x:t>
        </x:is>
      </x:c>
      <x:c r="I95" s="24" t="inlineStr">
        <x:is>
          <x:t xml:space="preserve">Device and Media Controls — Media Re-use</x:t>
        </x:is>
      </x:c>
      <x:c r="J95" s="24" t="inlineStr">
        <x:is>
          <x:t xml:space="preserve">Best-fit</x:t>
        </x:is>
      </x:c>
      <x:c r="K95" s="24" t="inlineStr">
        <x:is>
          <x:t xml:space="preserve">Within the data-retention/disposal action item, this internal control is best matched to sanitization/reuse of media; HIPAA does not separately name classification or retention.</x:t>
        </x:is>
      </x:c>
      <x:c r="L95" s="24"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5" s="24" t="inlineStr">
        <x:is>
          <x:t xml:space="preserve">Only the media-reuse/sanitization aspect maps directly to an express HIPAA specification.</x:t>
        </x:is>
      </x:c>
    </x:row>
    <x:row r="96">
      <x:c r="A96" s="5" t="inlineStr">
        <x:is>
          <x:t xml:space="preserve">REQ-67-HIPAA</x:t>
        </x:is>
      </x:c>
      <x:c r="B96" s="5" t="inlineStr">
        <x:is>
          <x:t xml:space="preserve">0305.09q1Organizational.12</x:t>
        </x:is>
      </x:c>
      <x:c r="C96" s="12">
        <x:f>COUNTIFS(Normalized_Tuples!$E:$E,$A96,Normalized_Tuples!$F:$F,$B96)</x:f>
        <x:v>1</x:v>
      </x:c>
      <x:c r="D96" s="5" t="inlineStr">
        <x:is>
          <x:t xml:space="preserve">Data Classification, Retention and Disposal</x:t>
        </x:is>
      </x:c>
      <x:c r="E96" s="5" t="inlineStr">
        <x:is>
          <x:t xml:space="preserve">Policy</x:t>
        </x:is>
      </x:c>
      <x:c r="F96" s="5" t="inlineStr">
        <x:is>
          <x:t xml:space="preserve">HITRUST e1.csv</x:t>
        </x:is>
      </x:c>
      <x:c r="G96" s="5" t="inlineStr">
        <x:is>
          <x:t xml:space="preserve">Many:Many</x:t>
        </x:is>
      </x:c>
      <x:c r="H96" s="24" t="inlineStr">
        <x:is>
          <x:t xml:space="preserve">45 CFR § 164.310(d)(2)(i)</x:t>
        </x:is>
      </x:c>
      <x:c r="I96" s="24" t="inlineStr">
        <x:is>
          <x:t xml:space="preserve">Device and Media Controls — Disposal</x:t>
        </x:is>
      </x:c>
      <x:c r="J96" s="24" t="inlineStr">
        <x:is>
          <x:t xml:space="preserve">Best-fit</x:t>
        </x:is>
      </x:c>
      <x:c r="K96" s="24" t="inlineStr">
        <x:is>
          <x:t xml:space="preserve">In this overlap set, the control appears through a data-retention/disposal action item, so disposal is the closest direct HIPAA citation.</x:t>
        </x:is>
      </x:c>
      <x:c r="L96"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6" s="24" t="inlineStr">
        <x:is>
          <x:t xml:space="preserve">This same internal control also appears on customer-contract rows elsewhere in the uploaded spreadsheets, but that contractual context is not the shared action item here.</x:t>
        </x:is>
      </x:c>
    </x:row>
    <x:row r="97">
      <x:c r="A97" s="5" t="inlineStr">
        <x:is>
          <x:t xml:space="preserve">REQ-67-HIPAA</x:t>
        </x:is>
      </x:c>
      <x:c r="B97" s="5" t="inlineStr">
        <x:is>
          <x:t xml:space="preserve">1239.09aa1System.4</x:t>
        </x:is>
      </x:c>
      <x:c r="C97" s="12">
        <x:f>COUNTIFS(Normalized_Tuples!$E:$E,$A97,Normalized_Tuples!$F:$F,$B97)</x:f>
        <x:v>1</x:v>
      </x:c>
      <x:c r="D97" s="5" t="inlineStr">
        <x:is>
          <x:t xml:space="preserve">Data Classification, Retention and Disposal</x:t>
        </x:is>
      </x:c>
      <x:c r="E97" s="5" t="inlineStr">
        <x:is>
          <x:t xml:space="preserve">Policy</x:t>
        </x:is>
      </x:c>
      <x:c r="F97" s="5" t="inlineStr">
        <x:is>
          <x:t xml:space="preserve">HITRUST e1.csv</x:t>
        </x:is>
      </x:c>
      <x:c r="G97" s="5" t="inlineStr">
        <x:is>
          <x:t xml:space="preserve">Many:Many</x:t>
        </x:is>
      </x:c>
      <x:c r="H97" s="24" t="inlineStr">
        <x:is>
          <x:t xml:space="preserve">45 CFR § 164.310(d)(2)(i)</x:t>
        </x:is>
      </x:c>
      <x:c r="I97" s="24" t="inlineStr">
        <x:is>
          <x:t xml:space="preserve">Device and Media Controls — Disposal</x:t>
        </x:is>
      </x:c>
      <x:c r="J97" s="24" t="inlineStr">
        <x:is>
          <x:t xml:space="preserve">Best-fit</x:t>
        </x:is>
      </x:c>
      <x:c r="K97" s="24" t="inlineStr">
        <x:is>
          <x:t xml:space="preserve">In this overlap set, the control appears through a data-retention/disposal action item, so disposal is the closest direct HIPAA citation.</x:t>
        </x:is>
      </x:c>
      <x:c r="L97"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7" s="24" t="inlineStr">
        <x:is>
          <x:t xml:space="preserve">This same internal control also appears on customer-contract rows elsewhere in the uploaded spreadsheets, but that contractual context is not the shared action item here.</x:t>
        </x:is>
      </x:c>
    </x:row>
    <x:row r="98">
      <x:c r="A98" s="5" t="inlineStr">
        <x:is>
          <x:t xml:space="preserve">REQ-67-HIPAA</x:t>
        </x:is>
      </x:c>
      <x:c r="B98" s="5" t="inlineStr">
        <x:is>
          <x:t xml:space="preserve">1616.09l1Organizational.16</x:t>
        </x:is>
      </x:c>
      <x:c r="C98" s="12">
        <x:f>COUNTIFS(Normalized_Tuples!$E:$E,$A98,Normalized_Tuples!$F:$F,$B98)</x:f>
        <x:v>1</x:v>
      </x:c>
      <x:c r="D98" s="5" t="inlineStr">
        <x:is>
          <x:t xml:space="preserve">Data Classification, Retention and Disposal</x:t>
        </x:is>
      </x:c>
      <x:c r="E98" s="5" t="inlineStr">
        <x:is>
          <x:t xml:space="preserve">Policy</x:t>
        </x:is>
      </x:c>
      <x:c r="F98" s="5" t="inlineStr">
        <x:is>
          <x:t xml:space="preserve">HITRUST e1.csv</x:t>
        </x:is>
      </x:c>
      <x:c r="G98" s="5" t="inlineStr">
        <x:is>
          <x:t xml:space="preserve">Many:Many</x:t>
        </x:is>
      </x:c>
      <x:c r="H98" s="24" t="inlineStr">
        <x:is>
          <x:t xml:space="preserve">45 CFR § 164.310(d)(2)(i)</x:t>
        </x:is>
      </x:c>
      <x:c r="I98" s="24" t="inlineStr">
        <x:is>
          <x:t xml:space="preserve">Device and Media Controls — Disposal</x:t>
        </x:is>
      </x:c>
      <x:c r="J98" s="24" t="inlineStr">
        <x:is>
          <x:t xml:space="preserve">Best-fit</x:t>
        </x:is>
      </x:c>
      <x:c r="K98" s="24" t="inlineStr">
        <x:is>
          <x:t xml:space="preserve">In this overlap set, the control appears through a data-retention/disposal action item, so disposal is the closest direct HIPAA citation.</x:t>
        </x:is>
      </x:c>
      <x:c r="L98"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8" s="24" t="inlineStr">
        <x:is>
          <x:t xml:space="preserve">This same internal control also appears on customer-contract rows elsewhere in the uploaded spreadsheets, but that contractual context is not the shared action item here.</x:t>
        </x:is>
      </x:c>
    </x:row>
    <x:row r="99">
      <x:c r="A99" s="5" t="inlineStr">
        <x:is>
          <x:t xml:space="preserve">REQ-67-HIPAA</x:t>
        </x:is>
      </x:c>
      <x:c r="B99" s="5" t="inlineStr">
        <x:is>
          <x:t xml:space="preserve">1767.07d1Organizational.2</x:t>
        </x:is>
      </x:c>
      <x:c r="C99" s="12">
        <x:f>COUNTIFS(Normalized_Tuples!$E:$E,$A99,Normalized_Tuples!$F:$F,$B99)</x:f>
        <x:v>1</x:v>
      </x:c>
      <x:c r="D99" s="5" t="inlineStr">
        <x:is>
          <x:t xml:space="preserve">Data Classification, Retention and Disposal</x:t>
        </x:is>
      </x:c>
      <x:c r="E99" s="5" t="inlineStr">
        <x:is>
          <x:t xml:space="preserve">Policy</x:t>
        </x:is>
      </x:c>
      <x:c r="F99" s="5" t="inlineStr">
        <x:is>
          <x:t xml:space="preserve">HITRUST e1.csv</x:t>
        </x:is>
      </x:c>
      <x:c r="G99" s="5" t="inlineStr">
        <x:is>
          <x:t xml:space="preserve">Many:Many</x:t>
        </x:is>
      </x:c>
      <x:c r="H99" s="24" t="inlineStr">
        <x:is>
          <x:t xml:space="preserve">45 CFR § 164.310(d)(2)(i)</x:t>
        </x:is>
      </x:c>
      <x:c r="I99" s="24" t="inlineStr">
        <x:is>
          <x:t xml:space="preserve">Device and Media Controls — Disposal</x:t>
        </x:is>
      </x:c>
      <x:c r="J99" s="24" t="inlineStr">
        <x:is>
          <x:t xml:space="preserve">Best-fit</x:t>
        </x:is>
      </x:c>
      <x:c r="K99" s="24" t="inlineStr">
        <x:is>
          <x:t xml:space="preserve">In this overlap set, the control appears through a data-retention/disposal action item, so disposal is the closest direct HIPAA citation.</x:t>
        </x:is>
      </x:c>
      <x:c r="L99"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9" s="24" t="inlineStr">
        <x:is>
          <x:t xml:space="preserve">This same internal control also appears on customer-contract rows elsewhere in the uploaded spreadsheets, but that contractual context is not the shared action item here.</x:t>
        </x:is>
      </x:c>
    </x:row>
    <x:row r="100">
      <x:c r="A100" s="5" t="inlineStr">
        <x:is>
          <x:t xml:space="preserve">REQ-67-HIPAA</x:t>
        </x:is>
      </x:c>
      <x:c r="B100" s="5" t="inlineStr">
        <x:is>
          <x:t xml:space="preserve">19142.06c1Organizational.8</x:t>
        </x:is>
      </x:c>
      <x:c r="C100" s="12">
        <x:f>COUNTIFS(Normalized_Tuples!$E:$E,$A100,Normalized_Tuples!$F:$F,$B100)</x:f>
        <x:v>1</x:v>
      </x:c>
      <x:c r="D100" s="5" t="inlineStr">
        <x:is>
          <x:t xml:space="preserve">Data Classification, Retention and Disposal</x:t>
        </x:is>
      </x:c>
      <x:c r="E100" s="5" t="inlineStr">
        <x:is>
          <x:t xml:space="preserve">Policy</x:t>
        </x:is>
      </x:c>
      <x:c r="F100" s="5" t="inlineStr">
        <x:is>
          <x:t xml:space="preserve">HITRUST e1.csv</x:t>
        </x:is>
      </x:c>
      <x:c r="G100" s="5" t="inlineStr">
        <x:is>
          <x:t xml:space="preserve">Many:Many</x:t>
        </x:is>
      </x:c>
      <x:c r="H100" s="24" t="inlineStr">
        <x:is>
          <x:t xml:space="preserve">45 CFR § 164.310(d)(2)(i)</x:t>
        </x:is>
      </x:c>
      <x:c r="I100" s="24" t="inlineStr">
        <x:is>
          <x:t xml:space="preserve">Device and Media Controls — Disposal</x:t>
        </x:is>
      </x:c>
      <x:c r="J100" s="24" t="inlineStr">
        <x:is>
          <x:t xml:space="preserve">Best-fit</x:t>
        </x:is>
      </x:c>
      <x:c r="K100" s="24" t="inlineStr">
        <x:is>
          <x:t xml:space="preserve">In this overlap set, the control appears through a data-retention/disposal action item, so disposal is the closest direct HIPAA citation.</x:t>
        </x:is>
      </x:c>
      <x:c r="L100" s="24"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100" s="24" t="inlineStr">
        <x:is>
          <x:t xml:space="preserve">This same internal control also appears on customer-contract rows elsewhere in the uploaded spreadsheets, but that contractual context is not the shared action item here.</x:t>
        </x:is>
      </x:c>
    </x:row>
    <x:row r="101">
      <x:c r="A101" s="5" t="inlineStr">
        <x:is>
          <x:t xml:space="preserve">REQ-995-HIPAA</x:t>
        </x:is>
      </x:c>
      <x:c r="B101" s="5" t="inlineStr">
        <x:is>
          <x:t xml:space="preserve">06.09b1System.2</x:t>
        </x:is>
      </x:c>
      <x:c r="C101" s="12">
        <x:f>COUNTIFS(Normalized_Tuples!$E:$E,$A101,Normalized_Tuples!$F:$F,$B101)</x:f>
        <x:v>1</x:v>
      </x:c>
      <x:c r="D101" s="5" t="inlineStr">
        <x:is>
          <x:t xml:space="preserve">All Software and Infrastructure Production Changes During the Review Period [INSERT EXAM PERIOD]</x:t>
        </x:is>
      </x:c>
      <x:c r="E101" s="5" t="inlineStr">
        <x:is>
          <x:t xml:space="preserve">Population</x:t>
        </x:is>
      </x:c>
      <x:c r="F101" s="5" t="inlineStr">
        <x:is>
          <x:t xml:space="preserve">HITRUST e1.csv</x:t>
        </x:is>
      </x:c>
      <x:c r="G101" s="5" t="inlineStr">
        <x:is>
          <x:t xml:space="preserve">Many:Many</x:t>
        </x:is>
      </x:c>
      <x:c r="H101" s="24" t="inlineStr">
        <x:is>
          <x:t xml:space="preserve">45 CFR § 164.308(a)(8) | 45 CFR § 164.316(b)(1)</x:t>
        </x:is>
      </x:c>
      <x:c r="I101" s="24" t="inlineStr">
        <x:is>
          <x:t xml:space="preserve">Evaluation | Documentation</x:t>
        </x:is>
      </x:c>
      <x:c r="J101" s="24" t="inlineStr">
        <x:is>
          <x:t xml:space="preserve">Best-fit composite</x:t>
        </x:is>
      </x:c>
      <x:c r="K101" s="24" t="inlineStr">
        <x:is>
          <x:t xml:space="preserve">Generic population/evidence control used to show production changes during the review period.</x:t>
        </x:is>
      </x:c>
      <x:c r="L101"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101" s="24" t="inlineStr">
        <x:is>
          <x:t xml:space="preserve">Internal control is generic; citation follows the specific evidence row context.</x:t>
        </x:is>
      </x:c>
    </x:row>
    <x:row r="102">
      <x:c r="A102" s="5" t="inlineStr">
        <x:is>
          <x:t xml:space="preserve">REQ-995-HIPAA</x:t>
        </x:is>
      </x:c>
      <x:c r="B102" s="5" t="inlineStr">
        <x:is>
          <x:t xml:space="preserve">11143.02i1Organizational.3</x:t>
        </x:is>
      </x:c>
      <x:c r="C102" s="12">
        <x:f>COUNTIFS(Normalized_Tuples!$E:$E,$A102,Normalized_Tuples!$F:$F,$B102)</x:f>
        <x:v>1</x:v>
      </x:c>
      <x:c r="D102" s="5" t="inlineStr">
        <x:is>
          <x:t xml:space="preserve">All Terminated Employees During the Review Period [INSERT EXAM PERIOD]</x:t>
        </x:is>
      </x:c>
      <x:c r="E102" s="5" t="inlineStr">
        <x:is>
          <x:t xml:space="preserve">Population</x:t>
        </x:is>
      </x:c>
      <x:c r="F102" s="5" t="inlineStr">
        <x:is>
          <x:t xml:space="preserve">HITRUST e1.csv</x:t>
        </x:is>
      </x:c>
      <x:c r="G102" s="5" t="inlineStr">
        <x:is>
          <x:t xml:space="preserve">Many:1</x:t>
        </x:is>
      </x:c>
      <x:c r="H102" s="24" t="inlineStr">
        <x:is>
          <x:t xml:space="preserve">45 CFR § 164.308(a)(3)(ii)(C) | 45 CFR § 164.316(b)(1)</x:t>
        </x:is>
      </x:c>
      <x:c r="I102" s="24" t="inlineStr">
        <x:is>
          <x:t xml:space="preserve">Workforce Security — Termination Procedures | Documentation</x:t>
        </x:is>
      </x:c>
      <x:c r="J102" s="24" t="inlineStr">
        <x:is>
          <x:t xml:space="preserve">Best-fit composite</x:t>
        </x:is>
      </x:c>
      <x:c r="K102" s="24" t="inlineStr">
        <x:is>
          <x:t xml:space="preserve">Generic population/evidence control used to show termination-related access removals during the review period.</x:t>
        </x:is>
      </x:c>
      <x:c r="L102" s="24"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M102" s="24" t="inlineStr">
        <x:is>
          <x:t xml:space="preserve">Internal control is generic; citation follows the specific evidence row context.</x:t>
        </x:is>
      </x:c>
    </x:row>
    <x:row r="103">
      <x:c r="A103" s="5" t="inlineStr">
        <x:is>
          <x:t xml:space="preserve">REQ-995-HIPAA</x:t>
        </x:is>
      </x:c>
      <x:c r="B103" s="5" t="inlineStr">
        <x:is>
          <x:t xml:space="preserve">1561.11c1Organizational.4</x:t>
        </x:is>
      </x:c>
      <x:c r="C103" s="12">
        <x:f>COUNTIFS(Normalized_Tuples!$E:$E,$A103,Normalized_Tuples!$F:$F,$B103)</x:f>
        <x:v>1</x:v>
      </x:c>
      <x:c r="D103" s="5" t="inlineStr">
        <x:is>
          <x:t xml:space="preserve">All Incidents Identified During the Review Period [INSERT EXAM PERIOD]</x:t>
        </x:is>
      </x:c>
      <x:c r="E103" s="5" t="inlineStr">
        <x:is>
          <x:t xml:space="preserve">Population</x:t>
        </x:is>
      </x:c>
      <x:c r="F103" s="5" t="inlineStr">
        <x:is>
          <x:t xml:space="preserve">HITRUST e1.csv</x:t>
        </x:is>
      </x:c>
      <x:c r="G103" s="5" t="inlineStr">
        <x:is>
          <x:t xml:space="preserve">Many:1</x:t>
        </x:is>
      </x:c>
      <x:c r="H103" s="24" t="inlineStr">
        <x:is>
          <x:t xml:space="preserve">45 CFR § 164.308(a)(6)(ii) | 45 CFR § 164.316(b)(1)</x:t>
        </x:is>
      </x:c>
      <x:c r="I103" s="24" t="inlineStr">
        <x:is>
          <x:t xml:space="preserve">Security Incident Procedures — Response and Reporting | Documentation</x:t>
        </x:is>
      </x:c>
      <x:c r="J103" s="24" t="inlineStr">
        <x:is>
          <x:t xml:space="preserve">Best-fit composite</x:t>
        </x:is>
      </x:c>
      <x:c r="K103" s="24" t="inlineStr">
        <x:is>
          <x:t xml:space="preserve">Generic population/evidence control used to show incidents and outcomes during the review period.</x:t>
        </x:is>
      </x:c>
      <x:c r="L103" s="24"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M103" s="24" t="inlineStr">
        <x:is>
          <x:t xml:space="preserve">Internal control is generic; citation follows the specific evidence row context.</x:t>
        </x:is>
      </x:c>
    </x:row>
    <x:row r="104">
      <x:c r="A104" s="5" t="inlineStr">
        <x:is>
          <x:t xml:space="preserve">REQ-995-HIPAA</x:t>
        </x:is>
      </x:c>
      <x:c r="B104" s="5" t="inlineStr">
        <x:is>
          <x:t xml:space="preserve">1704.03b1Organizational.12</x:t>
        </x:is>
      </x:c>
      <x:c r="C104" s="12">
        <x:f>COUNTIFS(Normalized_Tuples!$E:$E,$A104,Normalized_Tuples!$F:$F,$B104)</x:f>
        <x:v>1</x:v>
      </x:c>
      <x:c r="D104" s="5" t="inlineStr">
        <x:is>
          <x:t xml:space="preserve">All Software and Infrastructure Production Changes During the Review Period [INSERT EXAM PERIOD]</x:t>
        </x:is>
      </x:c>
      <x:c r="E104" s="5" t="inlineStr">
        <x:is>
          <x:t xml:space="preserve">Population</x:t>
        </x:is>
      </x:c>
      <x:c r="F104" s="5" t="inlineStr">
        <x:is>
          <x:t xml:space="preserve">HITRUST e1.csv</x:t>
        </x:is>
      </x:c>
      <x:c r="G104" s="5" t="inlineStr">
        <x:is>
          <x:t xml:space="preserve">Many:Many</x:t>
        </x:is>
      </x:c>
      <x:c r="H104" s="24" t="inlineStr">
        <x:is>
          <x:t xml:space="preserve">45 CFR § 164.308(a)(8) | 45 CFR § 164.316(b)(1)</x:t>
        </x:is>
      </x:c>
      <x:c r="I104" s="24" t="inlineStr">
        <x:is>
          <x:t xml:space="preserve">Evaluation | Documentation</x:t>
        </x:is>
      </x:c>
      <x:c r="J104" s="24" t="inlineStr">
        <x:is>
          <x:t xml:space="preserve">Best-fit composite</x:t>
        </x:is>
      </x:c>
      <x:c r="K104" s="24" t="inlineStr">
        <x:is>
          <x:t xml:space="preserve">Generic population/evidence control used to show production changes during the review period.</x:t>
        </x:is>
      </x:c>
      <x:c r="L104" s="24"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104" s="24" t="inlineStr">
        <x:is>
          <x:t xml:space="preserve">Internal control is generic; citation follows the specific evidence row context.</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8" customWidth="1"/>
    <x:col min="2" max="2" width="34" customWidth="1"/>
    <x:col min="3" max="3" width="12" customWidth="1"/>
    <x:col min="4" max="4" width="42" customWidth="1"/>
    <x:col min="5" max="5" width="18" customWidth="1"/>
    <x:col min="6" max="6" width="18" customWidth="1"/>
    <x:col min="7" max="7" width="28" customWidth="1"/>
    <x:col min="8" max="8" width="42" customWidth="1"/>
    <x:col min="9" max="9" width="22" customWidth="1"/>
    <x:col min="10" max="10" width="52" customWidth="1"/>
    <x:col min="11" max="11" width="70" customWidth="1"/>
    <x:col min="12" max="12" width="56" customWidth="1"/>
  </x:cols>
  <x:sheetData>
    <x:row r="1" ht="28" customHeight="1">
      <x:c r="A1" s="1" t="inlineStr">
        <x:is>
          <x:t xml:space="preserve">HIPAA → 45 CFR mapping register (action-item context)</x:t>
        </x:is>
      </x:c>
    </x:row>
    <x:row r="3" ht="32" customHeight="1">
      <x:c r="A3" s="25" t="inlineStr">
        <x:is>
          <x:t xml:space="preserve">HIPAA Control</x:t>
        </x:is>
      </x:c>
      <x:c r="B3" s="25" t="inlineStr">
        <x:is>
          <x:t xml:space="preserve">Action Item</x:t>
        </x:is>
      </x:c>
      <x:c r="C3" s="25" t="inlineStr">
        <x:is>
          <x:t xml:space="preserve">Tuple_Count</x:t>
        </x:is>
      </x:c>
      <x:c r="D3" s="25" t="inlineStr">
        <x:is>
          <x:t xml:space="preserve">HITRUST_e1_Controls</x:t>
        </x:is>
      </x:c>
      <x:c r="E3" s="25" t="inlineStr">
        <x:is>
          <x:t xml:space="preserve">Categories</x:t>
        </x:is>
      </x:c>
      <x:c r="F3" s="25" t="inlineStr">
        <x:is>
          <x:t xml:space="preserve">Reference_IDs</x:t>
        </x:is>
      </x:c>
      <x:c r="G3" s="25" t="inlineStr">
        <x:is>
          <x:t xml:space="preserve">HIPAA 45 CFR Citation(s)</x:t>
        </x:is>
      </x:c>
      <x:c r="H3" s="25" t="inlineStr">
        <x:is>
          <x:t xml:space="preserve">HIPAA Standard / Spec</x:t>
        </x:is>
      </x:c>
      <x:c r="I3" s="25" t="inlineStr">
        <x:is>
          <x:t xml:space="preserve">45 CFR Mapping Confidence</x:t>
        </x:is>
      </x:c>
      <x:c r="J3" s="25" t="inlineStr">
        <x:is>
          <x:t xml:space="preserve">45 CFR Mapping Basis</x:t>
        </x:is>
      </x:c>
      <x:c r="K3" s="25" t="inlineStr">
        <x:is>
          <x:t xml:space="preserve">Authoritative Public Source URL(s)</x:t>
        </x:is>
      </x:c>
      <x:c r="L3" s="25" t="inlineStr">
        <x:is>
          <x:t xml:space="preserve">45 CFR Notes</x:t>
        </x:is>
      </x:c>
    </x:row>
    <x:row r="4" ht="30" customHeight="1">
      <x:c r="A4" s="22" t="inlineStr">
        <x:is>
          <x:t xml:space="preserve">REQ-1-HIPAA</x:t>
        </x:is>
      </x:c>
      <x:c r="B4" s="22" t="inlineStr">
        <x:is>
          <x:t xml:space="preserve">Information Security</x:t>
        </x:is>
      </x:c>
      <x:c r="C4" s="22" t="n">
        <x:v>1</x:v>
      </x:c>
      <x:c r="D4" s="22" t="inlineStr">
        <x:is>
          <x:t xml:space="preserve">0113.04a1Organizational.2</x:t>
        </x:is>
      </x:c>
      <x:c r="E4" s="22" t="inlineStr">
        <x:is>
          <x:t xml:space="preserve">Policy</x:t>
        </x:is>
      </x:c>
      <x:c r="F4" s="22" t="inlineStr">
        <x:is>
          <x:t xml:space="preserve">ER-57</x:t>
        </x:is>
      </x:c>
      <x:c r="G4" s="22" t="inlineStr">
        <x:is>
          <x:t xml:space="preserve">45 CFR § 164.316(a); 45 CFR § 164.316(b)(1)</x:t>
        </x:is>
      </x:c>
      <x:c r="H4" s="22" t="inlineStr">
        <x:is>
          <x:t xml:space="preserve">Policies and Procedures; Documentation</x:t>
        </x:is>
      </x:c>
      <x:c r="I4" s="22" t="inlineStr">
        <x:is>
          <x:t xml:space="preserve">Best-fit (broad policy control)</x:t>
        </x:is>
      </x:c>
      <x:c r="J4" s="22" t="inlineStr">
        <x:is>
          <x:t xml:space="preserve">Internal control/action item is a general information-security policy repository rather than a single named HIPAA implementation specification; mapped to the Security Rule's policies/procedures and documentation requirements.</x:t>
        </x:is>
      </x:c>
      <x:c r="K4" s="22" t="inlineStr">
        <x:is>
          <x:t xml:space="preserve">https://www.ecfr.gov/current/title-45/subtitle-A/subchapter-C/part-164/section-164.316 | https://www.hhs.gov/sites/default/files/ocr/privacy/hipaa/administrative/securityrule/pprequirements.pdf | https://www.hhs.gov/ocr/privacy/hipaa/administrative/securityrule/index.html</x:t>
        </x:is>
      </x:c>
      <x:c r="L4" s="22" t="inlineStr">
        <x:is>
          <x:t xml:space="preserve">Used as the umbrella HIPAA citation for documented security policies. This is broader than any single safeguard requirement.</x:t>
        </x:is>
      </x:c>
    </x:row>
    <x:row r="5" ht="30" customHeight="1">
      <x:c r="A5" s="22" t="inlineStr">
        <x:is>
          <x:t xml:space="preserve">REQ-1-HIPAA</x:t>
        </x:is>
      </x:c>
      <x:c r="B5" s="22" t="inlineStr">
        <x:is>
          <x:t xml:space="preserve">Information Security Policy Repository</x:t>
        </x:is>
      </x:c>
      <x:c r="C5" s="22" t="n">
        <x:v>1</x:v>
      </x:c>
      <x:c r="D5" s="22" t="inlineStr">
        <x:is>
          <x:t xml:space="preserve">0113.04a1Organizational.2</x:t>
        </x:is>
      </x:c>
      <x:c r="E5" s="22" t="inlineStr">
        <x:is>
          <x:t xml:space="preserve">Operational</x:t>
        </x:is>
      </x:c>
      <x:c r="F5" s="22" t="inlineStr">
        <x:is>
          <x:t xml:space="preserve">ER-56</x:t>
        </x:is>
      </x:c>
      <x:c r="G5" s="22" t="inlineStr">
        <x:is>
          <x:t xml:space="preserve">45 CFR § 164.316(a); 45 CFR § 164.316(b)(1)</x:t>
        </x:is>
      </x:c>
      <x:c r="H5" s="22" t="inlineStr">
        <x:is>
          <x:t xml:space="preserve">Policies and Procedures; Documentation</x:t>
        </x:is>
      </x:c>
      <x:c r="I5" s="22" t="inlineStr">
        <x:is>
          <x:t xml:space="preserve">Best-fit (broad policy control)</x:t>
        </x:is>
      </x:c>
      <x:c r="J5" s="22" t="inlineStr">
        <x:is>
          <x:t xml:space="preserve">Internal control/action item is a general information-security policy repository rather than a single named HIPAA implementation specification; mapped to the Security Rule's policies/procedures and documentation requirements.</x:t>
        </x:is>
      </x:c>
      <x:c r="K5" s="22" t="inlineStr">
        <x:is>
          <x:t xml:space="preserve">https://www.ecfr.gov/current/title-45/subtitle-A/subchapter-C/part-164/section-164.316 | https://www.hhs.gov/sites/default/files/ocr/privacy/hipaa/administrative/securityrule/pprequirements.pdf | https://www.hhs.gov/ocr/privacy/hipaa/administrative/securityrule/index.html</x:t>
        </x:is>
      </x:c>
      <x:c r="L5" s="22" t="inlineStr">
        <x:is>
          <x:t xml:space="preserve">Used as the umbrella HIPAA citation for documented security policies. This is broader than any single safeguard requirement.</x:t>
        </x:is>
      </x:c>
    </x:row>
    <x:row r="6" ht="30" customHeight="1">
      <x:c r="A6" s="22" t="inlineStr">
        <x:is>
          <x:t xml:space="preserve">REQ-102-HIPAA</x:t>
        </x:is>
      </x:c>
      <x:c r="B6" s="22" t="inlineStr">
        <x:is>
          <x:t xml:space="preserve">List of All Production Systems (Servers, VMs, Data Stores)</x:t>
        </x:is>
      </x:c>
      <x:c r="C6" s="22" t="n">
        <x:v>3</x:v>
      </x:c>
      <x:c r="D6" s="22" t="inlineStr">
        <x:is>
          <x:t xml:space="preserve">07.07a1Organizational.8, 0701.07a1Organizational.7, 0701.07a1Organizational.8</x:t>
        </x:is>
      </x:c>
      <x:c r="E6" s="22" t="inlineStr">
        <x:is>
          <x:t xml:space="preserve">Configuration</x:t>
        </x:is>
      </x:c>
      <x:c r="F6" s="22" t="inlineStr">
        <x:is>
          <x:t xml:space="preserve">ER-12</x:t>
        </x:is>
      </x:c>
      <x:c r="G6" s="22" t="inlineStr">
        <x:is>
          <x:t xml:space="preserve">45 CFR § 164.308(a)(1)(ii)(A)</x:t>
        </x:is>
      </x:c>
      <x:c r="H6" s="22" t="inlineStr">
        <x:is>
          <x:t xml:space="preserve">Security Management Process — Risk Analysis</x:t>
        </x:is>
      </x:c>
      <x:c r="I6" s="22" t="inlineStr">
        <x:is>
          <x:t xml:space="preserve">Best-fit</x:t>
        </x:is>
      </x:c>
      <x:c r="J6" s="22" t="inlineStr">
        <x:is>
          <x:t xml:space="preserve">HIPAA does not expressly mandate an IT asset inventory, but OCR guidance says a comprehensive technology asset inventory and ePHI data-flow diagrams are valuable tools for an accurate and thorough risk analysis.</x:t>
        </x:is>
      </x:c>
      <x:c r="K6" s="22"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L6" s="22" t="inlineStr">
        <x:is>
          <x:t xml:space="preserve">Mapped as supporting evidence for risk analysis rather than as a standalone named HIPAA inventory control.</x:t>
        </x:is>
      </x:c>
    </x:row>
    <x:row r="7" ht="30" customHeight="1">
      <x:c r="A7" s="22" t="inlineStr">
        <x:is>
          <x:t xml:space="preserve">REQ-109-HIPAA</x:t>
        </x:is>
      </x:c>
      <x:c r="B7" s="22" t="inlineStr">
        <x:is>
          <x:t xml:space="preserve">Asset Custody Log</x:t>
        </x:is>
      </x:c>
      <x:c r="C7" s="22" t="n">
        <x:v>2</x:v>
      </x:c>
      <x:c r="D7" s="22" t="inlineStr">
        <x:is>
          <x:t xml:space="preserve">0701.07a1Organizational.8, 0704.07a1Organizational.8</x:t>
        </x:is>
      </x:c>
      <x:c r="E7" s="22" t="inlineStr">
        <x:is>
          <x:t xml:space="preserve">Operational</x:t>
        </x:is>
      </x:c>
      <x:c r="F7" s="22" t="inlineStr">
        <x:is>
          <x:t xml:space="preserve">ER-271</x:t>
        </x:is>
      </x:c>
      <x:c r="G7" s="22" t="inlineStr">
        <x:is>
          <x:t xml:space="preserve">45 CFR § 164.310(d)(2)(iii)</x:t>
        </x:is>
      </x:c>
      <x:c r="H7" s="22" t="inlineStr">
        <x:is>
          <x:t xml:space="preserve">Device and Media Controls — Accountability</x:t>
        </x:is>
      </x:c>
      <x:c r="I7" s="22" t="inlineStr">
        <x:is>
          <x:t xml:space="preserve">Direct</x:t>
        </x:is>
      </x:c>
      <x:c r="J7" s="22" t="inlineStr">
        <x:is>
          <x:t xml:space="preserve">Asset custody logs align directly to maintaining a record of the movements of hardware/electronic media and the person responsible.</x:t>
        </x:is>
      </x:c>
      <x:c r="K7" s="22"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L7" s="22" t="inlineStr">
        <x:is>
          <x:t xml:space="preserve">Used for custody/chain-of-responsibility evidence.</x:t>
        </x:is>
      </x:c>
    </x:row>
    <x:row r="8" ht="30" customHeight="1">
      <x:c r="A8" s="22" t="inlineStr">
        <x:is>
          <x:t xml:space="preserve">REQ-110-HIPAA</x:t>
        </x:is>
      </x:c>
      <x:c r="B8" s="22" t="inlineStr">
        <x:is>
          <x:t xml:space="preserve">Risk Assessment</x:t>
        </x:is>
      </x:c>
      <x:c r="C8" s="22" t="n">
        <x:v>1</x:v>
      </x:c>
      <x:c r="D8" s="22" t="inlineStr">
        <x:is>
          <x:t xml:space="preserve">1704.03b1Organizational.12</x:t>
        </x:is>
      </x:c>
      <x:c r="E8" s="22" t="inlineStr">
        <x:is>
          <x:t xml:space="preserve">Operational</x:t>
        </x:is>
      </x:c>
      <x:c r="F8" s="22" t="inlineStr">
        <x:is>
          <x:t xml:space="preserve">ER-105</x:t>
        </x:is>
      </x:c>
      <x:c r="G8" s="22" t="inlineStr">
        <x:is>
          <x:t xml:space="preserve">45 CFR § 164.308(a)(1)(ii)(A)</x:t>
        </x:is>
      </x:c>
      <x:c r="H8" s="22" t="inlineStr">
        <x:is>
          <x:t xml:space="preserve">Security Management Process — Risk Analysis</x:t>
        </x:is>
      </x:c>
      <x:c r="I8" s="22" t="inlineStr">
        <x:is>
          <x:t xml:space="preserve">Best-fit</x:t>
        </x:is>
      </x:c>
      <x:c r="J8" s="22" t="inlineStr">
        <x:is>
          <x:t xml:space="preserve">The source spreadsheet only exposes an internal control ID on the Risk Assessment action item, so the closest authoritative HIPAA citation is Risk Analysis.</x:t>
        </x:is>
      </x:c>
      <x:c r="K8" s="22" t="inlineStr">
        <x:is>
          <x:t xml:space="preserve">https://www.ecfr.gov/current/title-45/subtitle-A/subchapter-C/part-164/section-164.308 | https://www.hhs.gov/hipaa/for-professionals/security/guidance/guidance-risk-analysis/index.html | https://www.hhs.gov/sites/default/files/ocr/privacy/hipaa/administrative/combined/hipaa-simplification-201303.pdf</x:t>
        </x:is>
      </x:c>
      <x:c r="L8" s="22" t="inlineStr">
        <x:is>
          <x:t xml:space="preserve">Matched by action-item semantics because the internal control itself is not labeled with an official HIPAA section.</x:t>
        </x:is>
      </x:c>
    </x:row>
    <x:row r="9" ht="30" customHeight="1">
      <x:c r="A9" s="22" t="inlineStr">
        <x:is>
          <x:t xml:space="preserve">REQ-12-HIPAA</x:t>
        </x:is>
      </x:c>
      <x:c r="B9" s="22" t="inlineStr">
        <x:is>
          <x:t xml:space="preserve">Information Security</x:t>
        </x:is>
      </x:c>
      <x:c r="C9" s="22" t="n">
        <x:v>1</x:v>
      </x:c>
      <x:c r="D9" s="22" t="inlineStr">
        <x:is>
          <x:t xml:space="preserve">0113.04a1Organizational.2</x:t>
        </x:is>
      </x:c>
      <x:c r="E9" s="22" t="inlineStr">
        <x:is>
          <x:t xml:space="preserve">Policy</x:t>
        </x:is>
      </x:c>
      <x:c r="F9" s="22" t="inlineStr">
        <x:is>
          <x:t xml:space="preserve">ER-57</x:t>
        </x:is>
      </x:c>
      <x:c r="G9" s="22" t="inlineStr">
        <x:is>
          <x:t xml:space="preserve">45 CFR § 164.308(a)(5)</x:t>
        </x:is>
      </x:c>
      <x:c r="H9" s="22" t="inlineStr">
        <x:is>
          <x:t xml:space="preserve">Security Awareness and Training</x:t>
        </x:is>
      </x:c>
      <x:c r="I9" s="22" t="inlineStr">
        <x:is>
          <x:t xml:space="preserve">Direct</x:t>
        </x:is>
      </x:c>
      <x:c r="J9" s="22" t="inlineStr">
        <x:is>
          <x:t xml:space="preserve">Action item and control context align to workforce security-awareness training for new hires.</x:t>
        </x:is>
      </x:c>
      <x:c r="K9" s="22"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L9" s="22" t="inlineStr">
        <x:is>
          <x:t xml:space="preserve">Mapped at the standard level because the spreadsheet does not break new-hire training into the more granular addressable sub-specifications.</x:t>
        </x:is>
      </x:c>
    </x:row>
    <x:row r="10" ht="30" customHeight="1">
      <x:c r="A10" s="22" t="inlineStr">
        <x:is>
          <x:t xml:space="preserve">REQ-12-HIPAA</x:t>
        </x:is>
      </x:c>
      <x:c r="B10" s="22" t="inlineStr">
        <x:is>
          <x:t xml:space="preserve">Information Security Policy Repository</x:t>
        </x:is>
      </x:c>
      <x:c r="C10" s="22" t="n">
        <x:v>1</x:v>
      </x:c>
      <x:c r="D10" s="22" t="inlineStr">
        <x:is>
          <x:t xml:space="preserve">0113.04a1Organizational.2</x:t>
        </x:is>
      </x:c>
      <x:c r="E10" s="22" t="inlineStr">
        <x:is>
          <x:t xml:space="preserve">Operational</x:t>
        </x:is>
      </x:c>
      <x:c r="F10" s="22" t="inlineStr">
        <x:is>
          <x:t xml:space="preserve">ER-56</x:t>
        </x:is>
      </x:c>
      <x:c r="G10" s="22" t="inlineStr">
        <x:is>
          <x:t xml:space="preserve">45 CFR § 164.308(a)(5)</x:t>
        </x:is>
      </x:c>
      <x:c r="H10" s="22" t="inlineStr">
        <x:is>
          <x:t xml:space="preserve">Security Awareness and Training</x:t>
        </x:is>
      </x:c>
      <x:c r="I10" s="22" t="inlineStr">
        <x:is>
          <x:t xml:space="preserve">Direct</x:t>
        </x:is>
      </x:c>
      <x:c r="J10" s="22" t="inlineStr">
        <x:is>
          <x:t xml:space="preserve">Action item and control context align to workforce security-awareness training for new hires.</x:t>
        </x:is>
      </x:c>
      <x:c r="K10" s="22"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L10" s="22" t="inlineStr">
        <x:is>
          <x:t xml:space="preserve">Mapped at the standard level because the spreadsheet does not break new-hire training into the more granular addressable sub-specifications.</x:t>
        </x:is>
      </x:c>
    </x:row>
    <x:row r="11" ht="30" customHeight="1">
      <x:c r="A11" s="22" t="inlineStr">
        <x:is>
          <x:t xml:space="preserve">REQ-12-HIPAA</x:t>
        </x:is>
      </x:c>
      <x:c r="B11" s="22" t="inlineStr">
        <x:is>
          <x:t xml:space="preserve">New Hire Security Awareness Training</x:t>
        </x:is>
      </x:c>
      <x:c r="C11" s="22" t="n">
        <x:v>3</x:v>
      </x:c>
      <x:c r="D11" s="22" t="inlineStr">
        <x:is>
          <x:t xml:space="preserve">13.02e1Organizational.6, 1308.09j1Organizational.5.a, 13998.02e1Organizational.2</x:t>
        </x:is>
      </x:c>
      <x:c r="E11" s="22" t="inlineStr">
        <x:is>
          <x:t xml:space="preserve">Sample</x:t>
        </x:is>
      </x:c>
      <x:c r="F11" s="22" t="inlineStr">
        <x:is>
          <x:t xml:space="preserve">ER-33</x:t>
        </x:is>
      </x:c>
      <x:c r="G11" s="22" t="inlineStr">
        <x:is>
          <x:t xml:space="preserve">45 CFR § 164.308(a)(5)</x:t>
        </x:is>
      </x:c>
      <x:c r="H11" s="22" t="inlineStr">
        <x:is>
          <x:t xml:space="preserve">Security Awareness and Training</x:t>
        </x:is>
      </x:c>
      <x:c r="I11" s="22" t="inlineStr">
        <x:is>
          <x:t xml:space="preserve">Direct</x:t>
        </x:is>
      </x:c>
      <x:c r="J11" s="22" t="inlineStr">
        <x:is>
          <x:t xml:space="preserve">Action item and control context align to workforce security-awareness training for new hires.</x:t>
        </x:is>
      </x:c>
      <x:c r="K11" s="22"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L11" s="22" t="inlineStr">
        <x:is>
          <x:t xml:space="preserve">Mapped at the standard level because the spreadsheet does not break new-hire training into the more granular addressable sub-specifications.</x:t>
        </x:is>
      </x:c>
    </x:row>
    <x:row r="12" ht="30" customHeight="1">
      <x:c r="A12" s="22" t="inlineStr">
        <x:is>
          <x:t xml:space="preserve">REQ-13-HIPAA</x:t>
        </x:is>
      </x:c>
      <x:c r="B12" s="22" t="inlineStr">
        <x:is>
          <x:t xml:space="preserve">Information Security</x:t>
        </x:is>
      </x:c>
      <x:c r="C12" s="22" t="n">
        <x:v>1</x:v>
      </x:c>
      <x:c r="D12" s="22" t="inlineStr">
        <x:is>
          <x:t xml:space="preserve">0113.04a1Organizational.2</x:t>
        </x:is>
      </x:c>
      <x:c r="E12" s="22" t="inlineStr">
        <x:is>
          <x:t xml:space="preserve">Policy</x:t>
        </x:is>
      </x:c>
      <x:c r="F12" s="22" t="inlineStr">
        <x:is>
          <x:t xml:space="preserve">ER-57</x:t>
        </x:is>
      </x:c>
      <x:c r="G12" s="22" t="inlineStr">
        <x:is>
          <x:t xml:space="preserve">45 CFR § 164.308(a)(5)</x:t>
        </x:is>
      </x:c>
      <x:c r="H12" s="22" t="inlineStr">
        <x:is>
          <x:t xml:space="preserve">Security Awareness and Training</x:t>
        </x:is>
      </x:c>
      <x:c r="I12" s="22" t="inlineStr">
        <x:is>
          <x:t xml:space="preserve">Direct</x:t>
        </x:is>
      </x:c>
      <x:c r="J12" s="22" t="inlineStr">
        <x:is>
          <x:t xml:space="preserve">Action item and control context align to ongoing/current-employee security-awareness training.</x:t>
        </x:is>
      </x:c>
      <x:c r="K12" s="22"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L12" s="22" t="inlineStr">
        <x:is>
          <x:t xml:space="preserve">Mapped at the standard level because the spreadsheet expresses periodic training broadly, not only reminders or phishing-specific sub-controls.</x:t>
        </x:is>
      </x:c>
    </x:row>
    <x:row r="13" ht="30" customHeight="1">
      <x:c r="A13" s="22" t="inlineStr">
        <x:is>
          <x:t xml:space="preserve">REQ-13-HIPAA</x:t>
        </x:is>
      </x:c>
      <x:c r="B13" s="22" t="inlineStr">
        <x:is>
          <x:t xml:space="preserve">Information Security Policy Repository</x:t>
        </x:is>
      </x:c>
      <x:c r="C13" s="22" t="n">
        <x:v>1</x:v>
      </x:c>
      <x:c r="D13" s="22" t="inlineStr">
        <x:is>
          <x:t xml:space="preserve">0113.04a1Organizational.2</x:t>
        </x:is>
      </x:c>
      <x:c r="E13" s="22" t="inlineStr">
        <x:is>
          <x:t xml:space="preserve">Operational</x:t>
        </x:is>
      </x:c>
      <x:c r="F13" s="22" t="inlineStr">
        <x:is>
          <x:t xml:space="preserve">ER-56</x:t>
        </x:is>
      </x:c>
      <x:c r="G13" s="22" t="inlineStr">
        <x:is>
          <x:t xml:space="preserve">45 CFR § 164.308(a)(5)</x:t>
        </x:is>
      </x:c>
      <x:c r="H13" s="22" t="inlineStr">
        <x:is>
          <x:t xml:space="preserve">Security Awareness and Training</x:t>
        </x:is>
      </x:c>
      <x:c r="I13" s="22" t="inlineStr">
        <x:is>
          <x:t xml:space="preserve">Direct</x:t>
        </x:is>
      </x:c>
      <x:c r="J13" s="22" t="inlineStr">
        <x:is>
          <x:t xml:space="preserve">Action item and control context align to ongoing/current-employee security-awareness training.</x:t>
        </x:is>
      </x:c>
      <x:c r="K13" s="22"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L13" s="22" t="inlineStr">
        <x:is>
          <x:t xml:space="preserve">Mapped at the standard level because the spreadsheet expresses periodic training broadly, not only reminders or phishing-specific sub-controls.</x:t>
        </x:is>
      </x:c>
    </x:row>
    <x:row r="14" ht="30" customHeight="1">
      <x:c r="A14" s="22" t="inlineStr">
        <x:is>
          <x:t xml:space="preserve">REQ-17-HIPAA</x:t>
        </x:is>
      </x:c>
      <x:c r="B14" s="22" t="inlineStr">
        <x:is>
          <x:t xml:space="preserve">Risk Assessment</x:t>
        </x:is>
      </x:c>
      <x:c r="C14" s="22" t="n">
        <x:v>1</x:v>
      </x:c>
      <x:c r="D14" s="22" t="inlineStr">
        <x:is>
          <x:t xml:space="preserve">1704.03b1Organizational.12</x:t>
        </x:is>
      </x:c>
      <x:c r="E14" s="22" t="inlineStr">
        <x:is>
          <x:t xml:space="preserve">Operational</x:t>
        </x:is>
      </x:c>
      <x:c r="F14" s="22" t="inlineStr">
        <x:is>
          <x:t xml:space="preserve">ER-105</x:t>
        </x:is>
      </x:c>
      <x:c r="G14" s="22" t="inlineStr">
        <x:is>
          <x:t xml:space="preserve">45 CFR § 164.308(a)(1)(ii)(A)</x:t>
        </x:is>
      </x:c>
      <x:c r="H14" s="22" t="inlineStr">
        <x:is>
          <x:t xml:space="preserve">Security Management Process — Risk Analysis</x:t>
        </x:is>
      </x:c>
      <x:c r="I14" s="22" t="inlineStr">
        <x:is>
          <x:t xml:space="preserve">Direct</x:t>
        </x:is>
      </x:c>
      <x:c r="J14" s="22" t="inlineStr">
        <x:is>
          <x:t xml:space="preserve">Control context aligns to identifying risks and vulnerabilities to ePHI.</x:t>
        </x:is>
      </x:c>
      <x:c r="K14" s="22"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L14" s="22" t="inlineStr">
        <x:is>
          <x:t xml:space="preserve">Risk analysis is the most direct HIPAA citation for assessment-oriented rows.</x:t>
        </x:is>
      </x:c>
    </x:row>
    <x:row r="15" ht="30" customHeight="1">
      <x:c r="A15" s="22" t="inlineStr">
        <x:is>
          <x:t xml:space="preserve">REQ-17-HIPAA</x:t>
        </x:is>
      </x:c>
      <x:c r="B15" s="22" t="inlineStr">
        <x:is>
          <x:t xml:space="preserve">Risk Management</x:t>
        </x:is>
      </x:c>
      <x:c r="C15" s="22" t="n">
        <x:v>2</x:v>
      </x:c>
      <x:c r="D15" s="22" t="inlineStr">
        <x:is>
          <x:t xml:space="preserve">1701.03a1Organizational.12345678, 1704.03b1Organizational.12</x:t>
        </x:is>
      </x:c>
      <x:c r="E15" s="22" t="inlineStr">
        <x:is>
          <x:t xml:space="preserve">Policy</x:t>
        </x:is>
      </x:c>
      <x:c r="F15" s="22" t="inlineStr">
        <x:is>
          <x:t xml:space="preserve">ER-41</x:t>
        </x:is>
      </x:c>
      <x:c r="G15" s="22" t="inlineStr">
        <x:is>
          <x:t xml:space="preserve">45 CFR § 164.308(a)(1)(ii)(A)</x:t>
        </x:is>
      </x:c>
      <x:c r="H15" s="22" t="inlineStr">
        <x:is>
          <x:t xml:space="preserve">Security Management Process — Risk Analysis</x:t>
        </x:is>
      </x:c>
      <x:c r="I15" s="22" t="inlineStr">
        <x:is>
          <x:t xml:space="preserve">Direct</x:t>
        </x:is>
      </x:c>
      <x:c r="J15" s="22" t="inlineStr">
        <x:is>
          <x:t xml:space="preserve">Control context aligns to identifying risks and vulnerabilities to ePHI.</x:t>
        </x:is>
      </x:c>
      <x:c r="K15" s="22"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L15" s="22" t="inlineStr">
        <x:is>
          <x:t xml:space="preserve">Risk analysis is the most direct HIPAA citation for assessment-oriented rows.</x:t>
        </x:is>
      </x:c>
    </x:row>
    <x:row r="16" ht="30" customHeight="1">
      <x:c r="A16" s="22" t="inlineStr">
        <x:is>
          <x:t xml:space="preserve">REQ-20-HIPAA</x:t>
        </x:is>
      </x:c>
      <x:c r="B16" s="22" t="inlineStr">
        <x:is>
          <x:t xml:space="preserve">Risk Assessment</x:t>
        </x:is>
      </x:c>
      <x:c r="C16" s="22" t="n">
        <x:v>1</x:v>
      </x:c>
      <x:c r="D16" s="22" t="inlineStr">
        <x:is>
          <x:t xml:space="preserve">1704.03b1Organizational.12</x:t>
        </x:is>
      </x:c>
      <x:c r="E16" s="22" t="inlineStr">
        <x:is>
          <x:t xml:space="preserve">Operational</x:t>
        </x:is>
      </x:c>
      <x:c r="F16" s="22" t="inlineStr">
        <x:is>
          <x:t xml:space="preserve">ER-105</x:t>
        </x:is>
      </x:c>
      <x:c r="G16" s="22" t="inlineStr">
        <x:is>
          <x:t xml:space="preserve">45 CFR § 164.308(a)(1)(ii)(B)</x:t>
        </x:is>
      </x:c>
      <x:c r="H16" s="22" t="inlineStr">
        <x:is>
          <x:t xml:space="preserve">Security Management Process — Risk Management</x:t>
        </x:is>
      </x:c>
      <x:c r="I16" s="22" t="inlineStr">
        <x:is>
          <x:t xml:space="preserve">Direct</x:t>
        </x:is>
      </x:c>
      <x:c r="J16" s="22" t="inlineStr">
        <x:is>
          <x:t xml:space="preserve">Control context aligns to reducing identified risks and vulnerabilities to a reasonable and appropriate level.</x:t>
        </x:is>
      </x:c>
      <x:c r="K16" s="22"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L16" s="22" t="inlineStr">
        <x:is>
          <x:t xml:space="preserve">Used for policy and operational rows focused on treatment/mitigation of identified risks.</x:t>
        </x:is>
      </x:c>
    </x:row>
    <x:row r="17" ht="30" customHeight="1">
      <x:c r="A17" s="22" t="inlineStr">
        <x:is>
          <x:t xml:space="preserve">REQ-20-HIPAA</x:t>
        </x:is>
      </x:c>
      <x:c r="B17" s="22" t="inlineStr">
        <x:is>
          <x:t xml:space="preserve">Risk Management</x:t>
        </x:is>
      </x:c>
      <x:c r="C17" s="22" t="n">
        <x:v>2</x:v>
      </x:c>
      <x:c r="D17" s="22" t="inlineStr">
        <x:is>
          <x:t xml:space="preserve">1701.03a1Organizational.12345678, 1704.03b1Organizational.12</x:t>
        </x:is>
      </x:c>
      <x:c r="E17" s="22" t="inlineStr">
        <x:is>
          <x:t xml:space="preserve">Policy</x:t>
        </x:is>
      </x:c>
      <x:c r="F17" s="22" t="inlineStr">
        <x:is>
          <x:t xml:space="preserve">ER-41</x:t>
        </x:is>
      </x:c>
      <x:c r="G17" s="22" t="inlineStr">
        <x:is>
          <x:t xml:space="preserve">45 CFR § 164.308(a)(1)(ii)(B)</x:t>
        </x:is>
      </x:c>
      <x:c r="H17" s="22" t="inlineStr">
        <x:is>
          <x:t xml:space="preserve">Security Management Process — Risk Management</x:t>
        </x:is>
      </x:c>
      <x:c r="I17" s="22" t="inlineStr">
        <x:is>
          <x:t xml:space="preserve">Direct</x:t>
        </x:is>
      </x:c>
      <x:c r="J17" s="22" t="inlineStr">
        <x:is>
          <x:t xml:space="preserve">Control context aligns to reducing identified risks and vulnerabilities to a reasonable and appropriate level.</x:t>
        </x:is>
      </x:c>
      <x:c r="K17" s="22"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L17" s="22" t="inlineStr">
        <x:is>
          <x:t xml:space="preserve">Used for policy and operational rows focused on treatment/mitigation of identified risks.</x:t>
        </x:is>
      </x:c>
    </x:row>
    <x:row r="18" ht="30" customHeight="1">
      <x:c r="A18" s="22" t="inlineStr">
        <x:is>
          <x:t xml:space="preserve">REQ-24-HIPAA</x:t>
        </x:is>
      </x:c>
      <x:c r="B18" s="22" t="inlineStr">
        <x:is>
          <x:t xml:space="preserve">Access Control</x:t>
        </x:is>
      </x:c>
      <x:c r="C18" s="22" t="n">
        <x:v>1</x:v>
      </x:c>
      <x:c r="D18" s="22" t="inlineStr">
        <x:is>
          <x:t xml:space="preserve">11.01e1System.2</x:t>
        </x:is>
      </x:c>
      <x:c r="E18" s="22" t="inlineStr">
        <x:is>
          <x:t xml:space="preserve">Policy</x:t>
        </x:is>
      </x:c>
      <x:c r="F18" s="22" t="inlineStr">
        <x:is>
          <x:t xml:space="preserve">ER-86</x:t>
        </x:is>
      </x:c>
      <x:c r="G18" s="22" t="inlineStr">
        <x:is>
          <x:t xml:space="preserve">45 CFR § 164.312(a)(1); 45 CFR § 164.308(a)(4)(i)</x:t>
        </x:is>
      </x:c>
      <x:c r="H18" s="22" t="inlineStr">
        <x:is>
          <x:t xml:space="preserve">Access Control; Information Access Management</x:t>
        </x:is>
      </x:c>
      <x:c r="I18" s="22" t="inlineStr">
        <x:is>
          <x:t xml:space="preserve">Composite</x:t>
        </x:is>
      </x:c>
      <x:c r="J18" s="22" t="inlineStr">
        <x:is>
          <x:t xml:space="preserve">Broad access-control policy control spans both the technical access-control standard and the administrative information-access-management standard.</x:t>
        </x:is>
      </x:c>
      <x:c r="K18" s="22"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https://www.hhs.gov/sites/default/files/ocr/privacy/hipaa/administrative/combined/hipaa-simplification-201303.pdf</x:t>
        </x:is>
      </x:c>
      <x:c r="L18" s="22" t="inlineStr">
        <x:is>
          <x:t xml:space="preserve">Used when the spreadsheet row is a general access-control policy without a narrower authorization/review/termination artifact.</x:t>
        </x:is>
      </x:c>
    </x:row>
    <x:row r="19" ht="30" customHeight="1">
      <x:c r="A19" s="22" t="inlineStr">
        <x:is>
          <x:t xml:space="preserve">REQ-26-HIPAA</x:t>
        </x:is>
      </x:c>
      <x:c r="B19" s="22" t="inlineStr">
        <x:is>
          <x:t xml:space="preserve">Password and Multi-Factor Authentication</x:t>
        </x:is>
      </x:c>
      <x:c r="C19" s="22" t="n">
        <x:v>2</x:v>
      </x:c>
      <x:c r="D19" s="22" t="inlineStr">
        <x:is>
          <x:t xml:space="preserve">10.01d1System.10, 11.01p1System.5</x:t>
        </x:is>
      </x:c>
      <x:c r="E19" s="22" t="inlineStr">
        <x:is>
          <x:t xml:space="preserve">Policy</x:t>
        </x:is>
      </x:c>
      <x:c r="F19" s="22" t="inlineStr">
        <x:is>
          <x:t xml:space="preserve">ER-24</x:t>
        </x:is>
      </x:c>
      <x:c r="G19" s="22" t="inlineStr">
        <x:is>
          <x:t xml:space="preserve">45 CFR § 164.308(a)(5)(ii)(D); 45 CFR § 164.312(d)</x:t>
        </x:is>
      </x:c>
      <x:c r="H19" s="22" t="inlineStr">
        <x:is>
          <x:t xml:space="preserve">Security Awareness and Training — Password Management; Person or Entity Authentication</x:t>
        </x:is>
      </x:c>
      <x:c r="I19" s="22" t="inlineStr">
        <x:is>
          <x:t xml:space="preserve">Composite</x:t>
        </x:is>
      </x:c>
      <x:c r="J19" s="22" t="inlineStr">
        <x:is>
          <x:t xml:space="preserve">Action item explicitly combines password controls with MFA, so both password management and authentication verification are cited.</x:t>
        </x:is>
      </x:c>
      <x:c r="K19" s="22"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L19" s="22" t="inlineStr">
        <x:is>
          <x:t xml:space="preserve">Covers password creation/change/safeguarding and MFA-style authentication evidence.</x:t>
        </x:is>
      </x:c>
    </x:row>
    <x:row r="20" ht="30" customHeight="1">
      <x:c r="A20" s="22" t="inlineStr">
        <x:is>
          <x:t xml:space="preserve">REQ-26-HIPAA</x:t>
        </x:is>
      </x:c>
      <x:c r="B20" s="22" t="inlineStr">
        <x:is>
          <x:t xml:space="preserve">Passwords for All In-Scope Production Systems</x:t>
        </x:is>
      </x:c>
      <x:c r="C20" s="22" t="n">
        <x:v>1</x:v>
      </x:c>
      <x:c r="D20" s="22" t="inlineStr">
        <x:is>
          <x:t xml:space="preserve">10.01d1System.10</x:t>
        </x:is>
      </x:c>
      <x:c r="E20" s="22" t="inlineStr">
        <x:is>
          <x:t xml:space="preserve">Configuration</x:t>
        </x:is>
      </x:c>
      <x:c r="F20" s="22" t="inlineStr">
        <x:is>
          <x:t xml:space="preserve">ER-25</x:t>
        </x:is>
      </x:c>
      <x:c r="G20" s="22" t="inlineStr">
        <x:is>
          <x:t xml:space="preserve">45 CFR § 164.308(a)(5)(ii)(D); 45 CFR § 164.312(a)(1)</x:t>
        </x:is>
      </x:c>
      <x:c r="H20" s="22" t="inlineStr">
        <x:is>
          <x:t xml:space="preserve">Security Awareness and Training — Password Management; Access Control</x:t>
        </x:is>
      </x:c>
      <x:c r="I20" s="22" t="inlineStr">
        <x:is>
          <x:t xml:space="preserve">Composite</x:t>
        </x:is>
      </x:c>
      <x:c r="J20" s="22" t="inlineStr">
        <x:is>
          <x:t xml:space="preserve">Password configuration evidence most directly aligns to password-management requirements and the broader access-control standard.</x:t>
        </x:is>
      </x:c>
      <x:c r="K20" s="22"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L20" s="22" t="inlineStr">
        <x:is>
          <x:t xml:space="preserve">This row is password-configuration evidence; MFA is not the primary evidence artifact here.</x:t>
        </x:is>
      </x:c>
    </x:row>
    <x:row r="21" ht="30" customHeight="1">
      <x:c r="A21" s="22" t="inlineStr">
        <x:is>
          <x:t xml:space="preserve">REQ-27-HIPAA</x:t>
        </x:is>
      </x:c>
      <x:c r="B21" s="22" t="inlineStr">
        <x:is>
          <x:t xml:space="preserve">Evidence of Multi-Factor Authentication</x:t>
        </x:is>
      </x:c>
      <x:c r="C21" s="22" t="n">
        <x:v>2</x:v>
      </x:c>
      <x:c r="D21" s="22" t="inlineStr">
        <x:is>
          <x:t xml:space="preserve">11.01q1System.3, 11.01q1System.4</x:t>
        </x:is>
      </x:c>
      <x:c r="E21" s="22" t="inlineStr">
        <x:is>
          <x:t xml:space="preserve">Configuration</x:t>
        </x:is>
      </x:c>
      <x:c r="F21" s="22" t="inlineStr">
        <x:is>
          <x:t xml:space="preserve">ER-88</x:t>
        </x:is>
      </x:c>
      <x:c r="G21" s="22" t="inlineStr">
        <x:is>
          <x:t xml:space="preserve">45 CFR § 164.312(d)</x:t>
        </x:is>
      </x:c>
      <x:c r="H21" s="22" t="inlineStr">
        <x:is>
          <x:t xml:space="preserve">Person or Entity Authentication</x:t>
        </x:is>
      </x:c>
      <x:c r="I21" s="22" t="inlineStr">
        <x:is>
          <x:t xml:space="preserve">Direct</x:t>
        </x:is>
      </x:c>
      <x:c r="J21" s="22" t="inlineStr">
        <x:is>
          <x:t xml:space="preserve">MFA evidence most directly supports verifying that the person or entity seeking access is the one claimed.</x:t>
        </x:is>
      </x:c>
      <x:c r="K21" s="22"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L21" s="22" t="inlineStr">
        <x:is>
          <x:t xml:space="preserve">HIPAA does not mandate a specific technology such as MFA in all cases, but MFA evidence is a strong implementation of this standard.</x:t>
        </x:is>
      </x:c>
    </x:row>
    <x:row r="22" ht="30" customHeight="1">
      <x:c r="A22" s="22" t="inlineStr">
        <x:is>
          <x:t xml:space="preserve">REQ-28-HIPAA</x:t>
        </x:is>
      </x:c>
      <x:c r="B22" s="22" t="inlineStr">
        <x:is>
          <x:t xml:space="preserve">Password Vault and Shared Accounts</x:t>
        </x:is>
      </x:c>
      <x:c r="C22" s="22" t="n">
        <x:v>1</x:v>
      </x:c>
      <x:c r="D22" s="22" t="inlineStr">
        <x:is>
          <x:t xml:space="preserve">1123.01q1System.2</x:t>
        </x:is>
      </x:c>
      <x:c r="E22" s="22" t="inlineStr">
        <x:is>
          <x:t xml:space="preserve">Configuration</x:t>
        </x:is>
      </x:c>
      <x:c r="F22" s="22" t="inlineStr">
        <x:is>
          <x:t xml:space="preserve">ER-67</x:t>
        </x:is>
      </x:c>
      <x:c r="G22" s="22" t="inlineStr">
        <x:is>
          <x:t xml:space="preserve">45 CFR § 164.312(a)(2)(i); 45 CFR § 164.308(a)(4)(ii)(C)</x:t>
        </x:is>
      </x:c>
      <x:c r="H22" s="22" t="inlineStr">
        <x:is>
          <x:t xml:space="preserve">Access Control — Unique User Identification; Information Access Management — Access Establishment and Modification</x:t>
        </x:is>
      </x:c>
      <x:c r="I22" s="22" t="inlineStr">
        <x:is>
          <x:t xml:space="preserve">Composite</x:t>
        </x:is>
      </x:c>
      <x:c r="J22" s="22" t="inlineStr">
        <x:is>
          <x:t xml:space="preserve">Password-vault/shared-account and privileged-access evidence supports unique attribution of user activity and management of privileged rights.</x:t>
        </x:is>
      </x:c>
      <x:c r="K22" s="22"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https://www.hhs.gov/sites/default/files/ocr/privacy/hipaa/administrative/securityrule/adminsafeguards.pdf</x:t>
        </x:is>
      </x:c>
      <x:c r="L22" s="22" t="inlineStr">
        <x:is>
          <x:t xml:space="preserve">Shared or generic-account controls are best matched to unique user identification, with access-right administration as a secondary basis.</x:t>
        </x:is>
      </x:c>
    </x:row>
    <x:row r="23" ht="30" customHeight="1">
      <x:c r="A23" s="22" t="inlineStr">
        <x:is>
          <x:t xml:space="preserve">REQ-29-HIPAA</x:t>
        </x:is>
      </x:c>
      <x:c r="B23" s="22" t="inlineStr">
        <x:is>
          <x:t xml:space="preserve">Access Control</x:t>
        </x:is>
      </x:c>
      <x:c r="C23" s="22" t="n">
        <x:v>1</x:v>
      </x:c>
      <x:c r="D23" s="22" t="inlineStr">
        <x:is>
          <x:t xml:space="preserve">11.01e1System.2</x:t>
        </x:is>
      </x:c>
      <x:c r="E23" s="22" t="inlineStr">
        <x:is>
          <x:t xml:space="preserve">Policy</x:t>
        </x:is>
      </x:c>
      <x:c r="F23" s="22" t="inlineStr">
        <x:is>
          <x:t xml:space="preserve">ER-86</x:t>
        </x:is>
      </x:c>
      <x:c r="G23" s="22" t="inlineStr">
        <x:is>
          <x:t xml:space="preserve">45 CFR § 164.308(a)(4)(ii)(C)</x:t>
        </x:is>
      </x:c>
      <x:c r="H23" s="22" t="inlineStr">
        <x:is>
          <x:t xml:space="preserve">Information Access Management — Access Establishment and Modification</x:t>
        </x:is>
      </x:c>
      <x:c r="I23" s="22" t="inlineStr">
        <x:is>
          <x:t xml:space="preserve">Direct</x:t>
        </x:is>
      </x:c>
      <x:c r="J23" s="22" t="inlineStr">
        <x:is>
          <x:t xml:space="preserve">Access-review documentation aligns directly to the requirement to establish, document, review, and modify user rights of access.</x:t>
        </x:is>
      </x:c>
      <x:c r="K23" s="22"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L23" s="22" t="inlineStr">
        <x:is>
          <x:t xml:space="preserve">Used for both access-review evidence and broader policy statements that emphasize periodic review/modification.</x:t>
        </x:is>
      </x:c>
    </x:row>
    <x:row r="24" ht="30" customHeight="1">
      <x:c r="A24" s="22" t="inlineStr">
        <x:is>
          <x:t xml:space="preserve">REQ-29-HIPAA</x:t>
        </x:is>
      </x:c>
      <x:c r="B24" s="22" t="inlineStr">
        <x:is>
          <x:t xml:space="preserve">Access Review Documentation</x:t>
        </x:is>
      </x:c>
      <x:c r="C24" s="22" t="n">
        <x:v>1</x:v>
      </x:c>
      <x:c r="D24" s="22" t="inlineStr">
        <x:is>
          <x:t xml:space="preserve">11.01e1System.2</x:t>
        </x:is>
      </x:c>
      <x:c r="E24" s="22" t="inlineStr">
        <x:is>
          <x:t xml:space="preserve">Sample</x:t>
        </x:is>
      </x:c>
      <x:c r="F24" s="22" t="inlineStr">
        <x:is>
          <x:t xml:space="preserve">ER-87</x:t>
        </x:is>
      </x:c>
      <x:c r="G24" s="22" t="inlineStr">
        <x:is>
          <x:t xml:space="preserve">45 CFR § 164.308(a)(4)(ii)(C)</x:t>
        </x:is>
      </x:c>
      <x:c r="H24" s="22" t="inlineStr">
        <x:is>
          <x:t xml:space="preserve">Information Access Management — Access Establishment and Modification</x:t>
        </x:is>
      </x:c>
      <x:c r="I24" s="22" t="inlineStr">
        <x:is>
          <x:t xml:space="preserve">Direct</x:t>
        </x:is>
      </x:c>
      <x:c r="J24" s="22" t="inlineStr">
        <x:is>
          <x:t xml:space="preserve">Access-review documentation aligns directly to the requirement to establish, document, review, and modify user rights of access.</x:t>
        </x:is>
      </x:c>
      <x:c r="K24" s="22"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L24" s="22" t="inlineStr">
        <x:is>
          <x:t xml:space="preserve">Used for both access-review evidence and broader policy statements that emphasize periodic review/modification.</x:t>
        </x:is>
      </x:c>
    </x:row>
    <x:row r="25" ht="30" customHeight="1">
      <x:c r="A25" s="22" t="inlineStr">
        <x:is>
          <x:t xml:space="preserve">REQ-30-HIPAA</x:t>
        </x:is>
      </x:c>
      <x:c r="B25" s="22" t="inlineStr">
        <x:is>
          <x:t xml:space="preserve">Access Control</x:t>
        </x:is>
      </x:c>
      <x:c r="C25" s="22" t="n">
        <x:v>1</x:v>
      </x:c>
      <x:c r="D25" s="22" t="inlineStr">
        <x:is>
          <x:t xml:space="preserve">11.01e1System.2</x:t>
        </x:is>
      </x:c>
      <x:c r="E25" s="22" t="inlineStr">
        <x:is>
          <x:t xml:space="preserve">Policy</x:t>
        </x:is>
      </x:c>
      <x:c r="F25" s="22" t="inlineStr">
        <x:is>
          <x:t xml:space="preserve">ER-86</x:t>
        </x:is>
      </x:c>
      <x:c r="G25" s="22" t="inlineStr">
        <x:is>
          <x:t xml:space="preserve">45 CFR § 164.308(a)(4)(ii)(B)</x:t>
        </x:is>
      </x:c>
      <x:c r="H25" s="22" t="inlineStr">
        <x:is>
          <x:t xml:space="preserve">Information Access Management — Access Authorization</x:t>
        </x:is>
      </x:c>
      <x:c r="I25" s="22" t="inlineStr">
        <x:is>
          <x:t xml:space="preserve">Direct</x:t>
        </x:is>
      </x:c>
      <x:c r="J25" s="22" t="inlineStr">
        <x:is>
          <x:t xml:space="preserve">New-hire access request and approval evidence aligns directly to access authorization.</x:t>
        </x:is>
      </x:c>
      <x:c r="K25" s="22"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L25" s="22" t="inlineStr">
        <x:is>
          <x:t xml:space="preserve">Used for access-request forms/templates and access-control rows that center on approvals.</x:t>
        </x:is>
      </x:c>
    </x:row>
    <x:row r="26" ht="30" customHeight="1">
      <x:c r="A26" s="22" t="inlineStr">
        <x:is>
          <x:t xml:space="preserve">REQ-30-HIPAA</x:t>
        </x:is>
      </x:c>
      <x:c r="B26" s="22" t="inlineStr">
        <x:is>
          <x:t xml:space="preserve">New Hire Access Request Form</x:t>
        </x:is>
      </x:c>
      <x:c r="C26" s="22" t="n">
        <x:v>1</x:v>
      </x:c>
      <x:c r="D26" s="22" t="inlineStr">
        <x:is>
          <x:t xml:space="preserve">1143.01c1System.123</x:t>
        </x:is>
      </x:c>
      <x:c r="E26" s="22" t="inlineStr">
        <x:is>
          <x:t xml:space="preserve">Sample</x:t>
        </x:is>
      </x:c>
      <x:c r="F26" s="22" t="inlineStr">
        <x:is>
          <x:t xml:space="preserve">ER-89</x:t>
        </x:is>
      </x:c>
      <x:c r="G26" s="22" t="inlineStr">
        <x:is>
          <x:t xml:space="preserve">45 CFR § 164.308(a)(4)(ii)(B)</x:t>
        </x:is>
      </x:c>
      <x:c r="H26" s="22" t="inlineStr">
        <x:is>
          <x:t xml:space="preserve">Information Access Management — Access Authorization</x:t>
        </x:is>
      </x:c>
      <x:c r="I26" s="22" t="inlineStr">
        <x:is>
          <x:t xml:space="preserve">Direct</x:t>
        </x:is>
      </x:c>
      <x:c r="J26" s="22" t="inlineStr">
        <x:is>
          <x:t xml:space="preserve">New-hire access request and approval evidence aligns directly to access authorization.</x:t>
        </x:is>
      </x:c>
      <x:c r="K26" s="22"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L26" s="22" t="inlineStr">
        <x:is>
          <x:t xml:space="preserve">Used for access-request forms/templates and access-control rows that center on approvals.</x:t>
        </x:is>
      </x:c>
    </x:row>
    <x:row r="27" ht="30" customHeight="1">
      <x:c r="A27" s="22" t="inlineStr">
        <x:is>
          <x:t xml:space="preserve">REQ-31-HIPAA</x:t>
        </x:is>
      </x:c>
      <x:c r="B27" s="22" t="inlineStr">
        <x:is>
          <x:t xml:space="preserve">Access Control</x:t>
        </x:is>
      </x:c>
      <x:c r="C27" s="22" t="n">
        <x:v>1</x:v>
      </x:c>
      <x:c r="D27" s="22" t="inlineStr">
        <x:is>
          <x:t xml:space="preserve">11.01e1System.2</x:t>
        </x:is>
      </x:c>
      <x:c r="E27" s="22" t="inlineStr">
        <x:is>
          <x:t xml:space="preserve">Policy</x:t>
        </x:is>
      </x:c>
      <x:c r="F27" s="22" t="inlineStr">
        <x:is>
          <x:t xml:space="preserve">ER-86</x:t>
        </x:is>
      </x:c>
      <x:c r="G27" s="22" t="inlineStr">
        <x:is>
          <x:t xml:space="preserve">45 CFR § 164.308(a)(3)(ii)(C); 45 CFR § 164.308(a)(4)(ii)(C)</x:t>
        </x:is>
      </x:c>
      <x:c r="H27" s="22" t="inlineStr">
        <x:is>
          <x:t xml:space="preserve">Workforce Security — Termination Procedures; Information Access Management — Access Establishment and Modification</x:t>
        </x:is>
      </x:c>
      <x:c r="I27" s="22" t="inlineStr">
        <x:is>
          <x:t xml:space="preserve">Composite</x:t>
        </x:is>
      </x:c>
      <x:c r="J27" s="22" t="inlineStr">
        <x:is>
          <x:t xml:space="preserve">The same internal control appears within a general access-control policy row; termination remains the most likely HIPAA basis, with access-right modification as supporting context.</x:t>
        </x:is>
      </x:c>
      <x:c r="K27" s="22" t="inlineStr">
        <x:is>
          <x:t xml:space="preserve">https://www.ecfr.gov/current/title-45/subtitle-A/subchapter-C/part-164/section-164.308 | https://www.hhs.gov/hipaa/for-professionals/compliance-enforcement/audit/protocol/index.html | https://www.hhs.gov/hipaa/for-professionals/security/guidance/cybersecurity-newsletter-summer-2019/index.html</x:t>
        </x:is>
      </x:c>
      <x:c r="L27" s="22" t="inlineStr">
        <x:is>
          <x:t xml:space="preserve">Mapped conservatively because the internal control ID spans both termination evidence and access-control policy language.</x:t>
        </x:is>
      </x:c>
    </x:row>
    <x:row r="28" ht="30" customHeight="1">
      <x:c r="A28" s="22" t="inlineStr">
        <x:is>
          <x:t xml:space="preserve">REQ-31-HIPAA</x:t>
        </x:is>
      </x:c>
      <x:c r="B28" s="22" t="inlineStr">
        <x:is>
          <x:t xml:space="preserve">All Terminated Employees During the Review Period [INSERT EXAM PERIOD]</x:t>
        </x:is>
      </x:c>
      <x:c r="C28" s="22" t="n">
        <x:v>1</x:v>
      </x:c>
      <x:c r="D28" s="22" t="inlineStr">
        <x:is>
          <x:t xml:space="preserve">11143.02i1Organizational.3</x:t>
        </x:is>
      </x:c>
      <x:c r="E28" s="22" t="inlineStr">
        <x:is>
          <x:t xml:space="preserve">Population</x:t>
        </x:is>
      </x:c>
      <x:c r="F28" s="22" t="inlineStr">
        <x:is>
          <x:t xml:space="preserve">ER-136</x:t>
        </x:is>
      </x:c>
      <x:c r="G28" s="22" t="inlineStr">
        <x:is>
          <x:t xml:space="preserve">45 CFR § 164.308(a)(3)(ii)(C); 45 CFR § 164.316(b)(1)</x:t>
        </x:is>
      </x:c>
      <x:c r="H28" s="22" t="inlineStr">
        <x:is>
          <x:t xml:space="preserve">Workforce Security — Termination Procedures; Documentation</x:t>
        </x:is>
      </x:c>
      <x:c r="I28" s="22" t="inlineStr">
        <x:is>
          <x:t xml:space="preserve">Composite</x:t>
        </x:is>
      </x:c>
      <x:c r="J28" s="22" t="inlineStr">
        <x:is>
          <x:t xml:space="preserve">Termination tickets/population evidence align directly to terminating access and documenting the action taken.</x:t>
        </x:is>
      </x:c>
      <x:c r="K28" s="22"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L28" s="22" t="inlineStr">
        <x:is>
          <x:t xml:space="preserve">Documentation is added because the row is explicit evidence that access-removal events were carried out and recorded.</x:t>
        </x:is>
      </x:c>
    </x:row>
    <x:row r="29" ht="30" customHeight="1">
      <x:c r="A29" s="22" t="inlineStr">
        <x:is>
          <x:t xml:space="preserve">REQ-31-HIPAA</x:t>
        </x:is>
      </x:c>
      <x:c r="B29" s="22" t="inlineStr">
        <x:is>
          <x:t xml:space="preserve">Employee Termination Ticket</x:t>
        </x:is>
      </x:c>
      <x:c r="C29" s="22" t="n">
        <x:v>1</x:v>
      </x:c>
      <x:c r="D29" s="22" t="inlineStr">
        <x:is>
          <x:t xml:space="preserve">11143.02i1Organizational.3</x:t>
        </x:is>
      </x:c>
      <x:c r="E29" s="22" t="inlineStr">
        <x:is>
          <x:t xml:space="preserve">Sample</x:t>
        </x:is>
      </x:c>
      <x:c r="F29" s="22" t="inlineStr">
        <x:is>
          <x:t xml:space="preserve">ER-84</x:t>
        </x:is>
      </x:c>
      <x:c r="G29" s="22" t="inlineStr">
        <x:is>
          <x:t xml:space="preserve">45 CFR § 164.308(a)(3)(ii)(C); 45 CFR § 164.316(b)(1)</x:t>
        </x:is>
      </x:c>
      <x:c r="H29" s="22" t="inlineStr">
        <x:is>
          <x:t xml:space="preserve">Workforce Security — Termination Procedures; Documentation</x:t>
        </x:is>
      </x:c>
      <x:c r="I29" s="22" t="inlineStr">
        <x:is>
          <x:t xml:space="preserve">Composite</x:t>
        </x:is>
      </x:c>
      <x:c r="J29" s="22" t="inlineStr">
        <x:is>
          <x:t xml:space="preserve">Termination tickets/population evidence align directly to terminating access and documenting the action taken.</x:t>
        </x:is>
      </x:c>
      <x:c r="K29" s="22"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L29" s="22" t="inlineStr">
        <x:is>
          <x:t xml:space="preserve">Documentation is added because the row is explicit evidence that access-removal events were carried out and recorded.</x:t>
        </x:is>
      </x:c>
    </x:row>
    <x:row r="30" ht="30" customHeight="1">
      <x:c r="A30" s="22" t="inlineStr">
        <x:is>
          <x:t xml:space="preserve">REQ-31-HIPAA</x:t>
        </x:is>
      </x:c>
      <x:c r="B30" s="22" t="inlineStr">
        <x:is>
          <x:t xml:space="preserve">Password Vault and Shared Accounts</x:t>
        </x:is>
      </x:c>
      <x:c r="C30" s="22" t="n">
        <x:v>1</x:v>
      </x:c>
      <x:c r="D30" s="22" t="inlineStr">
        <x:is>
          <x:t xml:space="preserve">1123.01q1System.2</x:t>
        </x:is>
      </x:c>
      <x:c r="E30" s="22" t="inlineStr">
        <x:is>
          <x:t xml:space="preserve">Configuration</x:t>
        </x:is>
      </x:c>
      <x:c r="F30" s="22" t="inlineStr">
        <x:is>
          <x:t xml:space="preserve">ER-67</x:t>
        </x:is>
      </x:c>
      <x:c r="G30" s="22" t="inlineStr">
        <x:is>
          <x:t xml:space="preserve">45 CFR § 164.308(a)(3)(ii)(C); 45 CFR § 164.312(a)(2)(i)</x:t>
        </x:is>
      </x:c>
      <x:c r="H30" s="22" t="inlineStr">
        <x:is>
          <x:t xml:space="preserve">Workforce Security — Termination Procedures; Access Control — Unique User Identification</x:t>
        </x:is>
      </x:c>
      <x:c r="I30" s="22" t="inlineStr">
        <x:is>
          <x:t xml:space="preserve">Composite</x:t>
        </x:is>
      </x:c>
      <x:c r="J30" s="22" t="inlineStr">
        <x:is>
          <x:t xml:space="preserve">Shared-account and privileged-access listings support timely removal of departing users and accountability for access tied to individuals.</x:t>
        </x:is>
      </x:c>
      <x:c r="K30" s="22" t="inlineStr">
        <x:is>
          <x:t xml:space="preserve">https://www.ecfr.gov/current/title-45/subtitle-A/subchapter-C/part-164/section-164.308 | https://www.ecfr.gov/current/title-45/subtitle-A/subchapter-C/part-164/section-164.312 | https://www.hhs.gov/hipaa/for-professionals/compliance-enforcement/audit/protocol/index.html | https://www.hhs.gov/hipaa/for-professionals/security/guidance/cybersecurity-newsletter-summer-2019/index.html</x:t>
        </x:is>
      </x:c>
      <x:c r="L30" s="22" t="inlineStr">
        <x:is>
          <x:t xml:space="preserve">Best read as supporting evidence that terminated users are removed from shared/privileged access paths.</x:t>
        </x:is>
      </x:c>
    </x:row>
    <x:row r="31" ht="30" customHeight="1">
      <x:c r="A31" s="22" t="inlineStr">
        <x:is>
          <x:t xml:space="preserve">REQ-32-HIPAA</x:t>
        </x:is>
      </x:c>
      <x:c r="B31" s="22" t="inlineStr">
        <x:is>
          <x:t xml:space="preserve">Data Classification, Retention and Disposal</x:t>
        </x:is>
      </x:c>
      <x:c r="C31" s="22" t="n">
        <x:v>5</x:v>
      </x:c>
      <x:c r="D31" s="22" t="inlineStr">
        <x:is>
          <x:t xml:space="preserve">0305.09q1Organizational.12, 1239.09aa1System.4, 1616.09l1Organizational.16, 1767.07d1Organizational.2, 19142.06c1Organizational.8</x:t>
        </x:is>
      </x:c>
      <x:c r="E31" s="22" t="inlineStr">
        <x:is>
          <x:t xml:space="preserve">Policy</x:t>
        </x:is>
      </x:c>
      <x:c r="F31" s="22" t="inlineStr">
        <x:is>
          <x:t xml:space="preserve">ER-108</x:t>
        </x:is>
      </x:c>
      <x:c r="G31" s="22" t="inlineStr">
        <x:is>
          <x:t xml:space="preserve">45 CFR § 164.310(d)(2)(i)</x:t>
        </x:is>
      </x:c>
      <x:c r="H31" s="22" t="inlineStr">
        <x:is>
          <x:t xml:space="preserve">Device and Media Controls — Disposal</x:t>
        </x:is>
      </x:c>
      <x:c r="I31" s="22" t="inlineStr">
        <x:is>
          <x:t xml:space="preserve">Best-fit</x:t>
        </x:is>
      </x:c>
      <x:c r="J31" s="22" t="inlineStr">
        <x:is>
          <x:t xml:space="preserve">The direct HIPAA overlap in this action item is final disposition/disposal; HIPAA does not explicitly name data classification or retention as standalone Security Rule specifications.</x:t>
        </x:is>
      </x:c>
      <x:c r="K31" s="22"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L31" s="22" t="inlineStr">
        <x:is>
          <x:t xml:space="preserve">Only the disposal portion of the action item maps directly to an express HIPAA implementation specification.</x:t>
        </x:is>
      </x:c>
    </x:row>
    <x:row r="32" ht="30" customHeight="1">
      <x:c r="A32" s="22" t="inlineStr">
        <x:is>
          <x:t xml:space="preserve">REQ-33-HIPAA</x:t>
        </x:is>
      </x:c>
      <x:c r="B32" s="22" t="inlineStr">
        <x:is>
          <x:t xml:space="preserve">Data Encryption at Rest</x:t>
        </x:is>
      </x:c>
      <x:c r="C32" s="22" t="n">
        <x:v>2</x:v>
      </x:c>
      <x:c r="D32" s="22" t="inlineStr">
        <x:is>
          <x:t xml:space="preserve">04.01x1Organizational.5, 1903.06d1Organizational.3456711</x:t>
        </x:is>
      </x:c>
      <x:c r="E32" s="22" t="inlineStr">
        <x:is>
          <x:t xml:space="preserve">Configuration</x:t>
        </x:is>
      </x:c>
      <x:c r="F32" s="22" t="inlineStr">
        <x:is>
          <x:t xml:space="preserve">ER-1</x:t>
        </x:is>
      </x:c>
      <x:c r="G32" s="22" t="inlineStr">
        <x:is>
          <x:t xml:space="preserve">45 CFR § 164.312(a)(2)(iv)</x:t>
        </x:is>
      </x:c>
      <x:c r="H32" s="22" t="inlineStr">
        <x:is>
          <x:t xml:space="preserve">Access Control — Encryption and Decryption</x:t>
        </x:is>
      </x:c>
      <x:c r="I32" s="22" t="inlineStr">
        <x:is>
          <x:t xml:space="preserve">Direct</x:t>
        </x:is>
      </x:c>
      <x:c r="J32" s="22" t="inlineStr">
        <x:is>
          <x:t xml:space="preserve">At-rest encryption evidence aligns directly to the encryption/decryption implementation specification under access control.</x:t>
        </x:is>
      </x:c>
      <x:c r="K32" s="22"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L32" s="22" t="inlineStr">
        <x:is>
          <x:t xml:space="preserve">Used when the shared action item is explicitly at-rest encryption.</x:t>
        </x:is>
      </x:c>
    </x:row>
    <x:row r="33" ht="30" customHeight="1">
      <x:c r="A33" s="22" t="inlineStr">
        <x:is>
          <x:t xml:space="preserve">REQ-33-HIPAA</x:t>
        </x:is>
      </x:c>
      <x:c r="B33" s="22" t="inlineStr">
        <x:is>
          <x:t xml:space="preserve">Encryption In Transit (Ex. TLS Protocols)</x:t>
        </x:is>
      </x:c>
      <x:c r="C33" s="22" t="n">
        <x:v>8</x:v>
      </x:c>
      <x:c r="D33" s="22" t="inlineStr">
        <x:is>
          <x:t xml:space="preserve">04.01x1Organizational.5, 0862.09m2Organizational.8, 0903.10f1Organizational.1.a, 0913.09s1Organizational.5, 0928.09v2Organizational.1, 0945.09y1Organizational.3, 0954.10d1System.1, 1013.01r1System.2</x:t>
        </x:is>
      </x:c>
      <x:c r="E33" s="22" t="inlineStr">
        <x:is>
          <x:t xml:space="preserve">Configuration</x:t>
        </x:is>
      </x:c>
      <x:c r="F33" s="22" t="inlineStr">
        <x:is>
          <x:t xml:space="preserve">ER-3</x:t>
        </x:is>
      </x:c>
      <x:c r="G33" s="22" t="inlineStr">
        <x:is>
          <x:t xml:space="preserve">45 CFR § 164.312(e)(2)(ii)</x:t>
        </x:is>
      </x:c>
      <x:c r="H33" s="22" t="inlineStr">
        <x:is>
          <x:t xml:space="preserve">Transmission Security — Encryption</x:t>
        </x:is>
      </x:c>
      <x:c r="I33" s="22" t="inlineStr">
        <x:is>
          <x:t xml:space="preserve">Direct</x:t>
        </x:is>
      </x:c>
      <x:c r="J33" s="22" t="inlineStr">
        <x:is>
          <x:t xml:space="preserve">Transmission-encryption evidence aligns directly to the transmission-security encryption implementation specification.</x:t>
        </x:is>
      </x:c>
      <x:c r="K33" s="22"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L33" s="22" t="inlineStr">
        <x:is>
          <x:t xml:space="preserve">Used when the shared action item is explicitly in-transit encryption.</x:t>
        </x:is>
      </x:c>
    </x:row>
    <x:row r="34" ht="30" customHeight="1">
      <x:c r="A34" s="22" t="inlineStr">
        <x:is>
          <x:t xml:space="preserve">REQ-33-HIPAA</x:t>
        </x:is>
      </x:c>
      <x:c r="B34" s="22" t="inlineStr">
        <x:is>
          <x:t xml:space="preserve">List of All Production Systems (Servers, VMs, Data Stores)</x:t>
        </x:is>
      </x:c>
      <x:c r="C34" s="22" t="n">
        <x:v>3</x:v>
      </x:c>
      <x:c r="D34" s="22" t="inlineStr">
        <x:is>
          <x:t xml:space="preserve">07.07a1Organizational.8, 0701.07a1Organizational.7, 0701.07a1Organizational.8</x:t>
        </x:is>
      </x:c>
      <x:c r="E34" s="22" t="inlineStr">
        <x:is>
          <x:t xml:space="preserve">Configuration</x:t>
        </x:is>
      </x:c>
      <x:c r="F34" s="22" t="inlineStr">
        <x:is>
          <x:t xml:space="preserve">ER-12</x:t>
        </x:is>
      </x:c>
      <x:c r="G34" s="22" t="inlineStr">
        <x:is>
          <x:t xml:space="preserve">45 CFR § 164.308(a)(1)(ii)(A); 45 CFR § 164.312(a)(2)(iv); 45 CFR § 164.312(e)(2)(ii)</x:t>
        </x:is>
      </x:c>
      <x:c r="H34" s="22" t="inlineStr">
        <x:is>
          <x:t xml:space="preserve">Security Management Process — Risk Analysis; Access Control — Encryption and Decryption; Transmission Security — Encryption</x:t>
        </x:is>
      </x:c>
      <x:c r="I34" s="22" t="inlineStr">
        <x:is>
          <x:t xml:space="preserve">Best-fit composite</x:t>
        </x:is>
      </x:c>
      <x:c r="J34" s="22" t="inlineStr">
        <x:is>
          <x:t xml:space="preserve">System-inventory evidence is not explicitly named in the Security Rule, but OCR guidance treats asset inventories and system scoping as supporting accurate risk analysis and implementation of encryption safeguards.</x:t>
        </x:is>
      </x:c>
      <x:c r="K34" s="22"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L34" s="22" t="inlineStr">
        <x:is>
          <x:t xml:space="preserve">Inventory/list-of-systems evidence is supporting evidence for encryption coverage, not a standalone named HIPAA inventory mandate.</x:t>
        </x:is>
      </x:c>
    </x:row>
    <x:row r="35" ht="30" customHeight="1">
      <x:c r="A35" s="22" t="inlineStr">
        <x:is>
          <x:t xml:space="preserve">REQ-34-HIPAA</x:t>
        </x:is>
      </x:c>
      <x:c r="B35" s="22" t="inlineStr">
        <x:is>
          <x:t xml:space="preserve">Data Encryption at Rest</x:t>
        </x:is>
      </x:c>
      <x:c r="C35" s="22" t="n">
        <x:v>2</x:v>
      </x:c>
      <x:c r="D35" s="22" t="inlineStr">
        <x:is>
          <x:t xml:space="preserve">04.01x1Organizational.5, 1903.06d1Organizational.3456711</x:t>
        </x:is>
      </x:c>
      <x:c r="E35" s="22" t="inlineStr">
        <x:is>
          <x:t xml:space="preserve">Configuration</x:t>
        </x:is>
      </x:c>
      <x:c r="F35" s="22" t="inlineStr">
        <x:is>
          <x:t xml:space="preserve">ER-1</x:t>
        </x:is>
      </x:c>
      <x:c r="G35" s="22" t="inlineStr">
        <x:is>
          <x:t xml:space="preserve">45 CFR § 164.312(a)(2)(iv)</x:t>
        </x:is>
      </x:c>
      <x:c r="H35" s="22" t="inlineStr">
        <x:is>
          <x:t xml:space="preserve">Access Control — Encryption and Decryption</x:t>
        </x:is>
      </x:c>
      <x:c r="I35" s="22" t="inlineStr">
        <x:is>
          <x:t xml:space="preserve">Direct</x:t>
        </x:is>
      </x:c>
      <x:c r="J35" s="22" t="inlineStr">
        <x:is>
          <x:t xml:space="preserve">Control/action-item context aligns to at-rest encryption.</x:t>
        </x:is>
      </x:c>
      <x:c r="K35" s="22"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L35" s="22" t="inlineStr">
        <x:is>
          <x:t xml:space="preserve">Used for data-encryption-at-rest rows.</x:t>
        </x:is>
      </x:c>
    </x:row>
    <x:row r="36" ht="30" customHeight="1">
      <x:c r="A36" s="22" t="inlineStr">
        <x:is>
          <x:t xml:space="preserve">REQ-34-HIPAA</x:t>
        </x:is>
      </x:c>
      <x:c r="B36" s="22" t="inlineStr">
        <x:is>
          <x:t xml:space="preserve">List of All Production Systems (Servers, VMs, Data Stores)</x:t>
        </x:is>
      </x:c>
      <x:c r="C36" s="22" t="n">
        <x:v>3</x:v>
      </x:c>
      <x:c r="D36" s="22" t="inlineStr">
        <x:is>
          <x:t xml:space="preserve">07.07a1Organizational.8, 0701.07a1Organizational.7, 0701.07a1Organizational.8</x:t>
        </x:is>
      </x:c>
      <x:c r="E36" s="22" t="inlineStr">
        <x:is>
          <x:t xml:space="preserve">Configuration</x:t>
        </x:is>
      </x:c>
      <x:c r="F36" s="22" t="inlineStr">
        <x:is>
          <x:t xml:space="preserve">ER-12</x:t>
        </x:is>
      </x:c>
      <x:c r="G36" s="22" t="inlineStr">
        <x:is>
          <x:t xml:space="preserve">45 CFR § 164.308(a)(1)(ii)(A); 45 CFR § 164.312(a)(2)(iv)</x:t>
        </x:is>
      </x:c>
      <x:c r="H36" s="22" t="inlineStr">
        <x:is>
          <x:t xml:space="preserve">Security Management Process — Risk Analysis; Access Control — Encryption and Decryption</x:t>
        </x:is>
      </x:c>
      <x:c r="I36" s="22" t="inlineStr">
        <x:is>
          <x:t xml:space="preserve">Best-fit composite</x:t>
        </x:is>
      </x:c>
      <x:c r="J36" s="22" t="inlineStr">
        <x:is>
          <x:t xml:space="preserve">System inventory supports scoping/coverage of at-rest encryption and accurate risk analysis.</x:t>
        </x:is>
      </x:c>
      <x:c r="K36" s="22"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L36" s="22" t="inlineStr">
        <x:is>
          <x:t xml:space="preserve">Asset inventory is supporting evidence rather than an explicit standalone at-rest-encryption requirement.</x:t>
        </x:is>
      </x:c>
    </x:row>
    <x:row r="37" ht="30" customHeight="1">
      <x:c r="A37" s="22" t="inlineStr">
        <x:is>
          <x:t xml:space="preserve">REQ-35-HIPAA</x:t>
        </x:is>
      </x:c>
      <x:c r="B37" s="22" t="inlineStr">
        <x:is>
          <x:t xml:space="preserve">Data Encryption at Rest</x:t>
        </x:is>
      </x:c>
      <x:c r="C37" s="22" t="n">
        <x:v>2</x:v>
      </x:c>
      <x:c r="D37" s="22" t="inlineStr">
        <x:is>
          <x:t xml:space="preserve">04.01x1Organizational.5, 1903.06d1Organizational.3456711</x:t>
        </x:is>
      </x:c>
      <x:c r="E37" s="22" t="inlineStr">
        <x:is>
          <x:t xml:space="preserve">Configuration</x:t>
        </x:is>
      </x:c>
      <x:c r="F37" s="22" t="inlineStr">
        <x:is>
          <x:t xml:space="preserve">ER-1</x:t>
        </x:is>
      </x:c>
      <x:c r="G37" s="22" t="inlineStr">
        <x:is>
          <x:t xml:space="preserve">45 CFR § 164.312(a)(2)(iv)</x:t>
        </x:is>
      </x:c>
      <x:c r="H37" s="22" t="inlineStr">
        <x:is>
          <x:t xml:space="preserve">Access Control — Encryption and Decryption</x:t>
        </x:is>
      </x:c>
      <x:c r="I37" s="22" t="inlineStr">
        <x:is>
          <x:t xml:space="preserve">Best-fit</x:t>
        </x:is>
      </x:c>
      <x:c r="J37" s="22" t="inlineStr">
        <x:is>
          <x:t xml:space="preserve">This internal control ID also appears on an at-rest encryption row in the source spreadsheets, so the row context points to at-rest encryption even though the same control family also covers transmission encryption elsewhere.</x:t>
        </x:is>
      </x:c>
      <x:c r="K37" s="22"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L37" s="22" t="inlineStr">
        <x:is>
          <x:t xml:space="preserve">Row-context mapping takes precedence over the broader internal control family.</x:t>
        </x:is>
      </x:c>
    </x:row>
    <x:row r="38" ht="30" customHeight="1">
      <x:c r="A38" s="22" t="inlineStr">
        <x:is>
          <x:t xml:space="preserve">REQ-35-HIPAA</x:t>
        </x:is>
      </x:c>
      <x:c r="B38" s="22" t="inlineStr">
        <x:is>
          <x:t xml:space="preserve">Encryption In Transit (Ex. TLS Protocols)</x:t>
        </x:is>
      </x:c>
      <x:c r="C38" s="22" t="n">
        <x:v>8</x:v>
      </x:c>
      <x:c r="D38" s="22" t="inlineStr">
        <x:is>
          <x:t xml:space="preserve">04.01x1Organizational.5, 0862.09m2Organizational.8, 0903.10f1Organizational.1.a, 0913.09s1Organizational.5, 0928.09v2Organizational.1, 0945.09y1Organizational.3, 0954.10d1System.1, 1013.01r1System.2</x:t>
        </x:is>
      </x:c>
      <x:c r="E38" s="22" t="inlineStr">
        <x:is>
          <x:t xml:space="preserve">Configuration</x:t>
        </x:is>
      </x:c>
      <x:c r="F38" s="22" t="inlineStr">
        <x:is>
          <x:t xml:space="preserve">ER-3</x:t>
        </x:is>
      </x:c>
      <x:c r="G38" s="22" t="inlineStr">
        <x:is>
          <x:t xml:space="preserve">45 CFR § 164.312(e)(2)(ii)</x:t>
        </x:is>
      </x:c>
      <x:c r="H38" s="22" t="inlineStr">
        <x:is>
          <x:t xml:space="preserve">Transmission Security — Encryption</x:t>
        </x:is>
      </x:c>
      <x:c r="I38" s="22" t="inlineStr">
        <x:is>
          <x:t xml:space="preserve">Direct</x:t>
        </x:is>
      </x:c>
      <x:c r="J38" s="22" t="inlineStr">
        <x:is>
          <x:t xml:space="preserve">Action item explicitly addresses encryption in transit.</x:t>
        </x:is>
      </x:c>
      <x:c r="K38" s="22"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L38" s="22" t="inlineStr">
        <x:is>
          <x:t xml:space="preserve">Used for transport/TLS evidence.</x:t>
        </x:is>
      </x:c>
    </x:row>
    <x:row r="39" ht="30" customHeight="1">
      <x:c r="A39" s="22" t="inlineStr">
        <x:is>
          <x:t xml:space="preserve">REQ-36-HIPAA</x:t>
        </x:is>
      </x:c>
      <x:c r="B39" s="22" t="inlineStr">
        <x:is>
          <x:t xml:space="preserve">Network Diagram and Segmentation</x:t>
        </x:is>
      </x:c>
      <x:c r="C39" s="22" t="n">
        <x:v>2</x:v>
      </x:c>
      <x:c r="D39" s="22" t="inlineStr">
        <x:is>
          <x:t xml:space="preserve">0504.09m1Organizational.13, 0805.01m1Organizational.12</x:t>
        </x:is>
      </x:c>
      <x:c r="E39" s="22" t="inlineStr">
        <x:is>
          <x:t xml:space="preserve">Configuration</x:t>
        </x:is>
      </x:c>
      <x:c r="F39" s="22" t="inlineStr">
        <x:is>
          <x:t xml:space="preserve">ER-83</x:t>
        </x:is>
      </x:c>
      <x:c r="G39" s="22" t="inlineStr">
        <x:is>
          <x:t xml:space="preserve">45 CFR § 164.312(a)(1)</x:t>
        </x:is>
      </x:c>
      <x:c r="H39" s="22" t="inlineStr">
        <x:is>
          <x:t xml:space="preserve">Access Control</x:t>
        </x:is>
      </x:c>
      <x:c r="I39" s="22" t="inlineStr">
        <x:is>
          <x:t xml:space="preserve">Best-fit</x:t>
        </x:is>
      </x:c>
      <x:c r="J39" s="22" t="inlineStr">
        <x:is>
          <x:t xml:space="preserve">HIPAA does not explicitly name network segmentation, but OCR guidance and enforcement materials cite segmentation as a way to implement access control between systems.</x:t>
        </x:is>
      </x:c>
      <x:c r="K39" s="22"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L39" s="22" t="inlineStr">
        <x:is>
          <x:t xml:space="preserve">Mapped as an access-control implementation example rather than a standalone named HIPAA implementation specification.</x:t>
        </x:is>
      </x:c>
    </x:row>
    <x:row r="40" ht="30" customHeight="1">
      <x:c r="A40" s="22" t="inlineStr">
        <x:is>
          <x:t xml:space="preserve">REQ-37-HIPAA</x:t>
        </x:is>
      </x:c>
      <x:c r="B40" s="22" t="inlineStr">
        <x:is>
          <x:t xml:space="preserve">Firewall Rules/Security Groups</x:t>
        </x:is>
      </x:c>
      <x:c r="C40" s="22" t="n">
        <x:v>2</x:v>
      </x:c>
      <x:c r="D40" s="22" t="inlineStr">
        <x:is>
          <x:t xml:space="preserve">0265.09m1Organizational.2, 0805.01m1Organizational.12</x:t>
        </x:is>
      </x:c>
      <x:c r="E40" s="22" t="inlineStr">
        <x:is>
          <x:t xml:space="preserve">Configuration</x:t>
        </x:is>
      </x:c>
      <x:c r="F40" s="22" t="inlineStr">
        <x:is>
          <x:t xml:space="preserve">ER-91</x:t>
        </x:is>
      </x:c>
      <x:c r="G40" s="22" t="inlineStr">
        <x:is>
          <x:t xml:space="preserve">45 CFR § 164.312(a)(1)</x:t>
        </x:is>
      </x:c>
      <x:c r="H40" s="22" t="inlineStr">
        <x:is>
          <x:t xml:space="preserve">Access Control</x:t>
        </x:is>
      </x:c>
      <x:c r="I40" s="22" t="inlineStr">
        <x:is>
          <x:t xml:space="preserve">Best-fit</x:t>
        </x:is>
      </x:c>
      <x:c r="J40" s="22" t="inlineStr">
        <x:is>
          <x:t xml:space="preserve">Firewall rules/security groups are a technical means of enforcing access restrictions around systems containing ePHI.</x:t>
        </x:is>
      </x:c>
      <x:c r="K40" s="22"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L40" s="22" t="inlineStr">
        <x:is>
          <x:t xml:space="preserve">Mapped to the broad access-control standard because HIPAA does not list firewall rules as a separate named specification.</x:t>
        </x:is>
      </x:c>
    </x:row>
    <x:row r="41" ht="30" customHeight="1">
      <x:c r="A41" s="22" t="inlineStr">
        <x:is>
          <x:t xml:space="preserve">REQ-38-HIPAA</x:t>
        </x:is>
      </x:c>
      <x:c r="B41" s="22" t="inlineStr">
        <x:is>
          <x:t xml:space="preserve">Anti-malware and Alerts</x:t>
        </x:is>
      </x:c>
      <x:c r="C41" s="22" t="n">
        <x:v>4</x:v>
      </x:c>
      <x:c r="D41" s="22" t="inlineStr">
        <x:is>
          <x:t xml:space="preserve">0207.09j1Organizational.6, 0226.09k1Organizational.2, 02962.09j1Organizational.5, 08.09m1Organizational.8</x:t>
        </x:is>
      </x:c>
      <x:c r="E41" s="22" t="inlineStr">
        <x:is>
          <x:t xml:space="preserve">Configuration</x:t>
        </x:is>
      </x:c>
      <x:c r="F41" s="22" t="inlineStr">
        <x:is>
          <x:t xml:space="preserve">ER-18</x:t>
        </x:is>
      </x:c>
      <x:c r="G41" s="22" t="inlineStr">
        <x:is>
          <x:t xml:space="preserve">45 CFR § 164.308(a)(5)(ii)(B)</x:t>
        </x:is>
      </x:c>
      <x:c r="H41" s="22" t="inlineStr">
        <x:is>
          <x:t xml:space="preserve">Security Awareness and Training — Protection from Malicious Software</x:t>
        </x:is>
      </x:c>
      <x:c r="I41" s="22" t="inlineStr">
        <x:is>
          <x:t xml:space="preserve">Direct</x:t>
        </x:is>
      </x:c>
      <x:c r="J41" s="22" t="inlineStr">
        <x:is>
          <x:t xml:space="preserve">Anti-malware evidence aligns directly to guarding against, detecting, and reporting malicious software.</x:t>
        </x:is>
      </x:c>
      <x:c r="K41" s="22"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L41" s="22" t="inlineStr">
        <x:is>
          <x:t xml:space="preserve">Alerts are treated as part of guarding against/detecting malicious software.</x:t>
        </x:is>
      </x:c>
    </x:row>
    <x:row r="42" ht="30" customHeight="1">
      <x:c r="A42" s="22" t="inlineStr">
        <x:is>
          <x:t xml:space="preserve">REQ-43-HIPAA</x:t>
        </x:is>
      </x:c>
      <x:c r="B42" s="22" t="inlineStr">
        <x:is>
          <x:t xml:space="preserve">List of All Production Systems (Servers, VMs, Data Stores)</x:t>
        </x:is>
      </x:c>
      <x:c r="C42" s="22" t="n">
        <x:v>3</x:v>
      </x:c>
      <x:c r="D42" s="22" t="inlineStr">
        <x:is>
          <x:t xml:space="preserve">07.07a1Organizational.8, 0701.07a1Organizational.7, 0701.07a1Organizational.8</x:t>
        </x:is>
      </x:c>
      <x:c r="E42" s="22" t="inlineStr">
        <x:is>
          <x:t xml:space="preserve">Configuration</x:t>
        </x:is>
      </x:c>
      <x:c r="F42" s="22" t="inlineStr">
        <x:is>
          <x:t xml:space="preserve">ER-12</x:t>
        </x:is>
      </x:c>
      <x:c r="G42" s="22" t="inlineStr">
        <x:is>
          <x:t xml:space="preserve">45 CFR § 164.308(a)(1)(ii)(A); 45 CFR § 164.308(a)(1)(ii)(B)</x:t>
        </x:is>
      </x:c>
      <x:c r="H42" s="22" t="inlineStr">
        <x:is>
          <x:t xml:space="preserve">Security Management Process — Risk Analysis; Security Management Process — Risk Management</x:t>
        </x:is>
      </x:c>
      <x:c r="I42" s="22" t="inlineStr">
        <x:is>
          <x:t xml:space="preserve">Best-fit composite</x:t>
        </x:is>
      </x:c>
      <x:c r="J42" s="22" t="inlineStr">
        <x:is>
          <x:t xml:space="preserve">A production-systems inventory is supporting evidence for patch coverage and vulnerability scoping under risk analysis/risk management.</x:t>
        </x:is>
      </x:c>
      <x:c r="K42" s="22"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L42" s="22" t="inlineStr">
        <x:is>
          <x:t xml:space="preserve">OCR guidance treats a technology asset inventory as a valuable tool for accurate and thorough risk analysis.</x:t>
        </x:is>
      </x:c>
    </x:row>
    <x:row r="43" ht="30" customHeight="1">
      <x:c r="A43" s="22" t="inlineStr">
        <x:is>
          <x:t xml:space="preserve">REQ-46-HIPAA</x:t>
        </x:is>
      </x:c>
      <x:c r="B43" s="22" t="inlineStr">
        <x:is>
          <x:t xml:space="preserve">Evidence of Vulnerability Scan Results</x:t>
        </x:is>
      </x:c>
      <x:c r="C43" s="22" t="n">
        <x:v>1</x:v>
      </x:c>
      <x:c r="D43" s="22" t="inlineStr">
        <x:is>
          <x:t xml:space="preserve">07.10m1Organizational.3</x:t>
        </x:is>
      </x:c>
      <x:c r="E43" s="22" t="inlineStr">
        <x:is>
          <x:t xml:space="preserve">Sample</x:t>
        </x:is>
      </x:c>
      <x:c r="F43" s="22" t="inlineStr">
        <x:is>
          <x:t xml:space="preserve">ER-53</x:t>
        </x:is>
      </x:c>
      <x:c r="G43" s="22" t="inlineStr">
        <x:is>
          <x:t xml:space="preserve">45 CFR § 164.308(a)(1)(ii)(A)</x:t>
        </x:is>
      </x:c>
      <x:c r="H43" s="22" t="inlineStr">
        <x:is>
          <x:t xml:space="preserve">Security Management Process — Risk Analysis</x:t>
        </x:is>
      </x:c>
      <x:c r="I43" s="22" t="inlineStr">
        <x:is>
          <x:t xml:space="preserve">Best-fit</x:t>
        </x:is>
      </x:c>
      <x:c r="J43" s="22" t="inlineStr">
        <x:is>
          <x:t xml:space="preserve">OCR guidance identifies vulnerability scanning as one way to identify risks and vulnerabilities to ePHI.</x:t>
        </x:is>
      </x:c>
      <x:c r="K43" s="22"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L43" s="22" t="inlineStr">
        <x:is>
          <x:t xml:space="preserve">Used for vulnerability-scan result evidence.</x:t>
        </x:is>
      </x:c>
    </x:row>
    <x:row r="44" ht="30" customHeight="1">
      <x:c r="A44" s="22" t="inlineStr">
        <x:is>
          <x:t xml:space="preserve">REQ-47-HIPAA</x:t>
        </x:is>
      </x:c>
      <x:c r="B44" s="22" t="inlineStr">
        <x:is>
          <x:t xml:space="preserve">Evidence of Vulnerability Scan Results</x:t>
        </x:is>
      </x:c>
      <x:c r="C44" s="22" t="n">
        <x:v>1</x:v>
      </x:c>
      <x:c r="D44" s="22" t="inlineStr">
        <x:is>
          <x:t xml:space="preserve">07.10m1Organizational.3</x:t>
        </x:is>
      </x:c>
      <x:c r="E44" s="22" t="inlineStr">
        <x:is>
          <x:t xml:space="preserve">Sample</x:t>
        </x:is>
      </x:c>
      <x:c r="F44" s="22" t="inlineStr">
        <x:is>
          <x:t xml:space="preserve">ER-53</x:t>
        </x:is>
      </x:c>
      <x:c r="G44" s="22" t="inlineStr">
        <x:is>
          <x:t xml:space="preserve">45 CFR § 164.308(a)(1)(ii)(B)</x:t>
        </x:is>
      </x:c>
      <x:c r="H44" s="22" t="inlineStr">
        <x:is>
          <x:t xml:space="preserve">Security Management Process — Risk Management</x:t>
        </x:is>
      </x:c>
      <x:c r="I44" s="22" t="inlineStr">
        <x:is>
          <x:t xml:space="preserve">Best-fit</x:t>
        </x:is>
      </x:c>
      <x:c r="J44" s="22" t="inlineStr">
        <x:is>
          <x:t xml:space="preserve">Vulnerability remediation is the treatment/mitigation step after risks are identified.</x:t>
        </x:is>
      </x:c>
      <x:c r="K44" s="22"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L44" s="22" t="inlineStr">
        <x:is>
          <x:t xml:space="preserve">Used for remediation evidence and related patch/vulnerability-management policy rows.</x:t>
        </x:is>
      </x:c>
    </x:row>
    <x:row r="45" ht="30" customHeight="1">
      <x:c r="A45" s="22" t="inlineStr">
        <x:is>
          <x:t xml:space="preserve">REQ-48-HIPAA</x:t>
        </x:is>
      </x:c>
      <x:c r="B45" s="22" t="inlineStr">
        <x:is>
          <x:t xml:space="preserve">Incident Response</x:t>
        </x:is>
      </x:c>
      <x:c r="C45" s="22" t="n">
        <x:v>2</x:v>
      </x:c>
      <x:c r="D45" s="22" t="inlineStr">
        <x:is>
          <x:t xml:space="preserve">1561.11c1Organizational.4, 1589.11c1Organizational.5</x:t>
        </x:is>
      </x:c>
      <x:c r="E45" s="22" t="inlineStr">
        <x:is>
          <x:t xml:space="preserve">Policy</x:t>
        </x:is>
      </x:c>
      <x:c r="F45" s="22" t="inlineStr">
        <x:is>
          <x:t xml:space="preserve">ER-55</x:t>
        </x:is>
      </x:c>
      <x:c r="G45" s="22" t="inlineStr">
        <x:is>
          <x:t xml:space="preserve">45 CFR § 164.308(a)(6)(i)</x:t>
        </x:is>
      </x:c>
      <x:c r="H45" s="22" t="inlineStr">
        <x:is>
          <x:t xml:space="preserve">Security Incident Procedures</x:t>
        </x:is>
      </x:c>
      <x:c r="I45" s="22" t="inlineStr">
        <x:is>
          <x:t xml:space="preserve">Direct</x:t>
        </x:is>
      </x:c>
      <x:c r="J45" s="22" t="inlineStr">
        <x:is>
          <x:t xml:space="preserve">Incident-response policy aligns directly to the Security Incident Procedures standard.</x:t>
        </x:is>
      </x:c>
      <x:c r="K45" s="22"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L45" s="22" t="inlineStr">
        <x:is>
          <x:t xml:space="preserve">Used for policy-level incident-response rows.</x:t>
        </x:is>
      </x:c>
    </x:row>
    <x:row r="46" ht="30" customHeight="1">
      <x:c r="A46" s="22" t="inlineStr">
        <x:is>
          <x:t xml:space="preserve">REQ-49-HIPAA</x:t>
        </x:is>
      </x:c>
      <x:c r="B46" s="22" t="inlineStr">
        <x:is>
          <x:t xml:space="preserve">Incident Response</x:t>
        </x:is>
      </x:c>
      <x:c r="C46" s="22" t="n">
        <x:v>2</x:v>
      </x:c>
      <x:c r="D46" s="22" t="inlineStr">
        <x:is>
          <x:t xml:space="preserve">1561.11c1Organizational.4, 1589.11c1Organizational.5</x:t>
        </x:is>
      </x:c>
      <x:c r="E46" s="22" t="inlineStr">
        <x:is>
          <x:t xml:space="preserve">Policy</x:t>
        </x:is>
      </x:c>
      <x:c r="F46" s="22" t="inlineStr">
        <x:is>
          <x:t xml:space="preserve">ER-55</x:t>
        </x:is>
      </x:c>
      <x:c r="G46" s="22" t="inlineStr">
        <x:is>
          <x:t xml:space="preserve">45 CFR § 164.308(a)(6)(ii)</x:t>
        </x:is>
      </x:c>
      <x:c r="H46" s="22" t="inlineStr">
        <x:is>
          <x:t xml:space="preserve">Security Incident Procedures — Response and Reporting</x:t>
        </x:is>
      </x:c>
      <x:c r="I46" s="22" t="inlineStr">
        <x:is>
          <x:t xml:space="preserve">Direct</x:t>
        </x:is>
      </x:c>
      <x:c r="J46" s="22" t="inlineStr">
        <x:is>
          <x:t xml:space="preserve">This internal control best aligns to the response/reporting implementation specification under incident procedures.</x:t>
        </x:is>
      </x:c>
      <x:c r="K46" s="22"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L46" s="22" t="inlineStr">
        <x:is>
          <x:t xml:space="preserve">Used where the spreadsheet distinguishes the response/reporting component of incident handling.</x:t>
        </x:is>
      </x:c>
    </x:row>
    <x:row r="47" ht="30" customHeight="1">
      <x:c r="A47" s="22" t="inlineStr">
        <x:is>
          <x:t xml:space="preserve">REQ-50-HIPAA</x:t>
        </x:is>
      </x:c>
      <x:c r="B47" s="22" t="inlineStr">
        <x:is>
          <x:t xml:space="preserve">All Incidents Identified During the Review Period [INSERT EXAM PERIOD]</x:t>
        </x:is>
      </x:c>
      <x:c r="C47" s="22" t="n">
        <x:v>1</x:v>
      </x:c>
      <x:c r="D47" s="22" t="inlineStr">
        <x:is>
          <x:t xml:space="preserve">1561.11c1Organizational.4</x:t>
        </x:is>
      </x:c>
      <x:c r="E47" s="22" t="inlineStr">
        <x:is>
          <x:t xml:space="preserve">Population</x:t>
        </x:is>
      </x:c>
      <x:c r="F47" s="22" t="inlineStr">
        <x:is>
          <x:t xml:space="preserve">ER-141</x:t>
        </x:is>
      </x:c>
      <x:c r="G47" s="22" t="inlineStr">
        <x:is>
          <x:t xml:space="preserve">45 CFR § 164.308(a)(6)(ii); 45 CFR § 164.316(b)(1)</x:t>
        </x:is>
      </x:c>
      <x:c r="H47" s="22" t="inlineStr">
        <x:is>
          <x:t xml:space="preserve">Security Incident Procedures — Response and Reporting; Documentation</x:t>
        </x:is>
      </x:c>
      <x:c r="I47" s="22" t="inlineStr">
        <x:is>
          <x:t xml:space="preserve">Composite</x:t>
        </x:is>
      </x:c>
      <x:c r="J47" s="22" t="inlineStr">
        <x:is>
          <x:t xml:space="preserve">Incident tickets/population evidence show response/reporting activities and the required documentation of incidents and outcomes.</x:t>
        </x:is>
      </x:c>
      <x:c r="K47" s="22"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L47" s="22" t="inlineStr">
        <x:is>
          <x:t xml:space="preserve">Documentation is added because the evidence row is a ticket/log of incidents during the review period.</x:t>
        </x:is>
      </x:c>
    </x:row>
    <x:row r="48" ht="30" customHeight="1">
      <x:c r="A48" s="22" t="inlineStr">
        <x:is>
          <x:t xml:space="preserve">REQ-53-HIPAA</x:t>
        </x:is>
      </x:c>
      <x:c r="B48" s="22" t="inlineStr">
        <x:is>
          <x:t xml:space="preserve">Change Management</x:t>
        </x:is>
      </x:c>
      <x:c r="C48" s="22" t="n">
        <x:v>2</x:v>
      </x:c>
      <x:c r="D48" s="22" t="inlineStr">
        <x:is>
          <x:t xml:space="preserve">06.09b1System.2, 1769.09i1System.12</x:t>
        </x:is>
      </x:c>
      <x:c r="E48" s="22" t="inlineStr">
        <x:is>
          <x:t xml:space="preserve">Policy</x:t>
        </x:is>
      </x:c>
      <x:c r="F48" s="22" t="inlineStr">
        <x:is>
          <x:t xml:space="preserve">ER-61</x:t>
        </x:is>
      </x:c>
      <x:c r="G48" s="22" t="inlineStr">
        <x:is>
          <x:t xml:space="preserve">45 CFR § 164.308(a)(8); 45 CFR § 164.306(e); 45 CFR § 164.316(b)(2)(iii)</x:t>
        </x:is>
      </x:c>
      <x:c r="H48" s="22" t="inlineStr">
        <x:is>
          <x:t xml:space="preserve">Evaluation; Maintenance; Documentation — Updates</x:t>
        </x:is>
      </x:c>
      <x:c r="I48" s="22" t="inlineStr">
        <x:is>
          <x:t xml:space="preserve">Best-fit composite</x:t>
        </x:is>
      </x:c>
      <x:c r="J48" s="22" t="inlineStr">
        <x:is>
          <x:t xml:space="preserve">HIPAA does not expressly name change management, but OCR guidance links environmental/operational changes to ongoing evaluation, maintenance, and updating of security documentation.</x:t>
        </x:is>
      </x:c>
      <x:c r="K48" s="22"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L48" s="22" t="inlineStr">
        <x:is>
          <x:t xml:space="preserve">Used for the change-management policy row as the closest HIPAA analogue.</x:t>
        </x:is>
      </x:c>
    </x:row>
    <x:row r="49" ht="30" customHeight="1">
      <x:c r="A49" s="22" t="inlineStr">
        <x:is>
          <x:t xml:space="preserve">REQ-55-HIPAA</x:t>
        </x:is>
      </x:c>
      <x:c r="B49" s="22" t="inlineStr">
        <x:is>
          <x:t xml:space="preserve">All Software and Infrastructure Production Changes During the Review Period [INSERT EXAM PERIOD]</x:t>
        </x:is>
      </x:c>
      <x:c r="C49" s="22" t="n">
        <x:v>2</x:v>
      </x:c>
      <x:c r="D49" s="22" t="inlineStr">
        <x:is>
          <x:t xml:space="preserve">06.09b1System.2, 1704.03b1Organizational.12</x:t>
        </x:is>
      </x:c>
      <x:c r="E49" s="22" t="inlineStr">
        <x:is>
          <x:t xml:space="preserve">Population</x:t>
        </x:is>
      </x:c>
      <x:c r="F49" s="22" t="inlineStr">
        <x:is>
          <x:t xml:space="preserve">ER-139</x:t>
        </x:is>
      </x:c>
      <x:c r="G49" s="22" t="inlineStr">
        <x:is>
          <x:t xml:space="preserve">45 CFR § 164.308(a)(8); 45 CFR § 164.316(b)(1)</x:t>
        </x:is>
      </x:c>
      <x:c r="H49" s="22" t="inlineStr">
        <x:is>
          <x:t xml:space="preserve">Evaluation; Documentation</x:t>
        </x:is>
      </x:c>
      <x:c r="I49" s="22" t="inlineStr">
        <x:is>
          <x:t xml:space="preserve">Best-fit composite</x:t>
        </x:is>
      </x:c>
      <x:c r="J49" s="22" t="inlineStr">
        <x:is>
          <x:t xml:space="preserve">Production-change tickets/population evidence are not a named HIPAA specification, but they are strong evidence of evaluating and documenting operational changes affecting ePHI safeguards.</x:t>
        </x:is>
      </x:c>
      <x:c r="K49" s="22"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L49" s="22" t="inlineStr">
        <x:is>
          <x:t xml:space="preserve">Best-fit evidence mapping; HIPAA does not mandate a particular ticketing mechanism.</x:t>
        </x:is>
      </x:c>
    </x:row>
    <x:row r="50" ht="30" customHeight="1">
      <x:c r="A50" s="22" t="inlineStr">
        <x:is>
          <x:t xml:space="preserve">REQ-55-HIPAA</x:t>
        </x:is>
      </x:c>
      <x:c r="B50" s="22" t="inlineStr">
        <x:is>
          <x:t xml:space="preserve">Software/Infrastructure Production Change Ticket</x:t>
        </x:is>
      </x:c>
      <x:c r="C50" s="22" t="n">
        <x:v>1</x:v>
      </x:c>
      <x:c r="D50" s="22" t="inlineStr">
        <x:is>
          <x:t xml:space="preserve">06.09b1System.2</x:t>
        </x:is>
      </x:c>
      <x:c r="E50" s="22" t="inlineStr">
        <x:is>
          <x:t xml:space="preserve">Sample</x:t>
        </x:is>
      </x:c>
      <x:c r="F50" s="22" t="inlineStr">
        <x:is>
          <x:t xml:space="preserve">ER-62</x:t>
        </x:is>
      </x:c>
      <x:c r="G50" s="22" t="inlineStr">
        <x:is>
          <x:t xml:space="preserve">45 CFR § 164.308(a)(8); 45 CFR § 164.316(b)(1)</x:t>
        </x:is>
      </x:c>
      <x:c r="H50" s="22" t="inlineStr">
        <x:is>
          <x:t xml:space="preserve">Evaluation; Documentation</x:t>
        </x:is>
      </x:c>
      <x:c r="I50" s="22" t="inlineStr">
        <x:is>
          <x:t xml:space="preserve">Best-fit composite</x:t>
        </x:is>
      </x:c>
      <x:c r="J50" s="22" t="inlineStr">
        <x:is>
          <x:t xml:space="preserve">Production-change tickets/population evidence are not a named HIPAA specification, but they are strong evidence of evaluating and documenting operational changes affecting ePHI safeguards.</x:t>
        </x:is>
      </x:c>
      <x:c r="K50" s="22"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L50" s="22" t="inlineStr">
        <x:is>
          <x:t xml:space="preserve">Best-fit evidence mapping; HIPAA does not mandate a particular ticketing mechanism.</x:t>
        </x:is>
      </x:c>
    </x:row>
    <x:row r="51" ht="30" customHeight="1">
      <x:c r="A51" s="22" t="inlineStr">
        <x:is>
          <x:t xml:space="preserve">REQ-60-HIPAA</x:t>
        </x:is>
      </x:c>
      <x:c r="B51" s="22" t="inlineStr">
        <x:is>
          <x:t xml:space="preserve">Backups</x:t>
        </x:is>
      </x:c>
      <x:c r="C51" s="22" t="n">
        <x:v>1</x:v>
      </x:c>
      <x:c r="D51" s="22" t="inlineStr">
        <x:is>
          <x:t xml:space="preserve">1616.09l1Organizational.16</x:t>
        </x:is>
      </x:c>
      <x:c r="E51" s="22" t="inlineStr">
        <x:is>
          <x:t xml:space="preserve">Policy</x:t>
        </x:is>
      </x:c>
      <x:c r="F51" s="22" t="inlineStr">
        <x:is>
          <x:t xml:space="preserve">ER-115</x:t>
        </x:is>
      </x:c>
      <x:c r="G51" s="22" t="inlineStr">
        <x:is>
          <x:t xml:space="preserve">45 CFR § 164.308(a)(7)(ii)(A)</x:t>
        </x:is>
      </x:c>
      <x:c r="H51" s="22" t="inlineStr">
        <x:is>
          <x:t xml:space="preserve">Contingency Plan — Data Backup Plan</x:t>
        </x:is>
      </x:c>
      <x:c r="I51" s="22" t="inlineStr">
        <x:is>
          <x:t xml:space="preserve">Direct</x:t>
        </x:is>
      </x:c>
      <x:c r="J51" s="22" t="inlineStr">
        <x:is>
          <x:t xml:space="preserve">Backup policy aligns directly to creation and maintenance of retrievable exact copies of ePHI.</x:t>
        </x:is>
      </x:c>
      <x:c r="K51" s="22"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L51" s="22" t="inlineStr">
        <x:is>
          <x:t xml:space="preserve">Used for backup-policy rows.</x:t>
        </x:is>
      </x:c>
    </x:row>
    <x:row r="52" ht="30" customHeight="1">
      <x:c r="A52" s="22" t="inlineStr">
        <x:is>
          <x:t xml:space="preserve">REQ-61-HIPAA</x:t>
        </x:is>
      </x:c>
      <x:c r="B52" s="22" t="inlineStr">
        <x:is>
          <x:t xml:space="preserve">Backups</x:t>
        </x:is>
      </x:c>
      <x:c r="C52" s="22" t="n">
        <x:v>1</x:v>
      </x:c>
      <x:c r="D52" s="22" t="inlineStr">
        <x:is>
          <x:t xml:space="preserve">1616.09l1Organizational.16</x:t>
        </x:is>
      </x:c>
      <x:c r="E52" s="22" t="inlineStr">
        <x:is>
          <x:t xml:space="preserve">Policy</x:t>
        </x:is>
      </x:c>
      <x:c r="F52" s="22" t="inlineStr">
        <x:is>
          <x:t xml:space="preserve">ER-115</x:t>
        </x:is>
      </x:c>
      <x:c r="G52" s="22" t="inlineStr">
        <x:is>
          <x:t xml:space="preserve">45 CFR § 164.308(a)(7)(ii)(A); 45 CFR § 164.308(a)(7)(ii)(D)</x:t>
        </x:is>
      </x:c>
      <x:c r="H52" s="22" t="inlineStr">
        <x:is>
          <x:t xml:space="preserve">Contingency Plan — Data Backup Plan; Contingency Plan — Testing and Revision Procedure</x:t>
        </x:is>
      </x:c>
      <x:c r="I52" s="22" t="inlineStr">
        <x:is>
          <x:t xml:space="preserve">Composite</x:t>
        </x:is>
      </x:c>
      <x:c r="J52" s="22" t="inlineStr">
        <x:is>
          <x:t xml:space="preserve">This internal control appears on general backup-policy rows and explicit backup-test rows, so both backup-plan and test/revision citations are included.</x:t>
        </x:is>
      </x:c>
      <x:c r="K52" s="22"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L52" s="22" t="inlineStr">
        <x:is>
          <x:t xml:space="preserve">Broader than a single implementation specification because the source spreadsheet uses the same control across planning and testing evidence.</x:t>
        </x:is>
      </x:c>
    </x:row>
    <x:row r="53" ht="30" customHeight="1">
      <x:c r="A53" s="22" t="inlineStr">
        <x:is>
          <x:t xml:space="preserve">REQ-61-HIPAA</x:t>
        </x:is>
      </x:c>
      <x:c r="B53" s="22" t="inlineStr">
        <x:is>
          <x:t xml:space="preserve">Completed Production Data Backup Test</x:t>
        </x:is>
      </x:c>
      <x:c r="C53" s="22" t="n">
        <x:v>1</x:v>
      </x:c>
      <x:c r="D53" s="22" t="inlineStr">
        <x:is>
          <x:t xml:space="preserve">1616.09l1Organizational.16</x:t>
        </x:is>
      </x:c>
      <x:c r="E53" s="22" t="inlineStr">
        <x:is>
          <x:t xml:space="preserve">Operational</x:t>
        </x:is>
      </x:c>
      <x:c r="F53" s="22" t="inlineStr">
        <x:is>
          <x:t xml:space="preserve">ER-123</x:t>
        </x:is>
      </x:c>
      <x:c r="G53" s="22" t="inlineStr">
        <x:is>
          <x:t xml:space="preserve">45 CFR § 164.308(a)(7)(ii)(D)</x:t>
        </x:is>
      </x:c>
      <x:c r="H53" s="22" t="inlineStr">
        <x:is>
          <x:t xml:space="preserve">Contingency Plan — Testing and Revision Procedure</x:t>
        </x:is>
      </x:c>
      <x:c r="I53" s="22" t="inlineStr">
        <x:is>
          <x:t xml:space="preserve">Direct</x:t>
        </x:is>
      </x:c>
      <x:c r="J53" s="22" t="inlineStr">
        <x:is>
          <x:t xml:space="preserve">A completed backup test aligns directly to periodic testing/revision of contingency plans.</x:t>
        </x:is>
      </x:c>
      <x:c r="K53" s="22"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L53" s="22" t="inlineStr">
        <x:is>
          <x:t xml:space="preserve">Used for explicit backup-test evidence.</x:t>
        </x:is>
      </x:c>
    </x:row>
    <x:row r="54" ht="30" customHeight="1">
      <x:c r="A54" s="22" t="inlineStr">
        <x:is>
          <x:t xml:space="preserve">REQ-62-HIPAA</x:t>
        </x:is>
      </x:c>
      <x:c r="B54" s="22" t="inlineStr">
        <x:is>
          <x:t xml:space="preserve">Backups and Schedules</x:t>
        </x:is>
      </x:c>
      <x:c r="C54" s="22" t="n">
        <x:v>3</x:v>
      </x:c>
      <x:c r="D54" s="22" t="inlineStr">
        <x:is>
          <x:t xml:space="preserve">16.09l1Organizational.4, 1616.09l1Organizational.16, 1618.09l1Organizational.45</x:t>
        </x:is>
      </x:c>
      <x:c r="E54" s="22" t="inlineStr">
        <x:is>
          <x:t xml:space="preserve">Configuration</x:t>
        </x:is>
      </x:c>
      <x:c r="F54" s="22" t="inlineStr">
        <x:is>
          <x:t xml:space="preserve">ER-114</x:t>
        </x:is>
      </x:c>
      <x:c r="G54" s="22" t="inlineStr">
        <x:is>
          <x:t xml:space="preserve">45 CFR § 164.308(a)(7)(ii)(A)</x:t>
        </x:is>
      </x:c>
      <x:c r="H54" s="22" t="inlineStr">
        <x:is>
          <x:t xml:space="preserve">Contingency Plan — Data Backup Plan</x:t>
        </x:is>
      </x:c>
      <x:c r="I54" s="22" t="inlineStr">
        <x:is>
          <x:t xml:space="preserve">Direct</x:t>
        </x:is>
      </x:c>
      <x:c r="J54" s="22" t="inlineStr">
        <x:is>
          <x:t xml:space="preserve">Backup schedules most directly align to maintaining retrievable exact copies of ePHI.</x:t>
        </x:is>
      </x:c>
      <x:c r="K54" s="22"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L54" s="22" t="inlineStr">
        <x:is>
          <x:t xml:space="preserve">Used for backup schedule evidence.</x:t>
        </x:is>
      </x:c>
    </x:row>
    <x:row r="55" ht="30" customHeight="1">
      <x:c r="A55" s="22" t="inlineStr">
        <x:is>
          <x:t xml:space="preserve">REQ-63-HIPAA</x:t>
        </x:is>
      </x:c>
      <x:c r="B55" s="22" t="inlineStr">
        <x:is>
          <x:t xml:space="preserve">Backups and Schedules</x:t>
        </x:is>
      </x:c>
      <x:c r="C55" s="22" t="n">
        <x:v>3</x:v>
      </x:c>
      <x:c r="D55" s="22" t="inlineStr">
        <x:is>
          <x:t xml:space="preserve">16.09l1Organizational.4, 1616.09l1Organizational.16, 1618.09l1Organizational.45</x:t>
        </x:is>
      </x:c>
      <x:c r="E55" s="22" t="inlineStr">
        <x:is>
          <x:t xml:space="preserve">Configuration</x:t>
        </x:is>
      </x:c>
      <x:c r="F55" s="22" t="inlineStr">
        <x:is>
          <x:t xml:space="preserve">ER-114</x:t>
        </x:is>
      </x:c>
      <x:c r="G55" s="22" t="inlineStr">
        <x:is>
          <x:t xml:space="preserve">45 CFR § 164.308(a)(7)(ii)(B)</x:t>
        </x:is>
      </x:c>
      <x:c r="H55" s="22" t="inlineStr">
        <x:is>
          <x:t xml:space="preserve">Contingency Plan — Disaster Recovery Plan</x:t>
        </x:is>
      </x:c>
      <x:c r="I55" s="22" t="inlineStr">
        <x:is>
          <x:t xml:space="preserve">Best-fit</x:t>
        </x:is>
      </x:c>
      <x:c r="J55" s="22" t="inlineStr">
        <x:is>
          <x:t xml:space="preserve">Backup/replication planning most closely aligns to restoring lost data and recovering operations after a disruption.</x:t>
        </x:is>
      </x:c>
      <x:c r="K55" s="22"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L55" s="22" t="inlineStr">
        <x:is>
          <x:t xml:space="preserve">Used for schedule-level backup rows when the internal control appears to emphasize recoverability/replication.</x:t>
        </x:is>
      </x:c>
    </x:row>
    <x:row r="56" ht="30" customHeight="1">
      <x:c r="A56" s="22" t="inlineStr">
        <x:is>
          <x:t xml:space="preserve">REQ-66-HIPAA</x:t>
        </x:is>
      </x:c>
      <x:c r="B56" s="22" t="inlineStr">
        <x:is>
          <x:t xml:space="preserve">Data Classification, Retention and Disposal</x:t>
        </x:is>
      </x:c>
      <x:c r="C56" s="22" t="n">
        <x:v>5</x:v>
      </x:c>
      <x:c r="D56" s="22" t="inlineStr">
        <x:is>
          <x:t xml:space="preserve">0305.09q1Organizational.12, 1239.09aa1System.4, 1616.09l1Organizational.16, 1767.07d1Organizational.2, 19142.06c1Organizational.8</x:t>
        </x:is>
      </x:c>
      <x:c r="E56" s="22" t="inlineStr">
        <x:is>
          <x:t xml:space="preserve">Policy</x:t>
        </x:is>
      </x:c>
      <x:c r="F56" s="22" t="inlineStr">
        <x:is>
          <x:t xml:space="preserve">ER-108</x:t>
        </x:is>
      </x:c>
      <x:c r="G56" s="22" t="inlineStr">
        <x:is>
          <x:t xml:space="preserve">45 CFR § 164.310(d)(2)(ii)</x:t>
        </x:is>
      </x:c>
      <x:c r="H56" s="22" t="inlineStr">
        <x:is>
          <x:t xml:space="preserve">Device and Media Controls — Media Re-use</x:t>
        </x:is>
      </x:c>
      <x:c r="I56" s="22" t="inlineStr">
        <x:is>
          <x:t xml:space="preserve">Best-fit</x:t>
        </x:is>
      </x:c>
      <x:c r="J56" s="22" t="inlineStr">
        <x:is>
          <x:t xml:space="preserve">Within the data-retention/disposal action item, this internal control is best matched to sanitization/reuse of media; HIPAA does not separately name classification or retention.</x:t>
        </x:is>
      </x:c>
      <x:c r="K56" s="22"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L56" s="22" t="inlineStr">
        <x:is>
          <x:t xml:space="preserve">Only the media-reuse/sanitization aspect maps directly to an express HIPAA specification.</x:t>
        </x:is>
      </x:c>
    </x:row>
    <x:row r="57" ht="30" customHeight="1">
      <x:c r="A57" s="22" t="inlineStr">
        <x:is>
          <x:t xml:space="preserve">REQ-67-HIPAA</x:t>
        </x:is>
      </x:c>
      <x:c r="B57" s="22" t="inlineStr">
        <x:is>
          <x:t xml:space="preserve">Data Classification, Retention and Disposal</x:t>
        </x:is>
      </x:c>
      <x:c r="C57" s="22" t="n">
        <x:v>5</x:v>
      </x:c>
      <x:c r="D57" s="22" t="inlineStr">
        <x:is>
          <x:t xml:space="preserve">0305.09q1Organizational.12, 1239.09aa1System.4, 1616.09l1Organizational.16, 1767.07d1Organizational.2, 19142.06c1Organizational.8</x:t>
        </x:is>
      </x:c>
      <x:c r="E57" s="22" t="inlineStr">
        <x:is>
          <x:t xml:space="preserve">Policy</x:t>
        </x:is>
      </x:c>
      <x:c r="F57" s="22" t="inlineStr">
        <x:is>
          <x:t xml:space="preserve">ER-108</x:t>
        </x:is>
      </x:c>
      <x:c r="G57" s="22" t="inlineStr">
        <x:is>
          <x:t xml:space="preserve">45 CFR § 164.310(d)(2)(i)</x:t>
        </x:is>
      </x:c>
      <x:c r="H57" s="22" t="inlineStr">
        <x:is>
          <x:t xml:space="preserve">Device and Media Controls — Disposal</x:t>
        </x:is>
      </x:c>
      <x:c r="I57" s="22" t="inlineStr">
        <x:is>
          <x:t xml:space="preserve">Best-fit</x:t>
        </x:is>
      </x:c>
      <x:c r="J57" s="22" t="inlineStr">
        <x:is>
          <x:t xml:space="preserve">In this overlap set, the control appears through a data-retention/disposal action item, so disposal is the closest direct HIPAA citation.</x:t>
        </x:is>
      </x:c>
      <x:c r="K57" s="22"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L57" s="22" t="inlineStr">
        <x:is>
          <x:t xml:space="preserve">This same internal control also appears on customer-contract rows elsewhere in the uploaded spreadsheets, but that contractual context is not the shared action item here.</x:t>
        </x:is>
      </x:c>
    </x:row>
    <x:row r="58" ht="30" customHeight="1">
      <x:c r="A58" s="22" t="inlineStr">
        <x:is>
          <x:t xml:space="preserve">REQ-995-HIPAA</x:t>
        </x:is>
      </x:c>
      <x:c r="B58" s="22" t="inlineStr">
        <x:is>
          <x:t xml:space="preserve">All Incidents Identified During the Review Period [INSERT EXAM PERIOD]</x:t>
        </x:is>
      </x:c>
      <x:c r="C58" s="22" t="n">
        <x:v>1</x:v>
      </x:c>
      <x:c r="D58" s="22" t="inlineStr">
        <x:is>
          <x:t xml:space="preserve">1561.11c1Organizational.4</x:t>
        </x:is>
      </x:c>
      <x:c r="E58" s="22" t="inlineStr">
        <x:is>
          <x:t xml:space="preserve">Population</x:t>
        </x:is>
      </x:c>
      <x:c r="F58" s="22" t="inlineStr">
        <x:is>
          <x:t xml:space="preserve">ER-141</x:t>
        </x:is>
      </x:c>
      <x:c r="G58" s="22" t="inlineStr">
        <x:is>
          <x:t xml:space="preserve">45 CFR § 164.308(a)(6)(ii); 45 CFR § 164.316(b)(1)</x:t>
        </x:is>
      </x:c>
      <x:c r="H58" s="22" t="inlineStr">
        <x:is>
          <x:t xml:space="preserve">Security Incident Procedures — Response and Reporting; Documentation</x:t>
        </x:is>
      </x:c>
      <x:c r="I58" s="22" t="inlineStr">
        <x:is>
          <x:t xml:space="preserve">Best-fit composite</x:t>
        </x:is>
      </x:c>
      <x:c r="J58" s="22" t="inlineStr">
        <x:is>
          <x:t xml:space="preserve">Generic population/evidence control used to show incidents and outcomes during the review period.</x:t>
        </x:is>
      </x:c>
      <x:c r="K58" s="22"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L58" s="22" t="inlineStr">
        <x:is>
          <x:t xml:space="preserve">Internal control is generic; citation follows the specific evidence row context.</x:t>
        </x:is>
      </x:c>
    </x:row>
    <x:row r="59" ht="30" customHeight="1">
      <x:c r="A59" s="22" t="inlineStr">
        <x:is>
          <x:t xml:space="preserve">REQ-995-HIPAA</x:t>
        </x:is>
      </x:c>
      <x:c r="B59" s="22" t="inlineStr">
        <x:is>
          <x:t xml:space="preserve">All Software and Infrastructure Production Changes During the Review Period [INSERT EXAM PERIOD]</x:t>
        </x:is>
      </x:c>
      <x:c r="C59" s="22" t="n">
        <x:v>2</x:v>
      </x:c>
      <x:c r="D59" s="22" t="inlineStr">
        <x:is>
          <x:t xml:space="preserve">06.09b1System.2, 1704.03b1Organizational.12</x:t>
        </x:is>
      </x:c>
      <x:c r="E59" s="22" t="inlineStr">
        <x:is>
          <x:t xml:space="preserve">Population</x:t>
        </x:is>
      </x:c>
      <x:c r="F59" s="22" t="inlineStr">
        <x:is>
          <x:t xml:space="preserve">ER-139</x:t>
        </x:is>
      </x:c>
      <x:c r="G59" s="22" t="inlineStr">
        <x:is>
          <x:t xml:space="preserve">45 CFR § 164.308(a)(8); 45 CFR § 164.316(b)(1)</x:t>
        </x:is>
      </x:c>
      <x:c r="H59" s="22" t="inlineStr">
        <x:is>
          <x:t xml:space="preserve">Evaluation; Documentation</x:t>
        </x:is>
      </x:c>
      <x:c r="I59" s="22" t="inlineStr">
        <x:is>
          <x:t xml:space="preserve">Best-fit composite</x:t>
        </x:is>
      </x:c>
      <x:c r="J59" s="22" t="inlineStr">
        <x:is>
          <x:t xml:space="preserve">Generic population/evidence control used to show production changes during the review period.</x:t>
        </x:is>
      </x:c>
      <x:c r="K59" s="22"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L59" s="22" t="inlineStr">
        <x:is>
          <x:t xml:space="preserve">Internal control is generic; citation follows the specific evidence row context.</x:t>
        </x:is>
      </x:c>
    </x:row>
    <x:row r="60" ht="30" customHeight="1">
      <x:c r="A60" s="22" t="inlineStr">
        <x:is>
          <x:t xml:space="preserve">REQ-995-HIPAA</x:t>
        </x:is>
      </x:c>
      <x:c r="B60" s="22" t="inlineStr">
        <x:is>
          <x:t xml:space="preserve">All Terminated Employees During the Review Period [INSERT EXAM PERIOD]</x:t>
        </x:is>
      </x:c>
      <x:c r="C60" s="22" t="n">
        <x:v>1</x:v>
      </x:c>
      <x:c r="D60" s="22" t="inlineStr">
        <x:is>
          <x:t xml:space="preserve">11143.02i1Organizational.3</x:t>
        </x:is>
      </x:c>
      <x:c r="E60" s="22" t="inlineStr">
        <x:is>
          <x:t xml:space="preserve">Population</x:t>
        </x:is>
      </x:c>
      <x:c r="F60" s="22" t="inlineStr">
        <x:is>
          <x:t xml:space="preserve">ER-136</x:t>
        </x:is>
      </x:c>
      <x:c r="G60" s="22" t="inlineStr">
        <x:is>
          <x:t xml:space="preserve">45 CFR § 164.308(a)(3)(ii)(C); 45 CFR § 164.316(b)(1)</x:t>
        </x:is>
      </x:c>
      <x:c r="H60" s="22" t="inlineStr">
        <x:is>
          <x:t xml:space="preserve">Workforce Security — Termination Procedures; Documentation</x:t>
        </x:is>
      </x:c>
      <x:c r="I60" s="22" t="inlineStr">
        <x:is>
          <x:t xml:space="preserve">Best-fit composite</x:t>
        </x:is>
      </x:c>
      <x:c r="J60" s="22" t="inlineStr">
        <x:is>
          <x:t xml:space="preserve">Generic population/evidence control used to show termination-related access removals during the review period.</x:t>
        </x:is>
      </x:c>
      <x:c r="K60" s="22"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L60" s="22" t="inlineStr">
        <x:is>
          <x:t xml:space="preserve">Internal control is generic; citation follows the specific evidence row context.</x:t>
        </x:is>
      </x:c>
    </x:row>
  </x:sheetData>
  <x:mergeCells>
    <x:mergeCell ref="A1:L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90" customWidth="1"/>
    <x:col min="2" max="2" width="20" customWidth="1"/>
    <x:col min="3" max="3" width="70" customWidth="1"/>
  </x:cols>
  <x:sheetData>
    <x:row r="1" ht="28" customHeight="1">
      <x:c r="A1" s="1" t="inlineStr">
        <x:is>
          <x:t xml:space="preserve">Authoritative public sources used for 45 CFR enrichment</x:t>
        </x:is>
      </x:c>
    </x:row>
    <x:row r="3" ht="30" customHeight="1">
      <x:c r="A3" s="25" t="inlineStr">
        <x:is>
          <x:t xml:space="preserve">Source URL</x:t>
        </x:is>
      </x:c>
      <x:c r="B3" s="25" t="inlineStr">
        <x:is>
          <x:t xml:space="preserve">Source Type</x:t>
        </x:is>
      </x:c>
      <x:c r="C3" s="25" t="inlineStr">
        <x:is>
          <x:t xml:space="preserve">Why Used</x:t>
        </x:is>
      </x:c>
    </x:row>
    <x:row r="4" ht="38" customHeight="1">
      <x:c r="A4" s="22" t="inlineStr">
        <x:is>
          <x:t xml:space="preserve">https://www.ecfr.gov/current/title-45/subtitle-A/subchapter-C/part-164/section-164.306</x:t>
        </x:is>
      </x:c>
      <x:c r="B4" s="22" t="inlineStr">
        <x:is>
          <x:t xml:space="preserve">eCFR</x:t>
        </x:is>
      </x:c>
      <x:c r="C4" s="22" t="inlineStr">
        <x:is>
          <x:t xml:space="preserve">Security standards: general rules / maintenance language used for patching and change-management best-fit mappings.</x:t>
        </x:is>
      </x:c>
    </x:row>
    <x:row r="5" ht="38" customHeight="1">
      <x:c r="A5" s="22" t="inlineStr">
        <x:is>
          <x:t xml:space="preserve">https://www.ecfr.gov/current/title-45/subtitle-A/subchapter-C/part-164/section-164.308</x:t>
        </x:is>
      </x:c>
      <x:c r="B5" s="22" t="inlineStr">
        <x:is>
          <x:t xml:space="preserve">eCFR</x:t>
        </x:is>
      </x:c>
      <x:c r="C5" s="22" t="inlineStr">
        <x:is>
          <x:t xml:space="preserve">Administrative safeguards section covering risk analysis, risk management, workforce security, access management, training, incident response, contingency planning, and evaluation.</x:t>
        </x:is>
      </x:c>
    </x:row>
    <x:row r="6" ht="38" customHeight="1">
      <x:c r="A6" s="22" t="inlineStr">
        <x:is>
          <x:t xml:space="preserve">https://www.ecfr.gov/current/title-45/subtitle-A/subchapter-C/part-164/section-164.310</x:t>
        </x:is>
      </x:c>
      <x:c r="B6" s="22" t="inlineStr">
        <x:is>
          <x:t xml:space="preserve">eCFR</x:t>
        </x:is>
      </x:c>
      <x:c r="C6" s="22" t="inlineStr">
        <x:is>
          <x:t xml:space="preserve">Physical safeguards section covering device/media disposal, media re-use, accountability, and related controls.</x:t>
        </x:is>
      </x:c>
    </x:row>
    <x:row r="7" ht="38" customHeight="1">
      <x:c r="A7" s="22" t="inlineStr">
        <x:is>
          <x:t xml:space="preserve">https://www.ecfr.gov/current/title-45/subtitle-A/subchapter-C/part-164/section-164.312</x:t>
        </x:is>
      </x:c>
      <x:c r="B7" s="22" t="inlineStr">
        <x:is>
          <x:t xml:space="preserve">eCFR</x:t>
        </x:is>
      </x:c>
      <x:c r="C7" s="22" t="inlineStr">
        <x:is>
          <x:t xml:space="preserve">Technical safeguards section covering access control, audit controls, integrity, authentication, and transmission security.</x:t>
        </x:is>
      </x:c>
    </x:row>
    <x:row r="8" ht="38" customHeight="1">
      <x:c r="A8" s="22" t="inlineStr">
        <x:is>
          <x:t xml:space="preserve">https://www.ecfr.gov/current/title-45/subtitle-A/subchapter-C/part-164/section-164.316</x:t>
        </x:is>
      </x:c>
      <x:c r="B8" s="22" t="inlineStr">
        <x:is>
          <x:t xml:space="preserve">eCFR</x:t>
        </x:is>
      </x:c>
      <x:c r="C8" s="22" t="inlineStr">
        <x:is>
          <x:t xml:space="preserve">Policies/procedures and documentation requirements used for policy repositories and evidence rows.</x:t>
        </x:is>
      </x:c>
    </x:row>
    <x:row r="9" ht="38" customHeight="1">
      <x:c r="A9" s="22" t="inlineStr">
        <x:is>
          <x:t xml:space="preserve">https://www.hhs.gov/ocr/privacy/hipaa/administrative/securityrule/index.html</x:t>
        </x:is>
      </x:c>
      <x:c r="B9" s="22" t="inlineStr">
        <x:is>
          <x:t xml:space="preserve">HHS OCR overview</x:t>
        </x:is>
      </x:c>
      <x:c r="C9" s="22" t="inlineStr">
        <x:is>
          <x:t xml:space="preserve">Current OCR Security Rule overview page identifying the governing Security Rule location.</x:t>
        </x:is>
      </x:c>
    </x:row>
    <x:row r="10" ht="38" customHeight="1">
      <x:c r="A10" s="22" t="inlineStr">
        <x:is>
          <x:t xml:space="preserve">https://www.hhs.gov/sites/default/files/ocr/privacy/hipaa/administrative/combined/hipaa-simplification-201303.pdf</x:t>
        </x:is>
      </x:c>
      <x:c r="B10" s="22" t="inlineStr">
        <x:is>
          <x:t xml:space="preserve">HHS OCR combined regulation text</x:t>
        </x:is>
      </x:c>
      <x:c r="C10" s="22" t="inlineStr">
        <x:is>
          <x:t xml:space="preserve">Appendix A Security Standards Matrix with standard and implementation-specification titles used for exact naming.</x:t>
        </x:is>
      </x:c>
    </x:row>
    <x:row r="11" ht="38" customHeight="1">
      <x:c r="A11" s="22" t="inlineStr">
        <x:is>
          <x:t xml:space="preserve">https://www.hhs.gov/hipaa/for-professionals/compliance-enforcement/audit/protocol/index.html</x:t>
        </x:is>
      </x:c>
      <x:c r="B11" s="22" t="inlineStr">
        <x:is>
          <x:t xml:space="preserve">HHS OCR audit protocol</x:t>
        </x:is>
      </x:c>
      <x:c r="C11" s="22" t="inlineStr">
        <x:is>
          <x:t xml:space="preserve">Public audit protocol used for detailed implementation-specification descriptions and example evidence artifacts.</x:t>
        </x:is>
      </x:c>
    </x:row>
    <x:row r="12" ht="38" customHeight="1">
      <x:c r="A12" s="22" t="inlineStr">
        <x:is>
          <x:t xml:space="preserve">https://www.hhs.gov/sites/default/files/ocr/privacy/hipaa/administrative/securityrule/adminsafeguards.pdf</x:t>
        </x:is>
      </x:c>
      <x:c r="B12" s="22" t="inlineStr">
        <x:is>
          <x:t xml:space="preserve">HHS OCR guidance paper</x:t>
        </x:is>
      </x:c>
      <x:c r="C12" s="22" t="inlineStr">
        <x:is>
          <x:t xml:space="preserve">Administrative safeguards guidance used for access management, password management, malicious software, and training context.</x:t>
        </x:is>
      </x:c>
    </x:row>
    <x:row r="13" ht="38" customHeight="1">
      <x:c r="A13" s="22" t="inlineStr">
        <x:is>
          <x:t xml:space="preserve">https://www.hhs.gov/sites/default/files/ocr/privacy/hipaa/administrative/securityrule/pprequirements.pdf</x:t>
        </x:is>
      </x:c>
      <x:c r="B13" s="22" t="inlineStr">
        <x:is>
          <x:t xml:space="preserve">HHS OCR guidance paper</x:t>
        </x:is>
      </x:c>
      <x:c r="C13" s="22" t="inlineStr">
        <x:is>
          <x:t xml:space="preserve">Policies/procedures and documentation guidance used for documentation-focused mappings.</x:t>
        </x:is>
      </x:c>
    </x:row>
    <x:row r="14" ht="38" customHeight="1">
      <x:c r="A14" s="22" t="inlineStr">
        <x:is>
          <x:t xml:space="preserve">https://www.hhs.gov/hipaa/for-professionals/security/guidance/guidance-risk-analysis/index.html</x:t>
        </x:is>
      </x:c>
      <x:c r="B14" s="22" t="inlineStr">
        <x:is>
          <x:t xml:space="preserve">HHS OCR guidance</x:t>
        </x:is>
      </x:c>
      <x:c r="C14" s="22" t="inlineStr">
        <x:is>
          <x:t xml:space="preserve">Risk analysis guidance used for risk-analysis mappings and for inventory/evaluation best-fit notes.</x:t>
        </x:is>
      </x:c>
    </x:row>
    <x:row r="15" ht="38" customHeight="1">
      <x:c r="A15" s="22" t="inlineStr">
        <x:is>
          <x:t xml:space="preserve">https://www.hhs.gov/hipaa/for-professionals/security/guidance/cybersecurity-newsletter-january-2026/index.html</x:t>
        </x:is>
      </x:c>
      <x:c r="B15" s="22" t="inlineStr">
        <x:is>
          <x:t xml:space="preserve">HHS OCR cybersecurity newsletter</x:t>
        </x:is>
      </x:c>
      <x:c r="C15" s="22" t="inlineStr">
        <x:is>
          <x:t xml:space="preserve">Authoritative OCR guidance tying unpatched software, vulnerability scanning, authentication, testing, and maintenance to HIPAA provisions.</x:t>
        </x:is>
      </x:c>
    </x:row>
    <x:row r="16" ht="38" customHeight="1">
      <x:c r="A16" s="22" t="inlineStr">
        <x:is>
          <x:t xml:space="preserve">https://www.hhs.gov/hipaa/for-professionals/security/guidance/cybersecurity-newsletter-october-2024/index.html</x:t>
        </x:is>
      </x:c>
      <x:c r="B16" s="22" t="inlineStr">
        <x:is>
          <x:t xml:space="preserve">HHS OCR cybersecurity newsletter</x:t>
        </x:is>
      </x:c>
      <x:c r="C16" s="22" t="inlineStr">
        <x:is>
          <x:t xml:space="preserve">OCR guidance explaining that a technology asset inventory and data-flow diagrams support accurate risk analysis.</x:t>
        </x:is>
      </x:c>
    </x:row>
    <x:row r="17" ht="38" customHeight="1">
      <x:c r="A17" s="22" t="inlineStr">
        <x:is>
          <x:t xml:space="preserve">https://www.hhs.gov/hipaa/for-professionals/security/guidance/cybersecurity-newsletter-summer-2019/index.html</x:t>
        </x:is>
      </x:c>
      <x:c r="B17" s="22" t="inlineStr">
        <x:is>
          <x:t xml:space="preserve">HHS OCR cybersecurity newsletter</x:t>
        </x:is>
      </x:c>
      <x:c r="C17" s="22" t="inlineStr">
        <x:is>
          <x:t xml:space="preserve">OCR guidance used for insider-threat / termination / access-change / segmentation examples.</x:t>
        </x:is>
      </x:c>
    </x:row>
    <x:row r="18" ht="38" customHeight="1">
      <x:c r="A18" s="22" t="inlineStr">
        <x:is>
          <x:t xml:space="preserve">https://www.hhs.gov/hipaa/for-professionals/security/guidance/cybersecurity/ransomware-fact-sheet/index.html</x:t>
        </x:is>
      </x:c>
      <x:c r="B18" s="22" t="inlineStr">
        <x:is>
          <x:t xml:space="preserve">HHS OCR fact sheet</x:t>
        </x:is>
      </x:c>
      <x:c r="C18" s="22" t="inlineStr">
        <x:is>
          <x:t xml:space="preserve">OCR contingency-plan guidance used for backups, disaster recovery, and testing.</x:t>
        </x:is>
      </x:c>
    </x:row>
    <x:row r="19" ht="38" customHeight="1">
      <x:c r="A19" s="22" t="inlineStr">
        <x:is>
          <x:t xml:space="preserve">https://www.hhs.gov/hipaa/for-professionals/faq/2002/what-does-the-security-rule-require-a-covered-entity-to-do-to-comply/index.html</x:t>
        </x:is>
      </x:c>
      <x:c r="B19" s="22" t="inlineStr">
        <x:is>
          <x:t xml:space="preserve">HHS OCR FAQ</x:t>
        </x:is>
      </x:c>
      <x:c r="C19" s="22" t="inlineStr">
        <x:is>
          <x:t xml:space="preserve">OCR FAQ used for the Security Incident Procedures standard and Response and Reporting implementation specification.</x:t>
        </x:is>
      </x:c>
    </x:row>
    <x:row r="20" ht="38" customHeight="1">
      <x:c r="A20" s="22" t="inlineStr">
        <x:is>
          <x:t xml:space="preserve">https://www.hhs.gov/hipaa/for-professionals/faq/575/what-does-hipaa-require-of-covered-entities-when-they-dispose-information/index.html</x:t>
        </x:is>
      </x:c>
      <x:c r="B20" s="22" t="inlineStr">
        <x:is>
          <x:t xml:space="preserve">HHS OCR FAQ</x:t>
        </x:is>
      </x:c>
      <x:c r="C20" s="22" t="inlineStr">
        <x:is>
          <x:t xml:space="preserve">OCR FAQ used for disposal and media re-use mappings.</x:t>
        </x:is>
      </x:c>
    </x:row>
  </x:sheetData>
  <x:mergeCells>
    <x:mergeCell ref="A1:C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14" customWidth="1"/>
    <x:col min="2" max="2" width="15" customWidth="1"/>
    <x:col min="3" max="3" width="40" customWidth="1"/>
    <x:col min="4" max="4" width="55" customWidth="1"/>
    <x:col min="5" max="5" width="55" customWidth="1"/>
    <x:col min="6" max="6" width="55" customWidth="1"/>
    <x:col min="7" max="7" width="12" customWidth="1"/>
    <x:col min="8" max="8" width="18" customWidth="1"/>
    <x:col min="9" max="9" width="19" customWidth="1"/>
    <x:col min="10" max="10" width="28" customWidth="1"/>
    <x:col min="11" max="11" width="28" customWidth="1"/>
    <x:col min="12" max="12" width="25" customWidth="1"/>
    <x:col min="13" max="13" width="28" customWidth="1"/>
    <x:col min="14" max="14" width="28" customWidth="1"/>
    <x:col min="15" max="15" width="28" customWidth="1"/>
    <x:col min="16" max="16" width="28" customWidth="1"/>
    <x:col min="17" max="17" width="28" customWidth="1"/>
    <x:col min="18" max="18" width="28" customWidth="1"/>
    <x:col min="19" max="19" width="28" customWidth="1"/>
    <x:col min="20" max="20" width="28" customWidth="1"/>
    <x:col min="21" max="21" width="28" customWidth="1"/>
    <x:col min="22" max="22" width="28" customWidth="1"/>
    <x:col min="23" max="23" width="19" customWidth="1"/>
    <x:col min="24" max="24" width="28" customWidth="1"/>
    <x:col min="25" max="25" width="27" customWidth="1"/>
    <x:col min="26" max="26" width="27" customWidth="1"/>
    <x:col min="27" max="27" width="25" customWidth="1"/>
    <x:col min="28" max="28" width="28" customWidth="1"/>
    <x:col min="29" max="29" width="19" customWidth="1"/>
    <x:col min="30" max="30" width="21" customWidth="1"/>
    <x:col min="31" max="31" width="24" customWidth="1"/>
    <x:col min="32" max="32" width="18" customWidth="1"/>
    <x:col min="33" max="33" width="20" customWidth="1"/>
    <x:col min="34" max="34" width="20" customWidth="1"/>
    <x:col min="35" max="35" width="18" customWidth="1"/>
    <x:col min="36" max="36" width="20" customWidth="1"/>
    <x:col min="37" max="37" width="18" customWidth="1"/>
    <x:col min="38" max="38" width="45" customWidth="1"/>
    <x:col min="39" max="39" width="60" customWidth="1"/>
    <x:col min="40" max="40" width="2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27" customWidth="1"/>
    <x:col min="49" max="49" width="28" customWidth="1"/>
    <x:col min="50" max="50" width="28" customWidth="1"/>
    <x:col min="51" max="51" width="28" customWidth="1"/>
    <x:col min="52" max="52" width="18" customWidth="1"/>
    <x:col min="53" max="53" width="18" customWidth="1"/>
    <x:col min="54" max="54" width="18" customWidth="1"/>
    <x:col min="55" max="55" width="18" customWidth="1"/>
    <x:col min="56" max="56" width="18" customWidth="1"/>
    <x:col min="57" max="57" width="18" customWidth="1"/>
    <x:col min="58" max="58" width="18" customWidth="1"/>
    <x:col min="59" max="59" width="18" customWidth="1"/>
    <x:col min="60" max="60" width="18" customWidth="1"/>
    <x:col min="61" max="61" width="18" customWidth="1"/>
    <x:col min="62" max="62" width="18" customWidth="1"/>
    <x:col min="63" max="63" width="18" customWidth="1"/>
    <x:col min="64" max="64" width="18" customWidth="1"/>
    <x:col min="65" max="65" width="18" customWidth="1"/>
    <x:col min="66" max="66" width="18" customWidth="1"/>
    <x:col min="67" max="67" width="18" customWidth="1"/>
    <x:col min="68" max="68" width="18" customWidth="1"/>
    <x:col min="69" max="69" width="18" customWidth="1"/>
    <x:col min="70" max="70" width="18" customWidth="1"/>
    <x:col min="71" max="71" width="18" customWidth="1"/>
    <x:col min="72" max="72" width="18" customWidth="1"/>
    <x:col min="73" max="73" width="18" customWidth="1"/>
    <x:col min="74" max="74" width="18" customWidth="1"/>
    <x:col min="75" max="75" width="18" customWidth="1"/>
    <x:col min="76" max="76" width="18" customWidth="1"/>
    <x:col min="77" max="77" width="18" customWidth="1"/>
    <x:col min="78" max="78" width="18" customWidth="1"/>
    <x:col min="79" max="79" width="18" customWidth="1"/>
    <x:col min="80" max="80" width="18" customWidth="1"/>
    <x:col min="81" max="81" width="18" customWidth="1"/>
    <x:col min="82" max="82" width="18" customWidth="1"/>
    <x:col min="83" max="83" width="18" customWidth="1"/>
  </x:cols>
  <x:sheetData>
    <x:row r="1" ht="30" customHeight="1">
      <x:c r="A1" s="11" t="inlineStr">
        <x:is>
          <x:t xml:space="preserve">Reference ID</x:t>
        </x:is>
      </x:c>
      <x:c r="B1" s="11" t="inlineStr">
        <x:is>
          <x:t xml:space="preserve">Category</x:t>
        </x:is>
      </x:c>
      <x:c r="C1" s="11" t="inlineStr">
        <x:is>
          <x:t xml:space="preserve">Name</x:t>
        </x:is>
      </x:c>
      <x:c r="D1" s="11" t="inlineStr">
        <x:is>
          <x:t xml:space="preserve">Tiers - Level 1 Raw</x:t>
        </x:is>
      </x:c>
      <x:c r="E1" s="11" t="inlineStr">
        <x:is>
          <x:t xml:space="preserve">Local Controls Raw</x:t>
        </x:is>
      </x:c>
      <x:c r="F1" s="11" t="inlineStr">
        <x:is>
          <x:t xml:space="preserve">Frameworks Raw</x:t>
        </x:is>
      </x:c>
      <x:c r="G1" s="11" t="inlineStr">
        <x:is>
          <x:t xml:space="preserve">Sort Order</x:t>
        </x:is>
      </x:c>
      <x:c r="H1" s="11" t="inlineStr">
        <x:is>
          <x:t xml:space="preserve">Tier_All_Count</x:t>
        </x:is>
      </x:c>
      <x:c r="I1" s="11" t="inlineStr">
        <x:is>
          <x:t xml:space="preserve">Tier_Unique_Count</x:t>
        </x:is>
      </x:c>
      <x:c r="J1" s="11" t="inlineStr">
        <x:is>
          <x:t xml:space="preserve">Tier_1</x:t>
        </x:is>
      </x:c>
      <x:c r="K1" s="11" t="inlineStr">
        <x:is>
          <x:t xml:space="preserve">Tier_2</x:t>
        </x:is>
      </x:c>
      <x:c r="L1" s="11" t="inlineStr">
        <x:is>
          <x:t xml:space="preserve">Local_Control_All_Count</x:t>
        </x:is>
      </x:c>
      <x:c r="M1" s="11" t="inlineStr">
        <x:is>
          <x:t xml:space="preserve">Local_Control_Unique_Count</x:t>
        </x:is>
      </x:c>
      <x:c r="N1" s="11" t="inlineStr">
        <x:is>
          <x:t xml:space="preserve">Local_Control_1</x:t>
        </x:is>
      </x:c>
      <x:c r="O1" s="11" t="inlineStr">
        <x:is>
          <x:t xml:space="preserve">Local_Control_2</x:t>
        </x:is>
      </x:c>
      <x:c r="P1" s="11" t="inlineStr">
        <x:is>
          <x:t xml:space="preserve">Local_Control_3</x:t>
        </x:is>
      </x:c>
      <x:c r="Q1" s="11" t="inlineStr">
        <x:is>
          <x:t xml:space="preserve">Local_Control_4</x:t>
        </x:is>
      </x:c>
      <x:c r="R1" s="11" t="inlineStr">
        <x:is>
          <x:t xml:space="preserve">Local_Control_5</x:t>
        </x:is>
      </x:c>
      <x:c r="S1" s="11" t="inlineStr">
        <x:is>
          <x:t xml:space="preserve">Local_Control_6</x:t>
        </x:is>
      </x:c>
      <x:c r="T1" s="11" t="inlineStr">
        <x:is>
          <x:t xml:space="preserve">Local_Control_7</x:t>
        </x:is>
      </x:c>
      <x:c r="U1" s="11" t="inlineStr">
        <x:is>
          <x:t xml:space="preserve">Local_Control_8</x:t>
        </x:is>
      </x:c>
      <x:c r="V1" s="11" t="inlineStr">
        <x:is>
          <x:t xml:space="preserve">Local_Control_9</x:t>
        </x:is>
      </x:c>
      <x:c r="W1" s="11" t="inlineStr">
        <x:is>
          <x:t xml:space="preserve">Local_Control_10</x:t>
        </x:is>
      </x:c>
      <x:c r="X1" s="11" t="inlineStr">
        <x:is>
          <x:t xml:space="preserve">Local_Control_11</x:t>
        </x:is>
      </x:c>
      <x:c r="Y1" s="11" t="inlineStr">
        <x:is>
          <x:t xml:space="preserve">Local_Control_12</x:t>
        </x:is>
      </x:c>
      <x:c r="Z1" s="11" t="inlineStr">
        <x:is>
          <x:t xml:space="preserve">Local_Control_13</x:t>
        </x:is>
      </x:c>
      <x:c r="AA1" s="11" t="inlineStr">
        <x:is>
          <x:t xml:space="preserve">Local_Control_14</x:t>
        </x:is>
      </x:c>
      <x:c r="AB1" s="11" t="inlineStr">
        <x:is>
          <x:t xml:space="preserve">Local_Control_15</x:t>
        </x:is>
      </x:c>
      <x:c r="AC1" s="11" t="inlineStr">
        <x:is>
          <x:t xml:space="preserve">Local_Control_16</x:t>
        </x:is>
      </x:c>
      <x:c r="AD1" s="11" t="inlineStr">
        <x:is>
          <x:t xml:space="preserve">Framework_All_Count</x:t>
        </x:is>
      </x:c>
      <x:c r="AE1" s="11" t="inlineStr">
        <x:is>
          <x:t xml:space="preserve">Framework_Unique_Count</x:t>
        </x:is>
      </x:c>
      <x:c r="AF1" s="11" t="inlineStr">
        <x:is>
          <x:t xml:space="preserve">Framework_1</x:t>
        </x:is>
      </x:c>
      <x:c r="AG1" s="11" t="inlineStr">
        <x:is>
          <x:t xml:space="preserve">Framework_2</x:t>
        </x:is>
      </x:c>
      <x:c r="AH1" s="11" t="inlineStr">
        <x:is>
          <x:t xml:space="preserve">Framework_3</x:t>
        </x:is>
      </x:c>
      <x:c r="AI1" s="11" t="inlineStr">
        <x:is>
          <x:t xml:space="preserve">Framework_4</x:t>
        </x:is>
      </x:c>
      <x:c r="AJ1" s="11" t="inlineStr">
        <x:is>
          <x:t xml:space="preserve">Framework_5</x:t>
        </x:is>
      </x:c>
      <x:c r="AK1" s="11" t="inlineStr">
        <x:is>
          <x:t xml:space="preserve">Framework_6</x:t>
        </x:is>
      </x:c>
      <x:c r="AL1" s="11" t="inlineStr">
        <x:is>
          <x:t xml:space="preserve">Company Source URL</x:t>
        </x:is>
      </x:c>
      <x:c r="AM1" s="11" t="inlineStr">
        <x:is>
          <x:t xml:space="preserve">Normalization_Notes</x:t>
        </x:is>
      </x:c>
      <x:c r="AN1" s="11" t="inlineStr">
        <x:is>
          <x:t xml:space="preserve">Local_Control_17</x:t>
        </x:is>
      </x:c>
      <x:c r="AO1" s="11" t="inlineStr">
        <x:is>
          <x:t xml:space="preserve">Local_Control_18</x:t>
        </x:is>
      </x:c>
      <x:c r="AP1" s="11" t="inlineStr">
        <x:is>
          <x:t xml:space="preserve">Local_Control_19</x:t>
        </x:is>
      </x:c>
      <x:c r="AQ1" s="11" t="inlineStr">
        <x:is>
          <x:t xml:space="preserve">Local_Control_20</x:t>
        </x:is>
      </x:c>
      <x:c r="AR1" s="11" t="inlineStr">
        <x:is>
          <x:t xml:space="preserve">Local_Control_21</x:t>
        </x:is>
      </x:c>
      <x:c r="AS1" s="11" t="inlineStr">
        <x:is>
          <x:t xml:space="preserve">Local_Control_22</x:t>
        </x:is>
      </x:c>
      <x:c r="AT1" s="11" t="inlineStr">
        <x:is>
          <x:t xml:space="preserve">Local_Control_23</x:t>
        </x:is>
      </x:c>
      <x:c r="AU1" s="11" t="inlineStr">
        <x:is>
          <x:t xml:space="preserve">Local_Control_24</x:t>
        </x:is>
      </x:c>
      <x:c r="AV1" s="11" t="inlineStr">
        <x:is>
          <x:t xml:space="preserve">Local_Control_25</x:t>
        </x:is>
      </x:c>
      <x:c r="AW1" s="11" t="inlineStr">
        <x:is>
          <x:t xml:space="preserve">Tier_3</x:t>
        </x:is>
      </x:c>
      <x:c r="AX1" s="11" t="inlineStr">
        <x:is>
          <x:t xml:space="preserve">Local_Control_26</x:t>
        </x:is>
      </x:c>
      <x:c r="AY1" s="11" t="inlineStr">
        <x:is>
          <x:t xml:space="preserve">Local_Control_27</x:t>
        </x:is>
      </x:c>
      <x:c r="AZ1" s="11" t="inlineStr">
        <x:is>
          <x:t xml:space="preserve">Local_Control_28</x:t>
        </x:is>
      </x:c>
      <x:c r="BA1" s="11" t="inlineStr">
        <x:is>
          <x:t xml:space="preserve">Local_Control_29</x:t>
        </x:is>
      </x:c>
      <x:c r="BB1" s="11" t="inlineStr">
        <x:is>
          <x:t xml:space="preserve">Local_Control_30</x:t>
        </x:is>
      </x:c>
      <x:c r="BC1" s="11" t="inlineStr">
        <x:is>
          <x:t xml:space="preserve">Local_Control_31</x:t>
        </x:is>
      </x:c>
      <x:c r="BD1" s="11" t="inlineStr">
        <x:is>
          <x:t xml:space="preserve">Local_Control_32</x:t>
        </x:is>
      </x:c>
      <x:c r="BE1" s="11" t="inlineStr">
        <x:is>
          <x:t xml:space="preserve">Local_Control_33</x:t>
        </x:is>
      </x:c>
      <x:c r="BF1" s="11" t="inlineStr">
        <x:is>
          <x:t xml:space="preserve">Local_Control_34</x:t>
        </x:is>
      </x:c>
      <x:c r="BG1" s="11" t="inlineStr">
        <x:is>
          <x:t xml:space="preserve">Local_Control_35</x:t>
        </x:is>
      </x:c>
      <x:c r="BH1" s="11" t="inlineStr">
        <x:is>
          <x:t xml:space="preserve">Local_Control_36</x:t>
        </x:is>
      </x:c>
      <x:c r="BI1" s="11" t="inlineStr">
        <x:is>
          <x:t xml:space="preserve">Local_Control_37</x:t>
        </x:is>
      </x:c>
      <x:c r="BJ1" s="11" t="inlineStr">
        <x:is>
          <x:t xml:space="preserve">Local_Control_38</x:t>
        </x:is>
      </x:c>
      <x:c r="BK1" s="11" t="inlineStr">
        <x:is>
          <x:t xml:space="preserve">Local_Control_39</x:t>
        </x:is>
      </x:c>
      <x:c r="BL1" s="11" t="inlineStr">
        <x:is>
          <x:t xml:space="preserve">Local_Control_40</x:t>
        </x:is>
      </x:c>
      <x:c r="BM1" s="11" t="inlineStr">
        <x:is>
          <x:t xml:space="preserve">Local_Control_41</x:t>
        </x:is>
      </x:c>
      <x:c r="BN1" s="11" t="inlineStr">
        <x:is>
          <x:t xml:space="preserve">Local_Control_42</x:t>
        </x:is>
      </x:c>
      <x:c r="BO1" s="11" t="inlineStr">
        <x:is>
          <x:t xml:space="preserve">Local_Control_43</x:t>
        </x:is>
      </x:c>
      <x:c r="BP1" s="11" t="inlineStr">
        <x:is>
          <x:t xml:space="preserve">Local_Control_44</x:t>
        </x:is>
      </x:c>
      <x:c r="BQ1" s="11" t="inlineStr">
        <x:is>
          <x:t xml:space="preserve">Local_Control_45</x:t>
        </x:is>
      </x:c>
      <x:c r="BR1" s="11" t="inlineStr">
        <x:is>
          <x:t xml:space="preserve">Local_Control_46</x:t>
        </x:is>
      </x:c>
      <x:c r="BS1" s="11" t="inlineStr">
        <x:is>
          <x:t xml:space="preserve">Local_Control_47</x:t>
        </x:is>
      </x:c>
      <x:c r="BT1" s="11" t="inlineStr">
        <x:is>
          <x:t xml:space="preserve">Local_Control_48</x:t>
        </x:is>
      </x:c>
      <x:c r="BU1" s="11" t="inlineStr">
        <x:is>
          <x:t xml:space="preserve">Local_Control_49</x:t>
        </x:is>
      </x:c>
      <x:c r="BV1" s="11" t="inlineStr">
        <x:is>
          <x:t xml:space="preserve">Local_Control_50</x:t>
        </x:is>
      </x:c>
      <x:c r="BW1" s="11" t="inlineStr">
        <x:is>
          <x:t xml:space="preserve">Local_Control_51</x:t>
        </x:is>
      </x:c>
      <x:c r="BX1" s="11" t="inlineStr">
        <x:is>
          <x:t xml:space="preserve">Local_Control_52</x:t>
        </x:is>
      </x:c>
      <x:c r="BY1" s="11" t="inlineStr">
        <x:is>
          <x:t xml:space="preserve">Local_Control_53</x:t>
        </x:is>
      </x:c>
      <x:c r="BZ1" s="11" t="inlineStr">
        <x:is>
          <x:t xml:space="preserve">Local_Control_54</x:t>
        </x:is>
      </x:c>
      <x:c r="CA1" s="11" t="inlineStr">
        <x:is>
          <x:t xml:space="preserve">Local_Control_55</x:t>
        </x:is>
      </x:c>
      <x:c r="CB1" s="11" t="inlineStr">
        <x:is>
          <x:t xml:space="preserve">Local_Control_56</x:t>
        </x:is>
      </x:c>
      <x:c r="CC1" s="11" t="inlineStr">
        <x:is>
          <x:t xml:space="preserve">Local_Control_57</x:t>
        </x:is>
      </x:c>
      <x:c r="CD1" s="11" t="inlineStr">
        <x:is>
          <x:t xml:space="preserve">Local_Control_58</x:t>
        </x:is>
      </x:c>
      <x:c r="CE1" s="11" t="inlineStr">
        <x:is>
          <x:t xml:space="preserve">Local_Control_59</x:t>
        </x:is>
      </x:c>
    </x:row>
    <x:row r="2" ht="30" customHeight="1">
      <x:c r="A2" s="5" t="inlineStr">
        <x:is>
          <x:t xml:space="preserve">ER-1</x:t>
        </x:is>
      </x:c>
      <x:c r="B2" s="5" t="inlineStr">
        <x:is>
          <x:t xml:space="preserve">Configuration</x:t>
        </x:is>
      </x:c>
      <x:c r="C2" s="5" t="inlineStr">
        <x:is>
          <x:t xml:space="preserve">[Configuration] Data Encryption at Rest</x:t>
        </x:is>
      </x:c>
      <x:c r="D2" s="5" t="inlineStr">
        <x:is>
          <x:t xml:space="preserve">Security,PCI DSS v4.0 - ROC - Merchant</x:t>
        </x:is>
      </x:c>
      <x:c r="E2" s="5" t="inlineStr">
        <x:is>
          <x:t xml:space="preserve">REQ-34,REQ-33,04.01x1Organizational.5,A.05.14,A.05.33,A.08.24a,REQ-33-SOC1,REQ-34-SOC1,REQ-33-HIPAA,REQ-34-HIPAA,1903.06d1Organizational.3456711,3.5.1,3.5.1.1,3.5.1.2,3.5.1.3,REQ-34,REQ-33,04.01x1Organizational.5,A.05.14,A.05.33,A.08.24a,REQ-33-SOC1,REQ-34-SOC1,REQ-33-HIPAA,REQ-34-HIPAA,1903.06d1Organizational.3456711,3.5.1,3.5.1.1,3.5.1.2,3.5.1.3,04.01x1Organizational.5,REQ-34,REQ-33,04.01x1Organizational.5,A.05.14,A.05.33,A.08.24a,REQ-33-SOC1,REQ-34-SOC1,REQ-33-HIPAA,REQ-34-HIPAA,REQ-35-HIPAA,1903.06d1Organizational.3456711,04.01x1Organizational.5,1903.06d1Organizational.3456711,1903.06d1Organizational.3456711,3.5.1,3.5.1.1,3.5.1.2,3.5.1.3</x:t>
        </x:is>
      </x:c>
      <x:c r="F2" s="5" t="inlineStr">
        <x:is>
          <x:t xml:space="preserve">SOC 2,SOC 2,HITRUST,ISO 27001/2 (2022),ISO 27001/2 (2022),ISO 27001/2 (2022),SOC 1,SOC 1,HIPAA Security,HIPAA Security,HITRUST,PCI DSS v4.0,PCI DSS v4.0,PCI DSS v4.0,PCI DSS v4.0,SOC 2,SOC 2,HITRUST,ISO 27001/2 (2022),ISO 27001/2 (2022),ISO 27001/2 (2022),SOC 1,SOC 1,HIPAA Security,HIPAA Security,HITRUST,PCI DSS v4.0,PCI DSS v4.0,PCI DSS v4.0,PCI DSS v4.0,HITRUST,SOC 2,SOC 2,HITRUST,ISO 27001/2 (2022),ISO 27001/2 (2022),ISO 27001/2 (2022),SOC 1,SOC 1,HIPAA Security,HIPAA Security,HIPAA Security,HITRUST,HITRUST,HITRUST,HITRUST,PCI DSS v4.0,PCI DSS v4.0,PCI DSS v4.0,PCI DSS v4.0</x:t>
        </x:is>
      </x:c>
      <x:c r="G2" s="5" t="n">
        <x:v>1</x:v>
      </x:c>
      <x:c r="H2" s="5" t="n">
        <x:v>2</x:v>
      </x:c>
      <x:c r="I2" s="5" t="n">
        <x:v>2</x:v>
      </x:c>
      <x:c r="J2" s="5" t="inlineStr">
        <x:is>
          <x:t xml:space="preserve">Security</x:t>
        </x:is>
      </x:c>
      <x:c r="K2" s="5" t="inlineStr">
        <x:is>
          <x:t xml:space="preserve">PCI DSS v4.0 - ROC - Merchant</x:t>
        </x:is>
      </x:c>
      <x:c r="L2" s="5" t="n">
        <x:v>50</x:v>
      </x:c>
      <x:c r="M2" s="5" t="n">
        <x:v>16</x:v>
      </x:c>
      <x:c r="N2" s="5" t="inlineStr">
        <x:is>
          <x:t xml:space="preserve">REQ-34</x:t>
        </x:is>
      </x:c>
      <x:c r="O2" s="5" t="inlineStr">
        <x:is>
          <x:t xml:space="preserve">REQ-33</x:t>
        </x:is>
      </x:c>
      <x:c r="P2" s="5" t="inlineStr">
        <x:is>
          <x:t xml:space="preserve">04.01x1Organizational.5</x:t>
        </x:is>
      </x:c>
      <x:c r="Q2" s="5" t="inlineStr">
        <x:is>
          <x:t xml:space="preserve">A.05.14</x:t>
        </x:is>
      </x:c>
      <x:c r="R2" s="5" t="inlineStr">
        <x:is>
          <x:t xml:space="preserve">A.05.33</x:t>
        </x:is>
      </x:c>
      <x:c r="S2" s="5" t="inlineStr">
        <x:is>
          <x:t xml:space="preserve">A.08.24a</x:t>
        </x:is>
      </x:c>
      <x:c r="T2" s="5" t="inlineStr">
        <x:is>
          <x:t xml:space="preserve">REQ-33-SOC1</x:t>
        </x:is>
      </x:c>
      <x:c r="U2" s="5" t="inlineStr">
        <x:is>
          <x:t xml:space="preserve">REQ-34-SOC1</x:t>
        </x:is>
      </x:c>
      <x:c r="V2" s="5" t="inlineStr">
        <x:is>
          <x:t xml:space="preserve">REQ-33-HIPAA</x:t>
        </x:is>
      </x:c>
      <x:c r="W2" s="5" t="inlineStr">
        <x:is>
          <x:t xml:space="preserve">REQ-34-HIPAA</x:t>
        </x:is>
      </x:c>
      <x:c r="X2" s="5" t="inlineStr">
        <x:is>
          <x:t xml:space="preserve">1903.06d1Organizational.3456711</x:t>
        </x:is>
      </x:c>
      <x:c r="Y2" s="5" t="inlineStr">
        <x:is>
          <x:t xml:space="preserve">3.5.1</x:t>
        </x:is>
      </x:c>
      <x:c r="Z2" s="5" t="inlineStr">
        <x:is>
          <x:t xml:space="preserve">3.5.1.1</x:t>
        </x:is>
      </x:c>
      <x:c r="AA2" s="5" t="inlineStr">
        <x:is>
          <x:t xml:space="preserve">3.5.1.2</x:t>
        </x:is>
      </x:c>
      <x:c r="AB2" s="5" t="inlineStr">
        <x:is>
          <x:t xml:space="preserve">3.5.1.3</x:t>
        </x:is>
      </x:c>
      <x:c r="AC2" s="5" t="inlineStr">
        <x:is>
          <x:t xml:space="preserve">REQ-35-HIPAA</x:t>
        </x:is>
      </x:c>
      <x:c r="AD2" s="5" t="n">
        <x:v>50</x:v>
      </x:c>
      <x:c r="AE2" s="5" t="n">
        <x:v>6</x:v>
      </x:c>
      <x:c r="AF2" s="5" t="inlineStr">
        <x:is>
          <x:t xml:space="preserve">SOC 2</x:t>
        </x:is>
      </x:c>
      <x:c r="AG2" s="5" t="inlineStr">
        <x:is>
          <x:t xml:space="preserve">HITRUST</x:t>
        </x:is>
      </x:c>
      <x:c r="AH2" s="5" t="inlineStr">
        <x:is>
          <x:t xml:space="preserve">ISO 27001/2 (2022)</x:t>
        </x:is>
      </x:c>
      <x:c r="AI2" s="5" t="inlineStr">
        <x:is>
          <x:t xml:space="preserve">SOC 1</x:t>
        </x:is>
      </x:c>
      <x:c r="AJ2" s="5" t="inlineStr">
        <x:is>
          <x:t xml:space="preserve">HIPAA Security</x:t>
        </x:is>
      </x:c>
      <x:c r="AK2" s="5" t="inlineStr">
        <x:is>
          <x:t xml:space="preserve">PCI DSS v4.0</x:t>
        </x:is>
      </x:c>
      <x:c r="AL2" s="28" t="inlineStr">
        <x:is>
          <x:t xml:space="preserve">https://docs.google.com/document/d/1W5FC1d6oqcAnoxBiPHHQMdXo6_EqhnFeiMjXq4_dX9s/edit?usp=sharing</x:t>
        </x:is>
      </x:c>
      <x:c r="AM2" s="5" t="inlineStr">
        <x:is>
          <x:t xml:space="preserve">Local controls deduped from 50 exported tokens to 16 unique button tokens. Frameworks deduped from 50 exported tokens to 6 unique button tokens. Preserved "ISO 27001/2 (2022)" as a single framework token to reflect Thoropass notation that references ISO 27001 together with the related 27002 guidance set.</x:t>
        </x:is>
      </x:c>
      <x:c r="AN2" s="5" t="n"/>
      <x:c r="AO2" s="5" t="n"/>
      <x:c r="AP2" s="5" t="n"/>
      <x:c r="AQ2" s="5" t="n"/>
      <x:c r="AR2" s="5" t="n"/>
      <x:c r="AS2" s="5" t="n"/>
      <x:c r="AT2" s="5" t="n"/>
      <x:c r="AU2" s="5" t="n"/>
      <x:c r="AV2" s="5" t="n"/>
      <x:c r="AW2" s="5" t="n"/>
      <x:c r="AX2" s="5" t="n"/>
      <x:c r="AY2" s="5" t="n"/>
      <x:c r="AZ2" s="5" t="n"/>
      <x:c r="BA2" s="5" t="n"/>
      <x:c r="BB2" s="5" t="n"/>
      <x:c r="BC2" s="5" t="n"/>
      <x:c r="BD2" s="5" t="n"/>
      <x:c r="BE2" s="5" t="n"/>
      <x:c r="BF2" s="5" t="n"/>
      <x:c r="BG2" s="5" t="n"/>
      <x:c r="BH2" s="5" t="n"/>
      <x:c r="BI2" s="5" t="n"/>
      <x:c r="BJ2" s="5" t="n"/>
      <x:c r="BK2" s="5" t="n"/>
      <x:c r="BL2" s="5" t="n"/>
      <x:c r="BM2" s="5" t="n"/>
      <x:c r="BN2" s="5" t="n"/>
      <x:c r="BO2" s="5" t="n"/>
      <x:c r="BP2" s="5" t="n"/>
      <x:c r="BQ2" s="5" t="n"/>
      <x:c r="BR2" s="5" t="n"/>
      <x:c r="BS2" s="5" t="n"/>
      <x:c r="BT2" s="5" t="n"/>
      <x:c r="BU2" s="5" t="n"/>
      <x:c r="BV2" s="5" t="n"/>
      <x:c r="BW2" s="5" t="n"/>
      <x:c r="BX2" s="5" t="n"/>
      <x:c r="BY2" s="5" t="n"/>
      <x:c r="BZ2" s="5" t="n"/>
      <x:c r="CA2" s="5" t="n"/>
      <x:c r="CB2" s="5" t="n"/>
      <x:c r="CC2" s="5" t="n"/>
      <x:c r="CD2" s="5" t="n"/>
      <x:c r="CE2" s="5" t="n"/>
    </x:row>
    <x:row r="3" ht="30" customHeight="1">
      <x:c r="A3" s="5" t="inlineStr">
        <x:is>
          <x:t xml:space="preserve">ER-3</x:t>
        </x:is>
      </x:c>
      <x:c r="B3" s="5" t="inlineStr">
        <x:is>
          <x:t xml:space="preserve">Configuration</x:t>
        </x:is>
      </x:c>
      <x:c r="C3" s="5" t="inlineStr">
        <x:is>
          <x:t xml:space="preserve">[Configuration] Encryption In Transit (Ex. TLS Protocols)</x:t>
        </x:is>
      </x:c>
      <x:c r="D3" s="5" t="inlineStr">
        <x:is>
          <x:t xml:space="preserve">Security,PCI DSS v4.0 - ROC - Merchant</x:t>
        </x:is>
      </x:c>
      <x:c r="E3" s="5" t="inlineStr">
        <x:is>
          <x:t xml:space="preserve">REQ-35,REQ-33,04.01x1Organizational.5,A.05.14,A.05.33,A.08.24a,REQ-33-SOC1,REQ-35-SOC1,0913.09s1Organizational.5,1013.01r1System.2,0862.09m2Organizational.8,0928.09v2Organizational.1,REQ-33-HIPAA,REQ-35-HIPAA,0945.09y1Organizational.3,0954.10d1System.1,0903.10f1Organizational.1.a,4.2.1,4.2.1.1,4.2.2,0913.09s1Organizational.5,1013.01r1System.2,0862.09m2Organizational.8,0928.09v2Organizational.1,0903.10f1Organizational.1.a,0945.09y1Organizational.3,0954.10d1System.1,4.2.1,4.2.1.1,4.2.2,0913.09s1Organizational.5,1013.01r1System.2,0862.09m2Organizational.8,0928.09v2Organizational.1,0903.10f1Organizational.1.a,0954.10d1System.1,0945.09y1Organizational.3,0913.09s1Organizational.5,1013.01r1System.2,0862.09m2Organizational.8,0928.09v2Organizational.1,0903.10f1Organizational.1.a,4.2.1,0945.09y1Organizational.3,4.2.1,0954.10d1System.1,4.2.1,0954.10d1System.1,4.2.1,0913.09s1Organizational.5,1013.01r1System.2,0862.09m2Organizational.8,0928.09v2Organizational.1,0903.10f1Organizational.1.a,0945.09y1Organizational.3,0954.10d1System.1,4.2.1,4.2.1.1,4.2.2</x:t>
        </x:is>
      </x:c>
      <x:c r="F3" s="5" t="inlineStr">
        <x:is>
          <x:t xml:space="preserve">SOC 2,SOC 2,HITRUST,ISO 27001/2 (2022),ISO 27001/2 (2022),ISO 27001/2 (2022),SOC 1,SOC 1,HITRUST,HITRUST,HITRUST,HITRUST,HIPAA Security,HIPAA Security,HITRUST,HITRUST,HITRUST,PCI DSS v4.0,PCI DSS v4.0,PCI DSS v4.0,HITRUST,HITRUST,HITRUST,HITRUST,HITRUST,HITRUST,HITRUST,PCI DSS v4.0,PCI DSS v4.0,PCI DSS v4.0,HITRUST,HITRUST,HITRUST,HITRUST,HITRUST,HITRUST,HITRUST,HITRUST,HITRUST,HITRUST,HITRUST,HITRUST,PCI DSS v4.0,HITRUST,PCI DSS v4.0,HITRUST,PCI DSS v4.0,HITRUST,PCI DSS v4.0,HITRUST,HITRUST,HITRUST,HITRUST,HITRUST,HITRUST,HITRUST,PCI DSS v4.0,PCI DSS v4.0,PCI DSS v4.0</x:t>
        </x:is>
      </x:c>
      <x:c r="G3" s="5" t="n">
        <x:v>2</x:v>
      </x:c>
      <x:c r="H3" s="5" t="n">
        <x:v>2</x:v>
      </x:c>
      <x:c r="I3" s="5" t="n">
        <x:v>2</x:v>
      </x:c>
      <x:c r="J3" s="5" t="inlineStr">
        <x:is>
          <x:t xml:space="preserve">Security</x:t>
        </x:is>
      </x:c>
      <x:c r="K3" s="5" t="inlineStr">
        <x:is>
          <x:t xml:space="preserve">PCI DSS v4.0 - ROC - Merchant</x:t>
        </x:is>
      </x:c>
      <x:c r="L3" s="5" t="n">
        <x:v>59</x:v>
      </x:c>
      <x:c r="M3" s="5" t="n">
        <x:v>20</x:v>
      </x:c>
      <x:c r="N3" s="5" t="inlineStr">
        <x:is>
          <x:t xml:space="preserve">REQ-35</x:t>
        </x:is>
      </x:c>
      <x:c r="O3" s="5" t="inlineStr">
        <x:is>
          <x:t xml:space="preserve">REQ-33</x:t>
        </x:is>
      </x:c>
      <x:c r="P3" s="5" t="inlineStr">
        <x:is>
          <x:t xml:space="preserve">04.01x1Organizational.5</x:t>
        </x:is>
      </x:c>
      <x:c r="Q3" s="5" t="inlineStr">
        <x:is>
          <x:t xml:space="preserve">A.05.14</x:t>
        </x:is>
      </x:c>
      <x:c r="R3" s="5" t="inlineStr">
        <x:is>
          <x:t xml:space="preserve">A.05.33</x:t>
        </x:is>
      </x:c>
      <x:c r="S3" s="5" t="inlineStr">
        <x:is>
          <x:t xml:space="preserve">A.08.24a</x:t>
        </x:is>
      </x:c>
      <x:c r="T3" s="5" t="inlineStr">
        <x:is>
          <x:t xml:space="preserve">REQ-33-SOC1</x:t>
        </x:is>
      </x:c>
      <x:c r="U3" s="5" t="inlineStr">
        <x:is>
          <x:t xml:space="preserve">REQ-35-SOC1</x:t>
        </x:is>
      </x:c>
      <x:c r="V3" s="5" t="inlineStr">
        <x:is>
          <x:t xml:space="preserve">0913.09s1Organizational.5</x:t>
        </x:is>
      </x:c>
      <x:c r="W3" s="5" t="inlineStr">
        <x:is>
          <x:t xml:space="preserve">1013.01r1System.2</x:t>
        </x:is>
      </x:c>
      <x:c r="X3" s="5" t="inlineStr">
        <x:is>
          <x:t xml:space="preserve">0862.09m2Organizational.8</x:t>
        </x:is>
      </x:c>
      <x:c r="Y3" s="5" t="inlineStr">
        <x:is>
          <x:t xml:space="preserve">0928.09v2Organizational.1</x:t>
        </x:is>
      </x:c>
      <x:c r="Z3" s="5" t="inlineStr">
        <x:is>
          <x:t xml:space="preserve">REQ-33-HIPAA</x:t>
        </x:is>
      </x:c>
      <x:c r="AA3" s="5" t="inlineStr">
        <x:is>
          <x:t xml:space="preserve">REQ-35-HIPAA</x:t>
        </x:is>
      </x:c>
      <x:c r="AB3" s="5" t="inlineStr">
        <x:is>
          <x:t xml:space="preserve">0945.09y1Organizational.3</x:t>
        </x:is>
      </x:c>
      <x:c r="AC3" s="5" t="inlineStr">
        <x:is>
          <x:t xml:space="preserve">0954.10d1System.1</x:t>
        </x:is>
      </x:c>
      <x:c r="AD3" s="5" t="n">
        <x:v>59</x:v>
      </x:c>
      <x:c r="AE3" s="5" t="n">
        <x:v>6</x:v>
      </x:c>
      <x:c r="AF3" s="5" t="inlineStr">
        <x:is>
          <x:t xml:space="preserve">SOC 2</x:t>
        </x:is>
      </x:c>
      <x:c r="AG3" s="5" t="inlineStr">
        <x:is>
          <x:t xml:space="preserve">HITRUST</x:t>
        </x:is>
      </x:c>
      <x:c r="AH3" s="5" t="inlineStr">
        <x:is>
          <x:t xml:space="preserve">ISO 27001/2 (2022)</x:t>
        </x:is>
      </x:c>
      <x:c r="AI3" s="5" t="inlineStr">
        <x:is>
          <x:t xml:space="preserve">SOC 1</x:t>
        </x:is>
      </x:c>
      <x:c r="AJ3" s="5" t="inlineStr">
        <x:is>
          <x:t xml:space="preserve">HIPAA Security</x:t>
        </x:is>
      </x:c>
      <x:c r="AK3" s="5" t="inlineStr">
        <x:is>
          <x:t xml:space="preserve">PCI DSS v4.0</x:t>
        </x:is>
      </x:c>
      <x:c r="AL3" s="28" t="inlineStr">
        <x:is>
          <x:t xml:space="preserve">https://docs.google.com/document/d/1W5FC1d6oqcAnoxBiPHHQMdXo6_EqhnFeiMjXq4_dX9s/edit?usp=sharing</x:t>
        </x:is>
      </x:c>
      <x:c r="AM3" s="5" t="inlineStr">
        <x:is>
          <x:t xml:space="preserve">Local controls deduped from 59 exported tokens to 20 unique button tokens. Frameworks deduped from 59 exported tokens to 6 unique button tokens. Preserved "ISO 27001/2 (2022)" as a single framework token to reflect Thoropass notation that references ISO 27001 together with the related 27002 guidance set.</x:t>
        </x:is>
      </x:c>
      <x:c r="AN3" s="5" t="inlineStr">
        <x:is>
          <x:t xml:space="preserve">0903.10f1Organizational.1.a</x:t>
        </x:is>
      </x:c>
      <x:c r="AO3" s="5" t="inlineStr">
        <x:is>
          <x:t xml:space="preserve">4.2.1</x:t>
        </x:is>
      </x:c>
      <x:c r="AP3" s="5" t="inlineStr">
        <x:is>
          <x:t xml:space="preserve">4.2.1.1</x:t>
        </x:is>
      </x:c>
      <x:c r="AQ3" s="5" t="inlineStr">
        <x:is>
          <x:t xml:space="preserve">4.2.2</x:t>
        </x:is>
      </x:c>
      <x:c r="AR3" s="5" t="n"/>
      <x:c r="AS3" s="5" t="n"/>
      <x:c r="AT3" s="5" t="n"/>
      <x:c r="AU3" s="5" t="n"/>
      <x:c r="AV3" s="5" t="n"/>
      <x:c r="AW3" s="5" t="n"/>
      <x:c r="AX3" s="5" t="n"/>
      <x:c r="AY3" s="5" t="n"/>
      <x:c r="AZ3" s="5" t="n"/>
      <x:c r="BA3" s="5" t="n"/>
      <x:c r="BB3" s="5" t="n"/>
      <x:c r="BC3" s="5" t="n"/>
      <x:c r="BD3" s="5" t="n"/>
      <x:c r="BE3" s="5" t="n"/>
      <x:c r="BF3" s="5" t="n"/>
      <x:c r="BG3" s="5" t="n"/>
      <x:c r="BH3" s="5" t="n"/>
      <x:c r="BI3" s="5" t="n"/>
      <x:c r="BJ3" s="5" t="n"/>
      <x:c r="BK3" s="5" t="n"/>
      <x:c r="BL3" s="5" t="n"/>
      <x:c r="BM3" s="5" t="n"/>
      <x:c r="BN3" s="5" t="n"/>
      <x:c r="BO3" s="5" t="n"/>
      <x:c r="BP3" s="5" t="n"/>
      <x:c r="BQ3" s="5" t="n"/>
      <x:c r="BR3" s="5" t="n"/>
      <x:c r="BS3" s="5" t="n"/>
      <x:c r="BT3" s="5" t="n"/>
      <x:c r="BU3" s="5" t="n"/>
      <x:c r="BV3" s="5" t="n"/>
      <x:c r="BW3" s="5" t="n"/>
      <x:c r="BX3" s="5" t="n"/>
      <x:c r="BY3" s="5" t="n"/>
      <x:c r="BZ3" s="5" t="n"/>
      <x:c r="CA3" s="5" t="n"/>
      <x:c r="CB3" s="5" t="n"/>
      <x:c r="CC3" s="5" t="n"/>
      <x:c r="CD3" s="5" t="n"/>
      <x:c r="CE3" s="5" t="n"/>
    </x:row>
    <x:row r="4" ht="30" customHeight="1">
      <x:c r="A4" s="5" t="inlineStr">
        <x:is>
          <x:t xml:space="preserve">ER-5</x:t>
        </x:is>
      </x:c>
      <x:c r="B4" s="5" t="inlineStr">
        <x:is>
          <x:t xml:space="preserve">Sample</x:t>
        </x:is>
      </x:c>
      <x:c r="C4" s="5" t="inlineStr">
        <x:is>
          <x:t xml:space="preserve">[Sample] Security Incidents</x:t>
        </x:is>
      </x:c>
      <x:c r="D4" s="5" t="n"/>
      <x:c r="E4" s="5" t="inlineStr">
        <x:is>
          <x:t xml:space="preserve">1561.11c1Organizational.4,1561.11c1Organizational.4,1561.11c1Organizational.4,1561.11c1Organizational.4,1561.11c1Organizational.4,1561.11c1Organizational.4</x:t>
        </x:is>
      </x:c>
      <x:c r="F4" s="5" t="inlineStr">
        <x:is>
          <x:t xml:space="preserve">HITRUST,HITRUST,HITRUST,HITRUST,HITRUST,HITRUST</x:t>
        </x:is>
      </x:c>
      <x:c r="G4" s="5" t="n">
        <x:v>4</x:v>
      </x:c>
      <x:c r="H4" s="5" t="n">
        <x:v>0</x:v>
      </x:c>
      <x:c r="I4" s="5" t="n">
        <x:v>0</x:v>
      </x:c>
      <x:c r="J4" s="5" t="n"/>
      <x:c r="K4" s="5" t="n"/>
      <x:c r="L4" s="5" t="n">
        <x:v>6</x:v>
      </x:c>
      <x:c r="M4" s="5" t="n">
        <x:v>1</x:v>
      </x:c>
      <x:c r="N4" s="5" t="inlineStr">
        <x:is>
          <x:t xml:space="preserve">1561.11c1Organizational.4</x:t>
        </x:is>
      </x:c>
      <x:c r="O4" s="5" t="n"/>
      <x:c r="P4" s="5" t="n"/>
      <x:c r="Q4" s="5" t="n"/>
      <x:c r="R4" s="5" t="n"/>
      <x:c r="S4" s="5" t="n"/>
      <x:c r="T4" s="5" t="n"/>
      <x:c r="U4" s="5" t="n"/>
      <x:c r="V4" s="5" t="n"/>
      <x:c r="W4" s="5" t="n"/>
      <x:c r="X4" s="5" t="n"/>
      <x:c r="Y4" s="5" t="n"/>
      <x:c r="Z4" s="5" t="n"/>
      <x:c r="AA4" s="5" t="n"/>
      <x:c r="AB4" s="5" t="n"/>
      <x:c r="AC4" s="5" t="n"/>
      <x:c r="AD4" s="5" t="n">
        <x:v>6</x:v>
      </x:c>
      <x:c r="AE4" s="5" t="n">
        <x:v>1</x:v>
      </x:c>
      <x:c r="AF4" s="5" t="inlineStr">
        <x:is>
          <x:t xml:space="preserve">HITRUST</x:t>
        </x:is>
      </x:c>
      <x:c r="AG4" s="5" t="n"/>
      <x:c r="AH4" s="5" t="n"/>
      <x:c r="AI4" s="5" t="n"/>
      <x:c r="AJ4" s="5" t="n"/>
      <x:c r="AK4" s="5" t="n"/>
      <x:c r="AL4" s="28" t="inlineStr">
        <x:is>
          <x:t xml:space="preserve">https://docs.google.com/document/d/1W5FC1d6oqcAnoxBiPHHQMdXo6_EqhnFeiMjXq4_dX9s/edit?usp=sharing</x:t>
        </x:is>
      </x:c>
      <x:c r="AM4" s="5" t="inlineStr">
        <x:is>
          <x:t xml:space="preserve">Local controls deduped from 6 exported tokens to 1 unique button tokens. Frameworks deduped from 6 exported tokens to 1 unique button tokens.</x:t>
        </x:is>
      </x:c>
      <x:c r="AN4" s="5" t="n"/>
      <x:c r="AO4" s="5" t="n"/>
      <x:c r="AP4" s="5" t="n"/>
      <x:c r="AQ4" s="5" t="n"/>
      <x:c r="AR4" s="5" t="n"/>
      <x:c r="AS4" s="5" t="n"/>
      <x:c r="AT4" s="5" t="n"/>
      <x:c r="AU4" s="5" t="n"/>
      <x:c r="AV4" s="5" t="n"/>
      <x:c r="AW4" s="5" t="n"/>
      <x:c r="AX4" s="5" t="n"/>
      <x:c r="AY4" s="5" t="n"/>
      <x:c r="AZ4" s="5" t="n"/>
      <x:c r="BA4" s="5" t="n"/>
      <x:c r="BB4" s="5" t="n"/>
      <x:c r="BC4" s="5" t="n"/>
      <x:c r="BD4" s="5" t="n"/>
      <x:c r="BE4" s="5" t="n"/>
      <x:c r="BF4" s="5" t="n"/>
      <x:c r="BG4" s="5" t="n"/>
      <x:c r="BH4" s="5" t="n"/>
      <x:c r="BI4" s="5" t="n"/>
      <x:c r="BJ4" s="5" t="n"/>
      <x:c r="BK4" s="5" t="n"/>
      <x:c r="BL4" s="5" t="n"/>
      <x:c r="BM4" s="5" t="n"/>
      <x:c r="BN4" s="5" t="n"/>
      <x:c r="BO4" s="5" t="n"/>
      <x:c r="BP4" s="5" t="n"/>
      <x:c r="BQ4" s="5" t="n"/>
      <x:c r="BR4" s="5" t="n"/>
      <x:c r="BS4" s="5" t="n"/>
      <x:c r="BT4" s="5" t="n"/>
      <x:c r="BU4" s="5" t="n"/>
      <x:c r="BV4" s="5" t="n"/>
      <x:c r="BW4" s="5" t="n"/>
      <x:c r="BX4" s="5" t="n"/>
      <x:c r="BY4" s="5" t="n"/>
      <x:c r="BZ4" s="5" t="n"/>
      <x:c r="CA4" s="5" t="n"/>
      <x:c r="CB4" s="5" t="n"/>
      <x:c r="CC4" s="5" t="n"/>
      <x:c r="CD4" s="5" t="n"/>
      <x:c r="CE4" s="5" t="n"/>
    </x:row>
    <x:row r="5" ht="30" customHeight="1">
      <x:c r="A5" s="5" t="inlineStr">
        <x:is>
          <x:t xml:space="preserve">ER-6</x:t>
        </x:is>
      </x:c>
      <x:c r="B5" s="5" t="inlineStr">
        <x:is>
          <x:t xml:space="preserve">Sample</x:t>
        </x:is>
      </x:c>
      <x:c r="C5" s="5" t="inlineStr">
        <x:is>
          <x:t xml:space="preserve">[Sample] Publicly Accessible Posting</x:t>
        </x:is>
      </x:c>
      <x:c r="D5" s="5" t="n"/>
      <x:c r="E5" s="5" t="inlineStr">
        <x:is>
          <x:t xml:space="preserve">19180.09z1Organizational.2,19180.09z1Organizational.2,19180.09z1Organizational.2</x:t>
        </x:is>
      </x:c>
      <x:c r="F5" s="5" t="inlineStr">
        <x:is>
          <x:t xml:space="preserve">HITRUST,HITRUST,HITRUST</x:t>
        </x:is>
      </x:c>
      <x:c r="G5" s="5" t="n">
        <x:v>5</x:v>
      </x:c>
      <x:c r="H5" s="5" t="n">
        <x:v>0</x:v>
      </x:c>
      <x:c r="I5" s="5" t="n">
        <x:v>0</x:v>
      </x:c>
      <x:c r="J5" s="5" t="n"/>
      <x:c r="K5" s="5" t="n"/>
      <x:c r="L5" s="5" t="n">
        <x:v>3</x:v>
      </x:c>
      <x:c r="M5" s="5" t="n">
        <x:v>1</x:v>
      </x:c>
      <x:c r="N5" s="5" t="inlineStr">
        <x:is>
          <x:t xml:space="preserve">19180.09z1Organizational.2</x:t>
        </x:is>
      </x:c>
      <x:c r="O5" s="5" t="n"/>
      <x:c r="P5" s="5" t="n"/>
      <x:c r="Q5" s="5" t="n"/>
      <x:c r="R5" s="5" t="n"/>
      <x:c r="S5" s="5" t="n"/>
      <x:c r="T5" s="5" t="n"/>
      <x:c r="U5" s="5" t="n"/>
      <x:c r="V5" s="5" t="n"/>
      <x:c r="W5" s="5" t="n"/>
      <x:c r="X5" s="5" t="n"/>
      <x:c r="Y5" s="5" t="n"/>
      <x:c r="Z5" s="5" t="n"/>
      <x:c r="AA5" s="5" t="n"/>
      <x:c r="AB5" s="5" t="n"/>
      <x:c r="AC5" s="5" t="n"/>
      <x:c r="AD5" s="5" t="n">
        <x:v>3</x:v>
      </x:c>
      <x:c r="AE5" s="5" t="n">
        <x:v>1</x:v>
      </x:c>
      <x:c r="AF5" s="5" t="inlineStr">
        <x:is>
          <x:t xml:space="preserve">HITRUST</x:t>
        </x:is>
      </x:c>
      <x:c r="AG5" s="5" t="n"/>
      <x:c r="AH5" s="5" t="n"/>
      <x:c r="AI5" s="5" t="n"/>
      <x:c r="AJ5" s="5" t="n"/>
      <x:c r="AK5" s="5" t="n"/>
      <x:c r="AL5" s="28" t="inlineStr">
        <x:is>
          <x:t xml:space="preserve">https://docs.google.com/document/d/1W5FC1d6oqcAnoxBiPHHQMdXo6_EqhnFeiMjXq4_dX9s/edit?usp=sharing</x:t>
        </x:is>
      </x:c>
      <x:c r="AM5" s="5" t="inlineStr">
        <x:is>
          <x:t xml:space="preserve">Local controls deduped from 3 exported tokens to 1 unique button tokens. Frameworks deduped from 3 exported tokens to 1 unique button tokens.</x:t>
        </x:is>
      </x:c>
      <x:c r="AN5" s="5" t="n"/>
      <x:c r="AO5" s="5" t="n"/>
      <x:c r="AP5" s="5" t="n"/>
      <x:c r="AQ5" s="5" t="n"/>
      <x:c r="AR5" s="5" t="n"/>
      <x:c r="AS5" s="5" t="n"/>
      <x:c r="AT5" s="5" t="n"/>
      <x:c r="AU5" s="5" t="n"/>
      <x:c r="AV5" s="5" t="n"/>
      <x:c r="AW5" s="5" t="n"/>
      <x:c r="AX5" s="5" t="n"/>
      <x:c r="AY5" s="5" t="n"/>
      <x:c r="AZ5" s="5" t="n"/>
      <x:c r="BA5" s="5" t="n"/>
      <x:c r="BB5" s="5" t="n"/>
      <x:c r="BC5" s="5" t="n"/>
      <x:c r="BD5" s="5" t="n"/>
      <x:c r="BE5" s="5" t="n"/>
      <x:c r="BF5" s="5" t="n"/>
      <x:c r="BG5" s="5" t="n"/>
      <x:c r="BH5" s="5" t="n"/>
      <x:c r="BI5" s="5" t="n"/>
      <x:c r="BJ5" s="5" t="n"/>
      <x:c r="BK5" s="5" t="n"/>
      <x:c r="BL5" s="5" t="n"/>
      <x:c r="BM5" s="5" t="n"/>
      <x:c r="BN5" s="5" t="n"/>
      <x:c r="BO5" s="5" t="n"/>
      <x:c r="BP5" s="5" t="n"/>
      <x:c r="BQ5" s="5" t="n"/>
      <x:c r="BR5" s="5" t="n"/>
      <x:c r="BS5" s="5" t="n"/>
      <x:c r="BT5" s="5" t="n"/>
      <x:c r="BU5" s="5" t="n"/>
      <x:c r="BV5" s="5" t="n"/>
      <x:c r="BW5" s="5" t="n"/>
      <x:c r="BX5" s="5" t="n"/>
      <x:c r="BY5" s="5" t="n"/>
      <x:c r="BZ5" s="5" t="n"/>
      <x:c r="CA5" s="5" t="n"/>
      <x:c r="CB5" s="5" t="n"/>
      <x:c r="CC5" s="5" t="n"/>
      <x:c r="CD5" s="5" t="n"/>
      <x:c r="CE5" s="5" t="n"/>
    </x:row>
    <x:row r="6" ht="30" customHeight="1">
      <x:c r="A6" s="5" t="inlineStr">
        <x:is>
          <x:t xml:space="preserve">ER-7</x:t>
        </x:is>
      </x:c>
      <x:c r="B6" s="5" t="inlineStr">
        <x:is>
          <x:t xml:space="preserve">Sample</x:t>
        </x:is>
      </x:c>
      <x:c r="C6" s="5" t="inlineStr">
        <x:is>
          <x:t xml:space="preserve">[Sample] Secure Access Facilities</x:t>
        </x:is>
      </x:c>
      <x:c r="D6" s="5" t="n"/>
      <x:c r="E6" s="5" t="inlineStr">
        <x:is>
          <x:t xml:space="preserve">1802.08b1Organizational.3,1845.08b1Organizational.7,1802.08b1Organizational.3,1845.08b1Organizational.7,1802.08b1Organizational.3,1845.08b1Organizational.7,1802.08b1Organizational.3,1845.08b1Organizational.7</x:t>
        </x:is>
      </x:c>
      <x:c r="F6" s="5" t="inlineStr">
        <x:is>
          <x:t xml:space="preserve">HITRUST,HITRUST,HITRUST,HITRUST,HITRUST,HITRUST,HITRUST,HITRUST</x:t>
        </x:is>
      </x:c>
      <x:c r="G6" s="5" t="n">
        <x:v>6</x:v>
      </x:c>
      <x:c r="H6" s="5" t="n">
        <x:v>0</x:v>
      </x:c>
      <x:c r="I6" s="5" t="n">
        <x:v>0</x:v>
      </x:c>
      <x:c r="J6" s="5" t="n"/>
      <x:c r="K6" s="5" t="n"/>
      <x:c r="L6" s="5" t="n">
        <x:v>8</x:v>
      </x:c>
      <x:c r="M6" s="5" t="n">
        <x:v>2</x:v>
      </x:c>
      <x:c r="N6" s="5" t="inlineStr">
        <x:is>
          <x:t xml:space="preserve">1802.08b1Organizational.3</x:t>
        </x:is>
      </x:c>
      <x:c r="O6" s="5" t="inlineStr">
        <x:is>
          <x:t xml:space="preserve">1845.08b1Organizational.7</x:t>
        </x:is>
      </x:c>
      <x:c r="P6" s="5" t="n"/>
      <x:c r="Q6" s="5" t="n"/>
      <x:c r="R6" s="5" t="n"/>
      <x:c r="S6" s="5" t="n"/>
      <x:c r="T6" s="5" t="n"/>
      <x:c r="U6" s="5" t="n"/>
      <x:c r="V6" s="5" t="n"/>
      <x:c r="W6" s="5" t="n"/>
      <x:c r="X6" s="5" t="n"/>
      <x:c r="Y6" s="5" t="n"/>
      <x:c r="Z6" s="5" t="n"/>
      <x:c r="AA6" s="5" t="n"/>
      <x:c r="AB6" s="5" t="n"/>
      <x:c r="AC6" s="5" t="n"/>
      <x:c r="AD6" s="5" t="n">
        <x:v>8</x:v>
      </x:c>
      <x:c r="AE6" s="5" t="n">
        <x:v>1</x:v>
      </x:c>
      <x:c r="AF6" s="5" t="inlineStr">
        <x:is>
          <x:t xml:space="preserve">HITRUST</x:t>
        </x:is>
      </x:c>
      <x:c r="AG6" s="5" t="n"/>
      <x:c r="AH6" s="5" t="n"/>
      <x:c r="AI6" s="5" t="n"/>
      <x:c r="AJ6" s="5" t="n"/>
      <x:c r="AK6" s="5" t="n"/>
      <x:c r="AL6" s="28" t="inlineStr">
        <x:is>
          <x:t xml:space="preserve">https://docs.google.com/document/d/1W5FC1d6oqcAnoxBiPHHQMdXo6_EqhnFeiMjXq4_dX9s/edit?usp=sharing</x:t>
        </x:is>
      </x:c>
      <x:c r="AM6" s="5" t="inlineStr">
        <x:is>
          <x:t xml:space="preserve">Local controls deduped from 8 exported tokens to 2 unique button tokens. Frameworks deduped from 8 exported tokens to 1 unique button tokens.</x:t>
        </x:is>
      </x:c>
      <x:c r="AN6" s="5" t="n"/>
      <x:c r="AO6" s="5" t="n"/>
      <x:c r="AP6" s="5" t="n"/>
      <x:c r="AQ6" s="5" t="n"/>
      <x:c r="AR6" s="5" t="n"/>
      <x:c r="AS6" s="5" t="n"/>
      <x:c r="AT6" s="5" t="n"/>
      <x:c r="AU6" s="5" t="n"/>
      <x:c r="AV6" s="5" t="n"/>
      <x:c r="AW6" s="5" t="n"/>
      <x:c r="AX6" s="5" t="n"/>
      <x:c r="AY6" s="5" t="n"/>
      <x:c r="AZ6" s="5" t="n"/>
      <x:c r="BA6" s="5" t="n"/>
      <x:c r="BB6" s="5" t="n"/>
      <x:c r="BC6" s="5" t="n"/>
      <x:c r="BD6" s="5" t="n"/>
      <x:c r="BE6" s="5" t="n"/>
      <x:c r="BF6" s="5" t="n"/>
      <x:c r="BG6" s="5" t="n"/>
      <x:c r="BH6" s="5" t="n"/>
      <x:c r="BI6" s="5" t="n"/>
      <x:c r="BJ6" s="5" t="n"/>
      <x:c r="BK6" s="5" t="n"/>
      <x:c r="BL6" s="5" t="n"/>
      <x:c r="BM6" s="5" t="n"/>
      <x:c r="BN6" s="5" t="n"/>
      <x:c r="BO6" s="5" t="n"/>
      <x:c r="BP6" s="5" t="n"/>
      <x:c r="BQ6" s="5" t="n"/>
      <x:c r="BR6" s="5" t="n"/>
      <x:c r="BS6" s="5" t="n"/>
      <x:c r="BT6" s="5" t="n"/>
      <x:c r="BU6" s="5" t="n"/>
      <x:c r="BV6" s="5" t="n"/>
      <x:c r="BW6" s="5" t="n"/>
      <x:c r="BX6" s="5" t="n"/>
      <x:c r="BY6" s="5" t="n"/>
      <x:c r="BZ6" s="5" t="n"/>
      <x:c r="CA6" s="5" t="n"/>
      <x:c r="CB6" s="5" t="n"/>
      <x:c r="CC6" s="5" t="n"/>
      <x:c r="CD6" s="5" t="n"/>
      <x:c r="CE6" s="5" t="n"/>
    </x:row>
    <x:row r="7" ht="30" customHeight="1">
      <x:c r="A7" s="5" t="inlineStr">
        <x:is>
          <x:t xml:space="preserve">ER-8</x:t>
        </x:is>
      </x:c>
      <x:c r="B7" s="5" t="inlineStr">
        <x:is>
          <x:t xml:space="preserve">Sample</x:t>
        </x:is>
      </x:c>
      <x:c r="C7" s="5" t="inlineStr">
        <x:is>
          <x:t xml:space="preserve">[Sample] Wireless Access Point Encryption</x:t>
        </x:is>
      </x:c>
      <x:c r="D7" s="5" t="n"/>
      <x:c r="E7" s="5" t="inlineStr">
        <x:is>
          <x:t xml:space="preserve">0502.09m1Organizational.5,0502.09m1Organizational.5,0502.09m1Organizational.5</x:t>
        </x:is>
      </x:c>
      <x:c r="F7" s="5" t="inlineStr">
        <x:is>
          <x:t xml:space="preserve">HITRUST,HITRUST,HITRUST</x:t>
        </x:is>
      </x:c>
      <x:c r="G7" s="5" t="n">
        <x:v>7</x:v>
      </x:c>
      <x:c r="H7" s="5" t="n">
        <x:v>0</x:v>
      </x:c>
      <x:c r="I7" s="5" t="n">
        <x:v>0</x:v>
      </x:c>
      <x:c r="J7" s="5" t="n"/>
      <x:c r="K7" s="5" t="n"/>
      <x:c r="L7" s="5" t="n">
        <x:v>3</x:v>
      </x:c>
      <x:c r="M7" s="5" t="n">
        <x:v>1</x:v>
      </x:c>
      <x:c r="N7" s="5" t="inlineStr">
        <x:is>
          <x:t xml:space="preserve">0502.09m1Organizational.5</x:t>
        </x:is>
      </x:c>
      <x:c r="O7" s="5" t="n"/>
      <x:c r="P7" s="5" t="n"/>
      <x:c r="Q7" s="5" t="n"/>
      <x:c r="R7" s="5" t="n"/>
      <x:c r="S7" s="5" t="n"/>
      <x:c r="T7" s="5" t="n"/>
      <x:c r="U7" s="5" t="n"/>
      <x:c r="V7" s="5" t="n"/>
      <x:c r="W7" s="5" t="n"/>
      <x:c r="X7" s="5" t="n"/>
      <x:c r="Y7" s="5" t="n"/>
      <x:c r="Z7" s="5" t="n"/>
      <x:c r="AA7" s="5" t="n"/>
      <x:c r="AB7" s="5" t="n"/>
      <x:c r="AC7" s="5" t="n"/>
      <x:c r="AD7" s="5" t="n">
        <x:v>3</x:v>
      </x:c>
      <x:c r="AE7" s="5" t="n">
        <x:v>1</x:v>
      </x:c>
      <x:c r="AF7" s="5" t="inlineStr">
        <x:is>
          <x:t xml:space="preserve">HITRUST</x:t>
        </x:is>
      </x:c>
      <x:c r="AG7" s="5" t="n"/>
      <x:c r="AH7" s="5" t="n"/>
      <x:c r="AI7" s="5" t="n"/>
      <x:c r="AJ7" s="5" t="n"/>
      <x:c r="AK7" s="5" t="n"/>
      <x:c r="AL7" s="28" t="inlineStr">
        <x:is>
          <x:t xml:space="preserve">https://docs.google.com/document/d/1W5FC1d6oqcAnoxBiPHHQMdXo6_EqhnFeiMjXq4_dX9s/edit?usp=sharing</x:t>
        </x:is>
      </x:c>
      <x:c r="AM7" s="5" t="inlineStr">
        <x:is>
          <x:t xml:space="preserve">Local controls deduped from 3 exported tokens to 1 unique button tokens. Frameworks deduped from 3 exported tokens to 1 unique button tokens.</x:t>
        </x:is>
      </x:c>
      <x:c r="AN7" s="5" t="n"/>
      <x:c r="AO7" s="5" t="n"/>
      <x:c r="AP7" s="5" t="n"/>
      <x:c r="AQ7" s="5" t="n"/>
      <x:c r="AR7" s="5" t="n"/>
      <x:c r="AS7" s="5" t="n"/>
      <x:c r="AT7" s="5" t="n"/>
      <x:c r="AU7" s="5" t="n"/>
      <x:c r="AV7" s="5" t="n"/>
      <x:c r="AW7" s="5" t="n"/>
      <x:c r="AX7" s="5" t="n"/>
      <x:c r="AY7" s="5" t="n"/>
      <x:c r="AZ7" s="5" t="n"/>
      <x:c r="BA7" s="5" t="n"/>
      <x:c r="BB7" s="5" t="n"/>
      <x:c r="BC7" s="5" t="n"/>
      <x:c r="BD7" s="5" t="n"/>
      <x:c r="BE7" s="5" t="n"/>
      <x:c r="BF7" s="5" t="n"/>
      <x:c r="BG7" s="5" t="n"/>
      <x:c r="BH7" s="5" t="n"/>
      <x:c r="BI7" s="5" t="n"/>
      <x:c r="BJ7" s="5" t="n"/>
      <x:c r="BK7" s="5" t="n"/>
      <x:c r="BL7" s="5" t="n"/>
      <x:c r="BM7" s="5" t="n"/>
      <x:c r="BN7" s="5" t="n"/>
      <x:c r="BO7" s="5" t="n"/>
      <x:c r="BP7" s="5" t="n"/>
      <x:c r="BQ7" s="5" t="n"/>
      <x:c r="BR7" s="5" t="n"/>
      <x:c r="BS7" s="5" t="n"/>
      <x:c r="BT7" s="5" t="n"/>
      <x:c r="BU7" s="5" t="n"/>
      <x:c r="BV7" s="5" t="n"/>
      <x:c r="BW7" s="5" t="n"/>
      <x:c r="BX7" s="5" t="n"/>
      <x:c r="BY7" s="5" t="n"/>
      <x:c r="BZ7" s="5" t="n"/>
      <x:c r="CA7" s="5" t="n"/>
      <x:c r="CB7" s="5" t="n"/>
      <x:c r="CC7" s="5" t="n"/>
      <x:c r="CD7" s="5" t="n"/>
      <x:c r="CE7" s="5" t="n"/>
    </x:row>
    <x:row r="8" ht="30" customHeight="1">
      <x:c r="A8" s="5" t="inlineStr">
        <x:is>
          <x:t xml:space="preserve">ER-9</x:t>
        </x:is>
      </x:c>
      <x:c r="B8" s="5" t="inlineStr">
        <x:is>
          <x:t xml:space="preserve">Policy</x:t>
        </x:is>
      </x:c>
      <x:c r="C8" s="5" t="inlineStr">
        <x:is>
          <x:t xml:space="preserve">[Policy] Wireless Access Explicit Approval</x:t>
        </x:is>
      </x:c>
      <x:c r="D8" s="5" t="n"/>
      <x:c r="E8" s="5" t="inlineStr">
        <x:is>
          <x:t xml:space="preserve">0502.09m1Organizational.5</x:t>
        </x:is>
      </x:c>
      <x:c r="F8" s="5" t="inlineStr">
        <x:is>
          <x:t xml:space="preserve">HITRUST</x:t>
        </x:is>
      </x:c>
      <x:c r="G8" s="5" t="n">
        <x:v>8</x:v>
      </x:c>
      <x:c r="H8" s="5" t="n">
        <x:v>0</x:v>
      </x:c>
      <x:c r="I8" s="5" t="n">
        <x:v>0</x:v>
      </x:c>
      <x:c r="J8" s="5" t="n"/>
      <x:c r="K8" s="5" t="n"/>
      <x:c r="L8" s="5" t="n">
        <x:v>1</x:v>
      </x:c>
      <x:c r="M8" s="5" t="n">
        <x:v>1</x:v>
      </x:c>
      <x:c r="N8" s="5" t="inlineStr">
        <x:is>
          <x:t xml:space="preserve">0502.09m1Organizational.5</x:t>
        </x:is>
      </x:c>
      <x:c r="O8" s="5" t="n"/>
      <x:c r="P8" s="5" t="n"/>
      <x:c r="Q8" s="5" t="n"/>
      <x:c r="R8" s="5" t="n"/>
      <x:c r="S8" s="5" t="n"/>
      <x:c r="T8" s="5" t="n"/>
      <x:c r="U8" s="5" t="n"/>
      <x:c r="V8" s="5" t="n"/>
      <x:c r="W8" s="5" t="n"/>
      <x:c r="X8" s="5" t="n"/>
      <x:c r="Y8" s="5" t="n"/>
      <x:c r="Z8" s="5" t="n"/>
      <x:c r="AA8" s="5" t="n"/>
      <x:c r="AB8" s="5" t="n"/>
      <x:c r="AC8" s="5" t="n"/>
      <x:c r="AD8" s="5" t="n">
        <x:v>1</x:v>
      </x:c>
      <x:c r="AE8" s="5" t="n">
        <x:v>1</x:v>
      </x:c>
      <x:c r="AF8" s="5" t="inlineStr">
        <x:is>
          <x:t xml:space="preserve">HITRUST</x:t>
        </x:is>
      </x:c>
      <x:c r="AG8" s="5" t="n"/>
      <x:c r="AH8" s="5" t="n"/>
      <x:c r="AI8" s="5" t="n"/>
      <x:c r="AJ8" s="5" t="n"/>
      <x:c r="AK8" s="5" t="n"/>
      <x:c r="AL8" s="28" t="inlineStr">
        <x:is>
          <x:t xml:space="preserve">https://docs.google.com/document/d/1W5FC1d6oqcAnoxBiPHHQMdXo6_EqhnFeiMjXq4_dX9s/edit?usp=sharing</x:t>
        </x:is>
      </x:c>
      <x:c r="AM8" s="5" t="inlineStr">
        <x:is>
          <x:t xml:space="preserve"/>
        </x:is>
      </x:c>
      <x:c r="AN8" s="5" t="n"/>
      <x:c r="AO8" s="5" t="n"/>
      <x:c r="AP8" s="5" t="n"/>
      <x:c r="AQ8" s="5" t="n"/>
      <x:c r="AR8" s="5" t="n"/>
      <x:c r="AS8" s="5" t="n"/>
      <x:c r="AT8" s="5" t="n"/>
      <x:c r="AU8" s="5" t="n"/>
      <x:c r="AV8" s="5" t="n"/>
      <x:c r="AW8" s="5" t="n"/>
      <x:c r="AX8" s="5" t="n"/>
      <x:c r="AY8" s="5" t="n"/>
      <x:c r="AZ8" s="5" t="n"/>
      <x:c r="BA8" s="5" t="n"/>
      <x:c r="BB8" s="5" t="n"/>
      <x:c r="BC8" s="5" t="n"/>
      <x:c r="BD8" s="5" t="n"/>
      <x:c r="BE8" s="5" t="n"/>
      <x:c r="BF8" s="5" t="n"/>
      <x:c r="BG8" s="5" t="n"/>
      <x:c r="BH8" s="5" t="n"/>
      <x:c r="BI8" s="5" t="n"/>
      <x:c r="BJ8" s="5" t="n"/>
      <x:c r="BK8" s="5" t="n"/>
      <x:c r="BL8" s="5" t="n"/>
      <x:c r="BM8" s="5" t="n"/>
      <x:c r="BN8" s="5" t="n"/>
      <x:c r="BO8" s="5" t="n"/>
      <x:c r="BP8" s="5" t="n"/>
      <x:c r="BQ8" s="5" t="n"/>
      <x:c r="BR8" s="5" t="n"/>
      <x:c r="BS8" s="5" t="n"/>
      <x:c r="BT8" s="5" t="n"/>
      <x:c r="BU8" s="5" t="n"/>
      <x:c r="BV8" s="5" t="n"/>
      <x:c r="BW8" s="5" t="n"/>
      <x:c r="BX8" s="5" t="n"/>
      <x:c r="BY8" s="5" t="n"/>
      <x:c r="BZ8" s="5" t="n"/>
      <x:c r="CA8" s="5" t="n"/>
      <x:c r="CB8" s="5" t="n"/>
      <x:c r="CC8" s="5" t="n"/>
      <x:c r="CD8" s="5" t="n"/>
      <x:c r="CE8" s="5" t="n"/>
    </x:row>
    <x:row r="9" ht="30" customHeight="1">
      <x:c r="A9" s="5" t="inlineStr">
        <x:is>
          <x:t xml:space="preserve">ER-10</x:t>
        </x:is>
      </x:c>
      <x:c r="B9" s="5" t="inlineStr">
        <x:is>
          <x:t xml:space="preserve">Configuration</x:t>
        </x:is>
      </x:c>
      <x:c r="C9" s="5" t="inlineStr">
        <x:is>
          <x:t xml:space="preserve">[Configuration] Restriction of Writable and Removable Media</x:t>
        </x:is>
      </x:c>
      <x:c r="D9" s="5" t="n"/>
      <x:c r="E9" s="5" t="inlineStr">
        <x:is>
          <x:t xml:space="preserve">0304.09o1Organizational.2,0330.09o1Organizational.4,0304.09o1Organizational.2,0330.09o1Organizational.4,0304.09o1Organizational.2,0304.09o1Organizational.2,0330.09o1Organizational.4,0330.09o1Organizational.4,0330.09o1Organizational.4,0330.09o1Organizational.4</x:t>
        </x:is>
      </x:c>
      <x:c r="F9" s="5" t="inlineStr">
        <x:is>
          <x:t xml:space="preserve">HITRUST,HITRUST,HITRUST,HITRUST,HITRUST,HITRUST,HITRUST,HITRUST,HITRUST,HITRUST</x:t>
        </x:is>
      </x:c>
      <x:c r="G9" s="5" t="n">
        <x:v>9</x:v>
      </x:c>
      <x:c r="H9" s="5" t="n">
        <x:v>0</x:v>
      </x:c>
      <x:c r="I9" s="5" t="n">
        <x:v>0</x:v>
      </x:c>
      <x:c r="J9" s="5" t="n"/>
      <x:c r="K9" s="5" t="n"/>
      <x:c r="L9" s="5" t="n">
        <x:v>10</x:v>
      </x:c>
      <x:c r="M9" s="5" t="n">
        <x:v>2</x:v>
      </x:c>
      <x:c r="N9" s="5" t="inlineStr">
        <x:is>
          <x:t xml:space="preserve">0304.09o1Organizational.2</x:t>
        </x:is>
      </x:c>
      <x:c r="O9" s="5" t="inlineStr">
        <x:is>
          <x:t xml:space="preserve">0330.09o1Organizational.4</x:t>
        </x:is>
      </x:c>
      <x:c r="P9" s="5" t="n"/>
      <x:c r="Q9" s="5" t="n"/>
      <x:c r="R9" s="5" t="n"/>
      <x:c r="S9" s="5" t="n"/>
      <x:c r="T9" s="5" t="n"/>
      <x:c r="U9" s="5" t="n"/>
      <x:c r="V9" s="5" t="n"/>
      <x:c r="W9" s="5" t="n"/>
      <x:c r="X9" s="5" t="n"/>
      <x:c r="Y9" s="5" t="n"/>
      <x:c r="Z9" s="5" t="n"/>
      <x:c r="AA9" s="5" t="n"/>
      <x:c r="AB9" s="5" t="n"/>
      <x:c r="AC9" s="5" t="n"/>
      <x:c r="AD9" s="5" t="n">
        <x:v>10</x:v>
      </x:c>
      <x:c r="AE9" s="5" t="n">
        <x:v>1</x:v>
      </x:c>
      <x:c r="AF9" s="5" t="inlineStr">
        <x:is>
          <x:t xml:space="preserve">HITRUST</x:t>
        </x:is>
      </x:c>
      <x:c r="AG9" s="5" t="n"/>
      <x:c r="AH9" s="5" t="n"/>
      <x:c r="AI9" s="5" t="n"/>
      <x:c r="AJ9" s="5" t="n"/>
      <x:c r="AK9" s="5" t="n"/>
      <x:c r="AL9" s="28" t="inlineStr">
        <x:is>
          <x:t xml:space="preserve">https://docs.google.com/document/d/1W5FC1d6oqcAnoxBiPHHQMdXo6_EqhnFeiMjXq4_dX9s/edit?usp=sharing</x:t>
        </x:is>
      </x:c>
      <x:c r="AM9" s="5" t="inlineStr">
        <x:is>
          <x:t xml:space="preserve">Local controls deduped from 10 exported tokens to 2 unique button tokens. Frameworks deduped from 10 exported tokens to 1 unique button tokens.</x:t>
        </x:is>
      </x:c>
      <x:c r="AN9" s="5" t="n"/>
      <x:c r="AO9" s="5" t="n"/>
      <x:c r="AP9" s="5" t="n"/>
      <x:c r="AQ9" s="5" t="n"/>
      <x:c r="AR9" s="5" t="n"/>
      <x:c r="AS9" s="5" t="n"/>
      <x:c r="AT9" s="5" t="n"/>
      <x:c r="AU9" s="5" t="n"/>
      <x:c r="AV9" s="5" t="n"/>
      <x:c r="AW9" s="5" t="n"/>
      <x:c r="AX9" s="5" t="n"/>
      <x:c r="AY9" s="5" t="n"/>
      <x:c r="AZ9" s="5" t="n"/>
      <x:c r="BA9" s="5" t="n"/>
      <x:c r="BB9" s="5" t="n"/>
      <x:c r="BC9" s="5" t="n"/>
      <x:c r="BD9" s="5" t="n"/>
      <x:c r="BE9" s="5" t="n"/>
      <x:c r="BF9" s="5" t="n"/>
      <x:c r="BG9" s="5" t="n"/>
      <x:c r="BH9" s="5" t="n"/>
      <x:c r="BI9" s="5" t="n"/>
      <x:c r="BJ9" s="5" t="n"/>
      <x:c r="BK9" s="5" t="n"/>
      <x:c r="BL9" s="5" t="n"/>
      <x:c r="BM9" s="5" t="n"/>
      <x:c r="BN9" s="5" t="n"/>
      <x:c r="BO9" s="5" t="n"/>
      <x:c r="BP9" s="5" t="n"/>
      <x:c r="BQ9" s="5" t="n"/>
      <x:c r="BR9" s="5" t="n"/>
      <x:c r="BS9" s="5" t="n"/>
      <x:c r="BT9" s="5" t="n"/>
      <x:c r="BU9" s="5" t="n"/>
      <x:c r="BV9" s="5" t="n"/>
      <x:c r="BW9" s="5" t="n"/>
      <x:c r="BX9" s="5" t="n"/>
      <x:c r="BY9" s="5" t="n"/>
      <x:c r="BZ9" s="5" t="n"/>
      <x:c r="CA9" s="5" t="n"/>
      <x:c r="CB9" s="5" t="n"/>
      <x:c r="CC9" s="5" t="n"/>
      <x:c r="CD9" s="5" t="n"/>
      <x:c r="CE9" s="5" t="n"/>
    </x:row>
    <x:row r="10" ht="30" customHeight="1">
      <x:c r="A10" s="5" t="inlineStr">
        <x:is>
          <x:t xml:space="preserve">ER-11</x:t>
        </x:is>
      </x:c>
      <x:c r="B10" s="5" t="inlineStr">
        <x:is>
          <x:t xml:space="preserve">Configuration</x:t>
        </x:is>
      </x:c>
      <x:c r="C10" s="5" t="inlineStr">
        <x:is>
          <x:t xml:space="preserve">[Configuration] Email Filtering Solution</x:t>
        </x:is>
      </x:c>
      <x:c r="D10" s="5" t="n"/>
      <x:c r="E10" s="5" t="inlineStr">
        <x:is>
          <x:t xml:space="preserve">09.09v1Organizational.7,0931.09v1Organizational.8,09.09v1Organizational.7,0931.09v1Organizational.8,09.09v1Organizational.7,09.09v1Organizational.7,0931.09v1Organizational.8,0931.09v1Organizational.8,0931.09v1Organizational.8,09.09v1Organizational.7,0931.09v1Organizational.8</x:t>
        </x:is>
      </x:c>
      <x:c r="F10" s="5" t="inlineStr">
        <x:is>
          <x:t xml:space="preserve">HITRUST,HITRUST,HITRUST,HITRUST,HITRUST,HITRUST,HITRUST,HITRUST,HITRUST,HITRUST,HITRUST</x:t>
        </x:is>
      </x:c>
      <x:c r="G10" s="5" t="n">
        <x:v>10</x:v>
      </x:c>
      <x:c r="H10" s="5" t="n">
        <x:v>0</x:v>
      </x:c>
      <x:c r="I10" s="5" t="n">
        <x:v>0</x:v>
      </x:c>
      <x:c r="J10" s="5" t="n"/>
      <x:c r="K10" s="5" t="n"/>
      <x:c r="L10" s="5" t="n">
        <x:v>11</x:v>
      </x:c>
      <x:c r="M10" s="5" t="n">
        <x:v>2</x:v>
      </x:c>
      <x:c r="N10" s="5" t="inlineStr">
        <x:is>
          <x:t xml:space="preserve">09.09v1Organizational.7</x:t>
        </x:is>
      </x:c>
      <x:c r="O10" s="5" t="inlineStr">
        <x:is>
          <x:t xml:space="preserve">0931.09v1Organizational.8</x:t>
        </x:is>
      </x:c>
      <x:c r="P10" s="5" t="n"/>
      <x:c r="Q10" s="5" t="n"/>
      <x:c r="R10" s="5" t="n"/>
      <x:c r="S10" s="5" t="n"/>
      <x:c r="T10" s="5" t="n"/>
      <x:c r="U10" s="5" t="n"/>
      <x:c r="V10" s="5" t="n"/>
      <x:c r="W10" s="5" t="n"/>
      <x:c r="X10" s="5" t="n"/>
      <x:c r="Y10" s="5" t="n"/>
      <x:c r="Z10" s="5" t="n"/>
      <x:c r="AA10" s="5" t="n"/>
      <x:c r="AB10" s="5" t="n"/>
      <x:c r="AC10" s="5" t="n"/>
      <x:c r="AD10" s="5" t="n">
        <x:v>11</x:v>
      </x:c>
      <x:c r="AE10" s="5" t="n">
        <x:v>1</x:v>
      </x:c>
      <x:c r="AF10" s="5" t="inlineStr">
        <x:is>
          <x:t xml:space="preserve">HITRUST</x:t>
        </x:is>
      </x:c>
      <x:c r="AG10" s="5" t="n"/>
      <x:c r="AH10" s="5" t="n"/>
      <x:c r="AI10" s="5" t="n"/>
      <x:c r="AJ10" s="5" t="n"/>
      <x:c r="AK10" s="5" t="n"/>
      <x:c r="AL10" s="28" t="inlineStr">
        <x:is>
          <x:t xml:space="preserve">https://docs.google.com/document/d/1W5FC1d6oqcAnoxBiPHHQMdXo6_EqhnFeiMjXq4_dX9s/edit?usp=sharing</x:t>
        </x:is>
      </x:c>
      <x:c r="AM10" s="5" t="inlineStr">
        <x:is>
          <x:t xml:space="preserve">Local controls deduped from 11 exported tokens to 2 unique button tokens. Frameworks deduped from 11 exported tokens to 1 unique button tokens.</x:t>
        </x:is>
      </x:c>
      <x:c r="AN10" s="5" t="n"/>
      <x:c r="AO10" s="5" t="n"/>
      <x:c r="AP10" s="5" t="n"/>
      <x:c r="AQ10" s="5" t="n"/>
      <x:c r="AR10" s="5" t="n"/>
      <x:c r="AS10" s="5" t="n"/>
      <x:c r="AT10" s="5" t="n"/>
      <x:c r="AU10" s="5" t="n"/>
      <x:c r="AV10" s="5" t="n"/>
      <x:c r="AW10" s="5" t="n"/>
      <x:c r="AX10" s="5" t="n"/>
      <x:c r="AY10" s="5" t="n"/>
      <x:c r="AZ10" s="5" t="n"/>
      <x:c r="BA10" s="5" t="n"/>
      <x:c r="BB10" s="5" t="n"/>
      <x:c r="BC10" s="5" t="n"/>
      <x:c r="BD10" s="5" t="n"/>
      <x:c r="BE10" s="5" t="n"/>
      <x:c r="BF10" s="5" t="n"/>
      <x:c r="BG10" s="5" t="n"/>
      <x:c r="BH10" s="5" t="n"/>
      <x:c r="BI10" s="5" t="n"/>
      <x:c r="BJ10" s="5" t="n"/>
      <x:c r="BK10" s="5" t="n"/>
      <x:c r="BL10" s="5" t="n"/>
      <x:c r="BM10" s="5" t="n"/>
      <x:c r="BN10" s="5" t="n"/>
      <x:c r="BO10" s="5" t="n"/>
      <x:c r="BP10" s="5" t="n"/>
      <x:c r="BQ10" s="5" t="n"/>
      <x:c r="BR10" s="5" t="n"/>
      <x:c r="BS10" s="5" t="n"/>
      <x:c r="BT10" s="5" t="n"/>
      <x:c r="BU10" s="5" t="n"/>
      <x:c r="BV10" s="5" t="n"/>
      <x:c r="BW10" s="5" t="n"/>
      <x:c r="BX10" s="5" t="n"/>
      <x:c r="BY10" s="5" t="n"/>
      <x:c r="BZ10" s="5" t="n"/>
      <x:c r="CA10" s="5" t="n"/>
      <x:c r="CB10" s="5" t="n"/>
      <x:c r="CC10" s="5" t="n"/>
      <x:c r="CD10" s="5" t="n"/>
      <x:c r="CE10" s="5" t="n"/>
    </x:row>
    <x:row r="11" ht="30" customHeight="1">
      <x:c r="A11" s="5" t="inlineStr">
        <x:is>
          <x:t xml:space="preserve">ER-12</x:t>
        </x:is>
      </x:c>
      <x:c r="B11" s="5" t="inlineStr">
        <x:is>
          <x:t xml:space="preserve">Configuration</x:t>
        </x:is>
      </x:c>
      <x:c r="C11" s="5" t="inlineStr">
        <x:is>
          <x:t xml:space="preserve">[Configuration] List of All Production Systems (Servers, VMs, Data Stores)</x:t>
        </x:is>
      </x:c>
      <x:c r="D11" s="5" t="inlineStr">
        <x:is>
          <x:t xml:space="preserve">Security,PCI DSS v4.0 - ROC - Merchant</x:t>
        </x:is>
      </x:c>
      <x:c r="E11" s="5" t="inlineStr">
        <x:is>
          <x:t xml:space="preserve">REQ-33,REQ-43,REQ-34,A.05.09,REQ-33-SOC1,REQ-34-SOC1,REQ-43-SOC1,REQ-33-HIPAA,REQ-34-HIPAA,REQ-43-HIPAA,REQ-102-HIPAA,0701.07a1Organizational.8,0701.07a1Organizational.7,07.07a1Organizational.8,1.1.2,2.1.2,4.1.2,5.1.2,6.1.2,7.1.2,8.1.2,9.1.2,10.1.2,11.1.2,3.1.2,REQ-33,REQ-43,REQ-34,A.05.09,REQ-33-SOC1,REQ-34-SOC1,REQ-43-SOC1,REQ-33-HIPAA,REQ-34-HIPAA,REQ-43-HIPAA,REQ-102-HIPAA,0701.07a1Organizational.8,0701.07a1Organizational.7,07.07a1Organizational.8,1.1.2,2.1.2,4.1.2,5.1.2,6.1.2,7.1.2,8.1.2,9.1.2,10.1.2,11.1.2,3.1.2,REQ-33,REQ-43,REQ-34,A.05.09,REQ-33-SOC1,REQ-34-SOC1,REQ-43-SOC1,REQ-33-HIPAA,REQ-34-HIPAA,REQ-43-HIPAA,REQ-102-HIPAA,0701.07a1Organizational.7,1.1.2,2.1.2,4.1.2,5.1.2,6.1.2,7.1.2,8.1.2,9.1.2,10.1.2,11.1.2,3.1.2,REQ-33,REQ-43,REQ-34,A.05.09,REQ-33-SOC1,REQ-34-SOC1,REQ-43-SOC1,REQ-33-HIPAA,REQ-34-HIPAA,REQ-43-HIPAA,REQ-102-HIPAA,0701.07a1Organizational.7,1.1.2,2.1.2,4.1.2,5.1.2,6.1.2,7.1.2,8.1.2,9.1.2,10.1.2,11.1.2,3.1.2,REQ-33,REQ-43,REQ-34,A.05.09,REQ-33-SOC1,REQ-34-SOC1,REQ-43-SOC1,REQ-33-HIPAA,REQ-34-HIPAA,REQ-43-HIPAA,REQ-102-HIPAA,0701.07a1Organizational.7,1.1.2,2.1.2,4.1.2,5.1.2,6.1.2,7.1.2,8.1.2,9.1.2,10.1.2,11.1.2,3.1.2,0701.07a1Organizational.8,0701.07a1Organizational.8,07.07a1Organizational.8</x:t>
        </x:is>
      </x:c>
      <x:c r="F11" s="5" t="inlineStr">
        <x:is>
          <x:t xml:space="preserve">SOC 2,SOC 2,SOC 2,ISO 27001/2 (2022),SOC 1,SOC 1,SOC 1,HIPAA Security,HIPAA Security,HIPAA Security,HIPAA Security,HITRUST,HITRUST,HITRUST,PCI DSS v4.0,PCI DSS v4.0,PCI DSS v4.0,PCI DSS v4.0,PCI DSS v4.0,PCI DSS v4.0,PCI DSS v4.0,PCI DSS v4.0,PCI DSS v4.0,PCI DSS v4.0,PCI DSS v4.0,SOC 2,SOC 2,SOC 2,ISO 27001/2 (2022),SOC 1,SOC 1,SOC 1,HIPAA Security,HIPAA Security,HIPAA Security,HIPAA Security,HITRUST,HITRUST,HITRUST,PCI DSS v4.0,PCI DSS v4.0,PCI DSS v4.0,PCI DSS v4.0,PCI DSS v4.0,PCI DSS v4.0,PCI DSS v4.0,PCI DSS v4.0,PCI DSS v4.0,PCI DSS v4.0,PCI DSS v4.0,SOC 2,SOC 2,SOC 2,ISO 27001/2 (2022),SOC 1,SOC 1,SOC 1,HIPAA Security,HIPAA Security,HIPAA Security,HIPAA Security,HITRUST,PCI DSS v4.0,PCI DSS v4.0,PCI DSS v4.0,PCI DSS v4.0,PCI DSS v4.0,PCI DSS v4.0,PCI DSS v4.0,PCI DSS v4.0,PCI DSS v4.0,PCI DSS v4.0,PCI DSS v4.0,SOC 2,SOC 2,SOC 2,ISO 27001/2 (2022),SOC 1,SOC 1,SOC 1,HIPAA Security,HIPAA Security,HIPAA Security,HIPAA Security,HITRUST,PCI DSS v4.0,PCI DSS v4.0,PCI DSS v4.0,PCI DSS v4.0,PCI DSS v4.0,PCI DSS v4.0,PCI DSS v4.0,PCI DSS v4.0,PCI DSS v4.0,PCI DSS v4.0,PCI DSS v4.0,SOC 2,SOC 2,SOC 2,ISO 27001/2 (2022),SOC 1,SOC 1,SOC 1,HIPAA Security,HIPAA Security,HIPAA Security,HIPAA Security,HITRUST,PCI DSS v4.0,PCI DSS v4.0,PCI DSS v4.0,PCI DSS v4.0,PCI DSS v4.0,PCI DSS v4.0,PCI DSS v4.0,PCI DSS v4.0,PCI DSS v4.0,PCI DSS v4.0,PCI DSS v4.0,HITRUST,HITRUST,HITRUST</x:t>
        </x:is>
      </x:c>
      <x:c r="G11" s="5" t="n">
        <x:v>11</x:v>
      </x:c>
      <x:c r="H11" s="5" t="n">
        <x:v>2</x:v>
      </x:c>
      <x:c r="I11" s="5" t="n">
        <x:v>2</x:v>
      </x:c>
      <x:c r="J11" s="5" t="inlineStr">
        <x:is>
          <x:t xml:space="preserve">Security</x:t>
        </x:is>
      </x:c>
      <x:c r="K11" s="5" t="inlineStr">
        <x:is>
          <x:t xml:space="preserve">PCI DSS v4.0 - ROC - Merchant</x:t>
        </x:is>
      </x:c>
      <x:c r="L11" s="5" t="n">
        <x:v>122</x:v>
      </x:c>
      <x:c r="M11" s="5" t="n">
        <x:v>25</x:v>
      </x:c>
      <x:c r="N11" s="5" t="inlineStr">
        <x:is>
          <x:t xml:space="preserve">REQ-33</x:t>
        </x:is>
      </x:c>
      <x:c r="O11" s="5" t="inlineStr">
        <x:is>
          <x:t xml:space="preserve">REQ-43</x:t>
        </x:is>
      </x:c>
      <x:c r="P11" s="5" t="inlineStr">
        <x:is>
          <x:t xml:space="preserve">REQ-34</x:t>
        </x:is>
      </x:c>
      <x:c r="Q11" s="5" t="inlineStr">
        <x:is>
          <x:t xml:space="preserve">A.05.09</x:t>
        </x:is>
      </x:c>
      <x:c r="R11" s="5" t="inlineStr">
        <x:is>
          <x:t xml:space="preserve">REQ-33-SOC1</x:t>
        </x:is>
      </x:c>
      <x:c r="S11" s="5" t="inlineStr">
        <x:is>
          <x:t xml:space="preserve">REQ-34-SOC1</x:t>
        </x:is>
      </x:c>
      <x:c r="T11" s="5" t="inlineStr">
        <x:is>
          <x:t xml:space="preserve">REQ-43-SOC1</x:t>
        </x:is>
      </x:c>
      <x:c r="U11" s="5" t="inlineStr">
        <x:is>
          <x:t xml:space="preserve">REQ-33-HIPAA</x:t>
        </x:is>
      </x:c>
      <x:c r="V11" s="5" t="inlineStr">
        <x:is>
          <x:t xml:space="preserve">REQ-34-HIPAA</x:t>
        </x:is>
      </x:c>
      <x:c r="W11" s="5" t="inlineStr">
        <x:is>
          <x:t xml:space="preserve">REQ-43-HIPAA</x:t>
        </x:is>
      </x:c>
      <x:c r="X11" s="5" t="inlineStr">
        <x:is>
          <x:t xml:space="preserve">REQ-102-HIPAA</x:t>
        </x:is>
      </x:c>
      <x:c r="Y11" s="5" t="inlineStr">
        <x:is>
          <x:t xml:space="preserve">0701.07a1Organizational.8</x:t>
        </x:is>
      </x:c>
      <x:c r="Z11" s="5" t="inlineStr">
        <x:is>
          <x:t xml:space="preserve">0701.07a1Organizational.7</x:t>
        </x:is>
      </x:c>
      <x:c r="AA11" s="5" t="inlineStr">
        <x:is>
          <x:t xml:space="preserve">07.07a1Organizational.8</x:t>
        </x:is>
      </x:c>
      <x:c r="AB11" s="5" t="inlineStr">
        <x:is>
          <x:t xml:space="preserve">1.1.2</x:t>
        </x:is>
      </x:c>
      <x:c r="AC11" s="5" t="inlineStr">
        <x:is>
          <x:t xml:space="preserve">2.1.2</x:t>
        </x:is>
      </x:c>
      <x:c r="AD11" s="5" t="n">
        <x:v>122</x:v>
      </x:c>
      <x:c r="AE11" s="5" t="n">
        <x:v>6</x:v>
      </x:c>
      <x:c r="AF11" s="5" t="inlineStr">
        <x:is>
          <x:t xml:space="preserve">SOC 2</x:t>
        </x:is>
      </x:c>
      <x:c r="AG11" s="5" t="inlineStr">
        <x:is>
          <x:t xml:space="preserve">ISO 27001/2 (2022)</x:t>
        </x:is>
      </x:c>
      <x:c r="AH11" s="5" t="inlineStr">
        <x:is>
          <x:t xml:space="preserve">SOC 1</x:t>
        </x:is>
      </x:c>
      <x:c r="AI11" s="5" t="inlineStr">
        <x:is>
          <x:t xml:space="preserve">HIPAA Security</x:t>
        </x:is>
      </x:c>
      <x:c r="AJ11" s="5" t="inlineStr">
        <x:is>
          <x:t xml:space="preserve">HITRUST</x:t>
        </x:is>
      </x:c>
      <x:c r="AK11" s="5" t="inlineStr">
        <x:is>
          <x:t xml:space="preserve">PCI DSS v4.0</x:t>
        </x:is>
      </x:c>
      <x:c r="AL11" s="28" t="inlineStr">
        <x:is>
          <x:t xml:space="preserve">https://docs.google.com/document/d/1W5FC1d6oqcAnoxBiPHHQMdXo6_EqhnFeiMjXq4_dX9s/edit?usp=sharing</x:t>
        </x:is>
      </x:c>
      <x:c r="AM11" s="5" t="inlineStr">
        <x:is>
          <x:t xml:space="preserve">Local controls deduped from 122 exported tokens to 25 unique button tokens. Frameworks deduped from 122 exported tokens to 6 unique button tokens. Preserved "ISO 27001/2 (2022)" as a single framework token to reflect Thoropass notation that references ISO 27001 together with the related 27002 guidance set.</x:t>
        </x:is>
      </x:c>
      <x:c r="AN11" s="5" t="inlineStr">
        <x:is>
          <x:t xml:space="preserve">4.1.2</x:t>
        </x:is>
      </x:c>
      <x:c r="AO11" s="5" t="inlineStr">
        <x:is>
          <x:t xml:space="preserve">5.1.2</x:t>
        </x:is>
      </x:c>
      <x:c r="AP11" s="5" t="inlineStr">
        <x:is>
          <x:t xml:space="preserve">6.1.2</x:t>
        </x:is>
      </x:c>
      <x:c r="AQ11" s="5" t="inlineStr">
        <x:is>
          <x:t xml:space="preserve">7.1.2</x:t>
        </x:is>
      </x:c>
      <x:c r="AR11" s="5" t="inlineStr">
        <x:is>
          <x:t xml:space="preserve">8.1.2</x:t>
        </x:is>
      </x:c>
      <x:c r="AS11" s="5" t="inlineStr">
        <x:is>
          <x:t xml:space="preserve">9.1.2</x:t>
        </x:is>
      </x:c>
      <x:c r="AT11" s="5" t="inlineStr">
        <x:is>
          <x:t xml:space="preserve">10.1.2</x:t>
        </x:is>
      </x:c>
      <x:c r="AU11" s="5" t="inlineStr">
        <x:is>
          <x:t xml:space="preserve">11.1.2</x:t>
        </x:is>
      </x:c>
      <x:c r="AV11" s="5" t="inlineStr">
        <x:is>
          <x:t xml:space="preserve">3.1.2</x:t>
        </x:is>
      </x:c>
      <x:c r="AW11" s="5" t="n"/>
      <x:c r="AX11" s="5" t="n"/>
      <x:c r="AY11" s="5" t="n"/>
      <x:c r="AZ11" s="5" t="n"/>
      <x:c r="BA11" s="5" t="n"/>
      <x:c r="BB11" s="5" t="n"/>
      <x:c r="BC11" s="5" t="n"/>
      <x:c r="BD11" s="5" t="n"/>
      <x:c r="BE11" s="5" t="n"/>
      <x:c r="BF11" s="5" t="n"/>
      <x:c r="BG11" s="5" t="n"/>
      <x:c r="BH11" s="5" t="n"/>
      <x:c r="BI11" s="5" t="n"/>
      <x:c r="BJ11" s="5" t="n"/>
      <x:c r="BK11" s="5" t="n"/>
      <x:c r="BL11" s="5" t="n"/>
      <x:c r="BM11" s="5" t="n"/>
      <x:c r="BN11" s="5" t="n"/>
      <x:c r="BO11" s="5" t="n"/>
      <x:c r="BP11" s="5" t="n"/>
      <x:c r="BQ11" s="5" t="n"/>
      <x:c r="BR11" s="5" t="n"/>
      <x:c r="BS11" s="5" t="n"/>
      <x:c r="BT11" s="5" t="n"/>
      <x:c r="BU11" s="5" t="n"/>
      <x:c r="BV11" s="5" t="n"/>
      <x:c r="BW11" s="5" t="n"/>
      <x:c r="BX11" s="5" t="n"/>
      <x:c r="BY11" s="5" t="n"/>
      <x:c r="BZ11" s="5" t="n"/>
      <x:c r="CA11" s="5" t="n"/>
      <x:c r="CB11" s="5" t="n"/>
      <x:c r="CC11" s="5" t="n"/>
      <x:c r="CD11" s="5" t="n"/>
      <x:c r="CE11" s="5" t="n"/>
    </x:row>
    <x:row r="12" ht="30" customHeight="1">
      <x:c r="A12" s="5" t="inlineStr">
        <x:is>
          <x:t xml:space="preserve">ER-13</x:t>
        </x:is>
      </x:c>
      <x:c r="B12" s="5" t="inlineStr">
        <x:is>
          <x:t xml:space="preserve">Configuration</x:t>
        </x:is>
      </x:c>
      <x:c r="C12" s="5" t="inlineStr">
        <x:is>
          <x:t xml:space="preserve">[Configuration] Prevention of Unauthorized Software Installation</x:t>
        </x:is>
      </x:c>
      <x:c r="D12" s="5" t="n"/>
      <x:c r="E12" s="5" t="inlineStr">
        <x:is>
          <x:t xml:space="preserve">1308.09j1Organizational.5.a,1308.09j1Organizational.5.a,1308.09j1Organizational.5.a,1308.09j1Organizational.5.a,1308.09j1Organizational.5.a</x:t>
        </x:is>
      </x:c>
      <x:c r="F12" s="5" t="inlineStr">
        <x:is>
          <x:t xml:space="preserve">HITRUST,HITRUST,HITRUST,HITRUST,HITRUST</x:t>
        </x:is>
      </x:c>
      <x:c r="G12" s="5" t="n">
        <x:v>12</x:v>
      </x:c>
      <x:c r="H12" s="5" t="n">
        <x:v>0</x:v>
      </x:c>
      <x:c r="I12" s="5" t="n">
        <x:v>0</x:v>
      </x:c>
      <x:c r="J12" s="5" t="n"/>
      <x:c r="K12" s="5" t="n"/>
      <x:c r="L12" s="5" t="n">
        <x:v>5</x:v>
      </x:c>
      <x:c r="M12" s="5" t="n">
        <x:v>1</x:v>
      </x:c>
      <x:c r="N12" s="5" t="inlineStr">
        <x:is>
          <x:t xml:space="preserve">1308.09j1Organizational.5.a</x:t>
        </x:is>
      </x:c>
      <x:c r="O12" s="5" t="n"/>
      <x:c r="P12" s="5" t="n"/>
      <x:c r="Q12" s="5" t="n"/>
      <x:c r="R12" s="5" t="n"/>
      <x:c r="S12" s="5" t="n"/>
      <x:c r="T12" s="5" t="n"/>
      <x:c r="U12" s="5" t="n"/>
      <x:c r="V12" s="5" t="n"/>
      <x:c r="W12" s="5" t="n"/>
      <x:c r="X12" s="5" t="n"/>
      <x:c r="Y12" s="5" t="n"/>
      <x:c r="Z12" s="5" t="n"/>
      <x:c r="AA12" s="5" t="n"/>
      <x:c r="AB12" s="5" t="n"/>
      <x:c r="AC12" s="5" t="n"/>
      <x:c r="AD12" s="5" t="n">
        <x:v>5</x:v>
      </x:c>
      <x:c r="AE12" s="5" t="n">
        <x:v>1</x:v>
      </x:c>
      <x:c r="AF12" s="5" t="inlineStr">
        <x:is>
          <x:t xml:space="preserve">HITRUST</x:t>
        </x:is>
      </x:c>
      <x:c r="AG12" s="5" t="n"/>
      <x:c r="AH12" s="5" t="n"/>
      <x:c r="AI12" s="5" t="n"/>
      <x:c r="AJ12" s="5" t="n"/>
      <x:c r="AK12" s="5" t="n"/>
      <x:c r="AL12" s="28" t="inlineStr">
        <x:is>
          <x:t xml:space="preserve">https://docs.google.com/document/d/1W5FC1d6oqcAnoxBiPHHQMdXo6_EqhnFeiMjXq4_dX9s/edit?usp=sharing</x:t>
        </x:is>
      </x:c>
      <x:c r="AM12" s="5" t="inlineStr">
        <x:is>
          <x:t xml:space="preserve">Local controls deduped from 5 exported tokens to 1 unique button tokens. Frameworks deduped from 5 exported tokens to 1 unique button tokens.</x:t>
        </x:is>
      </x:c>
      <x:c r="AN12" s="5" t="n"/>
      <x:c r="AO12" s="5" t="n"/>
      <x:c r="AP12" s="5" t="n"/>
      <x:c r="AQ12" s="5" t="n"/>
      <x:c r="AR12" s="5" t="n"/>
      <x:c r="AS12" s="5" t="n"/>
      <x:c r="AT12" s="5" t="n"/>
      <x:c r="AU12" s="5" t="n"/>
      <x:c r="AV12" s="5" t="n"/>
      <x:c r="AW12" s="5" t="n"/>
      <x:c r="AX12" s="5" t="n"/>
      <x:c r="AY12" s="5" t="n"/>
      <x:c r="AZ12" s="5" t="n"/>
      <x:c r="BA12" s="5" t="n"/>
      <x:c r="BB12" s="5" t="n"/>
      <x:c r="BC12" s="5" t="n"/>
      <x:c r="BD12" s="5" t="n"/>
      <x:c r="BE12" s="5" t="n"/>
      <x:c r="BF12" s="5" t="n"/>
      <x:c r="BG12" s="5" t="n"/>
      <x:c r="BH12" s="5" t="n"/>
      <x:c r="BI12" s="5" t="n"/>
      <x:c r="BJ12" s="5" t="n"/>
      <x:c r="BK12" s="5" t="n"/>
      <x:c r="BL12" s="5" t="n"/>
      <x:c r="BM12" s="5" t="n"/>
      <x:c r="BN12" s="5" t="n"/>
      <x:c r="BO12" s="5" t="n"/>
      <x:c r="BP12" s="5" t="n"/>
      <x:c r="BQ12" s="5" t="n"/>
      <x:c r="BR12" s="5" t="n"/>
      <x:c r="BS12" s="5" t="n"/>
      <x:c r="BT12" s="5" t="n"/>
      <x:c r="BU12" s="5" t="n"/>
      <x:c r="BV12" s="5" t="n"/>
      <x:c r="BW12" s="5" t="n"/>
      <x:c r="BX12" s="5" t="n"/>
      <x:c r="BY12" s="5" t="n"/>
      <x:c r="BZ12" s="5" t="n"/>
      <x:c r="CA12" s="5" t="n"/>
      <x:c r="CB12" s="5" t="n"/>
      <x:c r="CC12" s="5" t="n"/>
      <x:c r="CD12" s="5" t="n"/>
      <x:c r="CE12" s="5" t="n"/>
    </x:row>
    <x:row r="13" ht="30" customHeight="1">
      <x:c r="A13" s="5" t="inlineStr">
        <x:is>
          <x:t xml:space="preserve">ER-15</x:t>
        </x:is>
      </x:c>
      <x:c r="B13" s="5" t="inlineStr">
        <x:is>
          <x:t xml:space="preserve">Sample</x:t>
        </x:is>
      </x:c>
      <x:c r="C13" s="5" t="inlineStr">
        <x:is>
          <x:t xml:space="preserve">[Sample] Web Browser Version</x:t>
        </x:is>
      </x:c>
      <x:c r="D13" s="5" t="n"/>
      <x:c r="E13" s="5" t="inlineStr">
        <x:is>
          <x:t xml:space="preserve">0627.10h1System.45.a,0627.10h1System.45.a,0627.10h1System.45.a</x:t>
        </x:is>
      </x:c>
      <x:c r="F13" s="5" t="inlineStr">
        <x:is>
          <x:t xml:space="preserve">HITRUST,HITRUST,HITRUST</x:t>
        </x:is>
      </x:c>
      <x:c r="G13" s="5" t="n">
        <x:v>14</x:v>
      </x:c>
      <x:c r="H13" s="5" t="n">
        <x:v>0</x:v>
      </x:c>
      <x:c r="I13" s="5" t="n">
        <x:v>0</x:v>
      </x:c>
      <x:c r="J13" s="5" t="n"/>
      <x:c r="K13" s="5" t="n"/>
      <x:c r="L13" s="5" t="n">
        <x:v>3</x:v>
      </x:c>
      <x:c r="M13" s="5" t="n">
        <x:v>1</x:v>
      </x:c>
      <x:c r="N13" s="5" t="inlineStr">
        <x:is>
          <x:t xml:space="preserve">0627.10h1System.45.a</x:t>
        </x:is>
      </x:c>
      <x:c r="O13" s="5" t="n"/>
      <x:c r="P13" s="5" t="n"/>
      <x:c r="Q13" s="5" t="n"/>
      <x:c r="R13" s="5" t="n"/>
      <x:c r="S13" s="5" t="n"/>
      <x:c r="T13" s="5" t="n"/>
      <x:c r="U13" s="5" t="n"/>
      <x:c r="V13" s="5" t="n"/>
      <x:c r="W13" s="5" t="n"/>
      <x:c r="X13" s="5" t="n"/>
      <x:c r="Y13" s="5" t="n"/>
      <x:c r="Z13" s="5" t="n"/>
      <x:c r="AA13" s="5" t="n"/>
      <x:c r="AB13" s="5" t="n"/>
      <x:c r="AC13" s="5" t="n"/>
      <x:c r="AD13" s="5" t="n">
        <x:v>3</x:v>
      </x:c>
      <x:c r="AE13" s="5" t="n">
        <x:v>1</x:v>
      </x:c>
      <x:c r="AF13" s="5" t="inlineStr">
        <x:is>
          <x:t xml:space="preserve">HITRUST</x:t>
        </x:is>
      </x:c>
      <x:c r="AG13" s="5" t="n"/>
      <x:c r="AH13" s="5" t="n"/>
      <x:c r="AI13" s="5" t="n"/>
      <x:c r="AJ13" s="5" t="n"/>
      <x:c r="AK13" s="5" t="n"/>
      <x:c r="AL13" s="28" t="inlineStr">
        <x:is>
          <x:t xml:space="preserve">https://docs.google.com/document/d/1W5FC1d6oqcAnoxBiPHHQMdXo6_EqhnFeiMjXq4_dX9s/edit?usp=sharing</x:t>
        </x:is>
      </x:c>
      <x:c r="AM13" s="5" t="inlineStr">
        <x:is>
          <x:t xml:space="preserve">Local controls deduped from 3 exported tokens to 1 unique button tokens. Frameworks deduped from 3 exported tokens to 1 unique button tokens.</x:t>
        </x:is>
      </x:c>
      <x:c r="AN13" s="5" t="n"/>
      <x:c r="AO13" s="5" t="n"/>
      <x:c r="AP13" s="5" t="n"/>
      <x:c r="AQ13" s="5" t="n"/>
      <x:c r="AR13" s="5" t="n"/>
      <x:c r="AS13" s="5" t="n"/>
      <x:c r="AT13" s="5" t="n"/>
      <x:c r="AU13" s="5" t="n"/>
      <x:c r="AV13" s="5" t="n"/>
      <x:c r="AW13" s="5" t="n"/>
      <x:c r="AX13" s="5" t="n"/>
      <x:c r="AY13" s="5" t="n"/>
      <x:c r="AZ13" s="5" t="n"/>
      <x:c r="BA13" s="5" t="n"/>
      <x:c r="BB13" s="5" t="n"/>
      <x:c r="BC13" s="5" t="n"/>
      <x:c r="BD13" s="5" t="n"/>
      <x:c r="BE13" s="5" t="n"/>
      <x:c r="BF13" s="5" t="n"/>
      <x:c r="BG13" s="5" t="n"/>
      <x:c r="BH13" s="5" t="n"/>
      <x:c r="BI13" s="5" t="n"/>
      <x:c r="BJ13" s="5" t="n"/>
      <x:c r="BK13" s="5" t="n"/>
      <x:c r="BL13" s="5" t="n"/>
      <x:c r="BM13" s="5" t="n"/>
      <x:c r="BN13" s="5" t="n"/>
      <x:c r="BO13" s="5" t="n"/>
      <x:c r="BP13" s="5" t="n"/>
      <x:c r="BQ13" s="5" t="n"/>
      <x:c r="BR13" s="5" t="n"/>
      <x:c r="BS13" s="5" t="n"/>
      <x:c r="BT13" s="5" t="n"/>
      <x:c r="BU13" s="5" t="n"/>
      <x:c r="BV13" s="5" t="n"/>
      <x:c r="BW13" s="5" t="n"/>
      <x:c r="BX13" s="5" t="n"/>
      <x:c r="BY13" s="5" t="n"/>
      <x:c r="BZ13" s="5" t="n"/>
      <x:c r="CA13" s="5" t="n"/>
      <x:c r="CB13" s="5" t="n"/>
      <x:c r="CC13" s="5" t="n"/>
      <x:c r="CD13" s="5" t="n"/>
      <x:c r="CE13" s="5" t="n"/>
    </x:row>
    <x:row r="14" ht="30" customHeight="1">
      <x:c r="A14" s="5" t="inlineStr">
        <x:is>
          <x:t xml:space="preserve">ER-18</x:t>
        </x:is>
      </x:c>
      <x:c r="B14" s="5" t="inlineStr">
        <x:is>
          <x:t xml:space="preserve">Configuration</x:t>
        </x:is>
      </x:c>
      <x:c r="C14" s="5" t="inlineStr">
        <x:is>
          <x:t xml:space="preserve">[Configuration] Anti-malware and Alerts</x:t>
        </x:is>
      </x:c>
      <x:c r="D14" s="5" t="inlineStr">
        <x:is>
          <x:t xml:space="preserve">Security,PCI DSS v4.0 - ROC - Merchant</x:t>
        </x:is>
      </x:c>
      <x:c r="E14" s="5" t="inlineStr">
        <x:is>
          <x:t xml:space="preserve">REQ-38,0226.09k1Organizational.2,A.08.07,08.09m1Organizational.8,REQ-38-SOC1,REQ-38-HIPAA,02962.09j1Organizational.5,0207.09j1Organizational.6,5.2.1,5.2.2,5.3.3,5.3.5,5.4.1,REQ-38,0226.09k1Organizational.2,A.08.07,08.09m1Organizational.8,REQ-38-SOC1,REQ-38-HIPAA,02962.09j1Organizational.5,0207.09j1Organizational.6,5.2.1,5.3.3,5.3.5,5.4.1,REQ-38,0226.09k1Organizational.2,A.08.07,REQ-38-SOC1,REQ-38-HIPAA,REQ-38,0226.09k1Organizational.2,A.08.07,REQ-38-SOC1,REQ-38-HIPAA,REQ-38,0226.09k1Organizational.2,A.08.07,REQ-38-SOC1,REQ-38-HIPAA,REQ-38,0226.09k1Organizational.2,A.08.07,REQ-38-SOC1,REQ-38-HIPAA,08.09m1Organizational.8,0226.09k1Organizational.2,0226.09k1Organizational.2,08.09m1Organizational.8,0207.09j1Organizational.6,02962.09j1Organizational.5,0207.09j1Organizational.6,5.3.5,5.2.1,5.3.3,5.4.1</x:t>
        </x:is>
      </x:c>
      <x:c r="F14" s="5" t="inlineStr">
        <x:is>
          <x:t xml:space="preserve">SOC 2,HITRUST,ISO 27001/2 (2022),HITRUST,SOC 1,HIPAA Security,HITRUST,HITRUST,PCI DSS v4.0,PCI DSS v4.0,PCI DSS v4.0,PCI DSS v4.0,PCI DSS v4.0,SOC 2,HITRUST,ISO 27001/2 (2022),HITRUST,SOC 1,HIPAA Security,HITRUST,HITRUST,PCI DSS v4.0,PCI DSS v4.0,PCI DSS v4.0,PCI DSS v4.0,SOC 2,HITRUST,ISO 27001/2 (2022),SOC 1,HIPAA Security,SOC 2,HITRUST,ISO 27001/2 (2022),SOC 1,HIPAA Security,SOC 2,HITRUST,ISO 27001/2 (2022),SOC 1,HIPAA Security,SOC 2,HITRUST,ISO 27001/2 (2022),SOC 1,HIPAA Security,HITRUST,HITRUST,HITRUST,HITRUST,HITRUST,HITRUST,HITRUST,PCI DSS v4.0,PCI DSS v4.0,PCI DSS v4.0,PCI DSS v4.0</x:t>
        </x:is>
      </x:c>
      <x:c r="G14" s="5" t="n">
        <x:v>17</x:v>
      </x:c>
      <x:c r="H14" s="5" t="n">
        <x:v>2</x:v>
      </x:c>
      <x:c r="I14" s="5" t="n">
        <x:v>2</x:v>
      </x:c>
      <x:c r="J14" s="5" t="inlineStr">
        <x:is>
          <x:t xml:space="preserve">Security</x:t>
        </x:is>
      </x:c>
      <x:c r="K14" s="5" t="inlineStr">
        <x:is>
          <x:t xml:space="preserve">PCI DSS v4.0 - ROC - Merchant</x:t>
        </x:is>
      </x:c>
      <x:c r="L14" s="5" t="n">
        <x:v>56</x:v>
      </x:c>
      <x:c r="M14" s="5" t="n">
        <x:v>13</x:v>
      </x:c>
      <x:c r="N14" s="5" t="inlineStr">
        <x:is>
          <x:t xml:space="preserve">REQ-38</x:t>
        </x:is>
      </x:c>
      <x:c r="O14" s="5" t="inlineStr">
        <x:is>
          <x:t xml:space="preserve">0226.09k1Organizational.2</x:t>
        </x:is>
      </x:c>
      <x:c r="P14" s="5" t="inlineStr">
        <x:is>
          <x:t xml:space="preserve">A.08.07</x:t>
        </x:is>
      </x:c>
      <x:c r="Q14" s="5" t="inlineStr">
        <x:is>
          <x:t xml:space="preserve">08.09m1Organizational.8</x:t>
        </x:is>
      </x:c>
      <x:c r="R14" s="5" t="inlineStr">
        <x:is>
          <x:t xml:space="preserve">REQ-38-SOC1</x:t>
        </x:is>
      </x:c>
      <x:c r="S14" s="5" t="inlineStr">
        <x:is>
          <x:t xml:space="preserve">REQ-38-HIPAA</x:t>
        </x:is>
      </x:c>
      <x:c r="T14" s="5" t="inlineStr">
        <x:is>
          <x:t xml:space="preserve">02962.09j1Organizational.5</x:t>
        </x:is>
      </x:c>
      <x:c r="U14" s="5" t="inlineStr">
        <x:is>
          <x:t xml:space="preserve">0207.09j1Organizational.6</x:t>
        </x:is>
      </x:c>
      <x:c r="V14" s="5" t="inlineStr">
        <x:is>
          <x:t xml:space="preserve">5.2.1</x:t>
        </x:is>
      </x:c>
      <x:c r="W14" s="5" t="inlineStr">
        <x:is>
          <x:t xml:space="preserve">5.2.2</x:t>
        </x:is>
      </x:c>
      <x:c r="X14" s="5" t="inlineStr">
        <x:is>
          <x:t xml:space="preserve">5.3.3</x:t>
        </x:is>
      </x:c>
      <x:c r="Y14" s="5" t="inlineStr">
        <x:is>
          <x:t xml:space="preserve">5.3.5</x:t>
        </x:is>
      </x:c>
      <x:c r="Z14" s="5" t="inlineStr">
        <x:is>
          <x:t xml:space="preserve">5.4.1</x:t>
        </x:is>
      </x:c>
      <x:c r="AA14" s="5" t="n"/>
      <x:c r="AB14" s="5" t="n"/>
      <x:c r="AC14" s="5" t="n"/>
      <x:c r="AD14" s="5" t="n">
        <x:v>56</x:v>
      </x:c>
      <x:c r="AE14" s="5" t="n">
        <x:v>6</x:v>
      </x:c>
      <x:c r="AF14" s="5" t="inlineStr">
        <x:is>
          <x:t xml:space="preserve">SOC 2</x:t>
        </x:is>
      </x:c>
      <x:c r="AG14" s="5" t="inlineStr">
        <x:is>
          <x:t xml:space="preserve">HITRUST</x:t>
        </x:is>
      </x:c>
      <x:c r="AH14" s="5" t="inlineStr">
        <x:is>
          <x:t xml:space="preserve">ISO 27001/2 (2022)</x:t>
        </x:is>
      </x:c>
      <x:c r="AI14" s="5" t="inlineStr">
        <x:is>
          <x:t xml:space="preserve">SOC 1</x:t>
        </x:is>
      </x:c>
      <x:c r="AJ14" s="5" t="inlineStr">
        <x:is>
          <x:t xml:space="preserve">HIPAA Security</x:t>
        </x:is>
      </x:c>
      <x:c r="AK14" s="5" t="inlineStr">
        <x:is>
          <x:t xml:space="preserve">PCI DSS v4.0</x:t>
        </x:is>
      </x:c>
      <x:c r="AL14" s="28" t="inlineStr">
        <x:is>
          <x:t xml:space="preserve">https://docs.google.com/document/d/1W5FC1d6oqcAnoxBiPHHQMdXo6_EqhnFeiMjXq4_dX9s/edit?usp=sharing</x:t>
        </x:is>
      </x:c>
      <x:c r="AM14" s="5" t="inlineStr">
        <x:is>
          <x:t xml:space="preserve">Local controls deduped from 56 exported tokens to 13 unique button tokens. Frameworks deduped from 56 exported tokens to 6 unique button tokens. Preserved "ISO 27001/2 (2022)" as a single framework token to reflect Thoropass notation that references ISO 27001 together with the related 27002 guidance set.</x:t>
        </x:is>
      </x:c>
      <x:c r="AN14" s="5" t="n"/>
      <x:c r="AO14" s="5" t="n"/>
      <x:c r="AP14" s="5" t="n"/>
      <x:c r="AQ14" s="5" t="n"/>
      <x:c r="AR14" s="5" t="n"/>
      <x:c r="AS14" s="5" t="n"/>
      <x:c r="AT14" s="5" t="n"/>
      <x:c r="AU14" s="5" t="n"/>
      <x:c r="AV14" s="5" t="n"/>
      <x:c r="AW14" s="5" t="n"/>
      <x:c r="AX14" s="5" t="n"/>
      <x:c r="AY14" s="5" t="n"/>
      <x:c r="AZ14" s="5" t="n"/>
      <x:c r="BA14" s="5" t="n"/>
      <x:c r="BB14" s="5" t="n"/>
      <x:c r="BC14" s="5" t="n"/>
      <x:c r="BD14" s="5" t="n"/>
      <x:c r="BE14" s="5" t="n"/>
      <x:c r="BF14" s="5" t="n"/>
      <x:c r="BG14" s="5" t="n"/>
      <x:c r="BH14" s="5" t="n"/>
      <x:c r="BI14" s="5" t="n"/>
      <x:c r="BJ14" s="5" t="n"/>
      <x:c r="BK14" s="5" t="n"/>
      <x:c r="BL14" s="5" t="n"/>
      <x:c r="BM14" s="5" t="n"/>
      <x:c r="BN14" s="5" t="n"/>
      <x:c r="BO14" s="5" t="n"/>
      <x:c r="BP14" s="5" t="n"/>
      <x:c r="BQ14" s="5" t="n"/>
      <x:c r="BR14" s="5" t="n"/>
      <x:c r="BS14" s="5" t="n"/>
      <x:c r="BT14" s="5" t="n"/>
      <x:c r="BU14" s="5" t="n"/>
      <x:c r="BV14" s="5" t="n"/>
      <x:c r="BW14" s="5" t="n"/>
      <x:c r="BX14" s="5" t="n"/>
      <x:c r="BY14" s="5" t="n"/>
      <x:c r="BZ14" s="5" t="n"/>
      <x:c r="CA14" s="5" t="n"/>
      <x:c r="CB14" s="5" t="n"/>
      <x:c r="CC14" s="5" t="n"/>
      <x:c r="CD14" s="5" t="n"/>
      <x:c r="CE14" s="5" t="n"/>
    </x:row>
    <x:row r="15" ht="30" customHeight="1">
      <x:c r="A15" s="5" t="inlineStr">
        <x:is>
          <x:t xml:space="preserve">ER-19</x:t>
        </x:is>
      </x:c>
      <x:c r="B15" s="5" t="inlineStr">
        <x:is>
          <x:t xml:space="preserve">Sample</x:t>
        </x:is>
      </x:c>
      <x:c r="C15" s="5" t="inlineStr">
        <x:is>
          <x:t xml:space="preserve">[Sample] Anti-Malware Software</x:t>
        </x:is>
      </x:c>
      <x:c r="D15" s="5" t="inlineStr">
        <x:is>
          <x:t xml:space="preserve">PCI DSS v4.0 - ROC - Merchant</x:t>
        </x:is>
      </x:c>
      <x:c r="E15" s="5" t="inlineStr">
        <x:is>
          <x:t xml:space="preserve">0226.09k1Organizational.2,0201.09j1Organizational.124,0217.09j1Organizational.7,5.2.1,5.2.2,5.3.1,5.3.2,5.3.3,0201.09j1Organizational.124,0201.09j1Organizational.124,0217.09j1Organizational.7,0226.09k1Organizational.2,5.2.2,5.3.1,5.3.2,0201.09j1Organizational.124,0217.09j1Organizational.7,5.2.2,5.3.2,0201.09j1Organizational.124,0201.09j1Organizational.124,5.3.1,0201.09j1Organizational.124,0226.09k1Organizational.2,5.3.1,0226.09k1Organizational.2,0201.09j1Organizational.124,0217.09j1Organizational.7,0217.09j1Organizational.7,5.3.2,0217.09j1Organizational.7</x:t>
        </x:is>
      </x:c>
      <x:c r="F15" s="5" t="inlineStr">
        <x:is>
          <x:t xml:space="preserve">HITRUST,HITRUST,HITRUST,PCI DSS v4.0,PCI DSS v4.0,PCI DSS v4.0,PCI DSS v4.0,PCI DSS v4.0,HITRUST,HITRUST,HITRUST,HITRUST,PCI DSS v4.0,PCI DSS v4.0,PCI DSS v4.0,HITRUST,HITRUST,PCI DSS v4.0,PCI DSS v4.0,HITRUST,HITRUST,PCI DSS v4.0,HITRUST,HITRUST,PCI DSS v4.0,HITRUST,HITRUST,HITRUST,HITRUST,PCI DSS v4.0,HITRUST</x:t>
        </x:is>
      </x:c>
      <x:c r="G15" s="5" t="n">
        <x:v>18</x:v>
      </x:c>
      <x:c r="H15" s="5" t="n">
        <x:v>1</x:v>
      </x:c>
      <x:c r="I15" s="5" t="n">
        <x:v>1</x:v>
      </x:c>
      <x:c r="J15" s="5" t="inlineStr">
        <x:is>
          <x:t xml:space="preserve">PCI DSS v4.0 - ROC - Merchant</x:t>
        </x:is>
      </x:c>
      <x:c r="K15" s="5" t="n"/>
      <x:c r="L15" s="5" t="n">
        <x:v>31</x:v>
      </x:c>
      <x:c r="M15" s="5" t="n">
        <x:v>8</x:v>
      </x:c>
      <x:c r="N15" s="5" t="inlineStr">
        <x:is>
          <x:t xml:space="preserve">0226.09k1Organizational.2</x:t>
        </x:is>
      </x:c>
      <x:c r="O15" s="5" t="inlineStr">
        <x:is>
          <x:t xml:space="preserve">0201.09j1Organizational.124</x:t>
        </x:is>
      </x:c>
      <x:c r="P15" s="5" t="inlineStr">
        <x:is>
          <x:t xml:space="preserve">0217.09j1Organizational.7</x:t>
        </x:is>
      </x:c>
      <x:c r="Q15" s="5" t="inlineStr">
        <x:is>
          <x:t xml:space="preserve">5.2.1</x:t>
        </x:is>
      </x:c>
      <x:c r="R15" s="5" t="inlineStr">
        <x:is>
          <x:t xml:space="preserve">5.2.2</x:t>
        </x:is>
      </x:c>
      <x:c r="S15" s="5" t="inlineStr">
        <x:is>
          <x:t xml:space="preserve">5.3.1</x:t>
        </x:is>
      </x:c>
      <x:c r="T15" s="5" t="inlineStr">
        <x:is>
          <x:t xml:space="preserve">5.3.2</x:t>
        </x:is>
      </x:c>
      <x:c r="U15" s="5" t="inlineStr">
        <x:is>
          <x:t xml:space="preserve">5.3.3</x:t>
        </x:is>
      </x:c>
      <x:c r="V15" s="5" t="n"/>
      <x:c r="W15" s="5" t="n"/>
      <x:c r="X15" s="5" t="n"/>
      <x:c r="Y15" s="5" t="n"/>
      <x:c r="Z15" s="5" t="n"/>
      <x:c r="AA15" s="5" t="n"/>
      <x:c r="AB15" s="5" t="n"/>
      <x:c r="AC15" s="5" t="n"/>
      <x:c r="AD15" s="5" t="n">
        <x:v>31</x:v>
      </x:c>
      <x:c r="AE15" s="5" t="n">
        <x:v>2</x:v>
      </x:c>
      <x:c r="AF15" s="5" t="inlineStr">
        <x:is>
          <x:t xml:space="preserve">HITRUST</x:t>
        </x:is>
      </x:c>
      <x:c r="AG15" s="5" t="inlineStr">
        <x:is>
          <x:t xml:space="preserve">PCI DSS v4.0</x:t>
        </x:is>
      </x:c>
      <x:c r="AH15" s="5" t="n"/>
      <x:c r="AI15" s="5" t="n"/>
      <x:c r="AJ15" s="5" t="n"/>
      <x:c r="AK15" s="5" t="n"/>
      <x:c r="AL15" s="28" t="inlineStr">
        <x:is>
          <x:t xml:space="preserve">https://docs.google.com/document/d/1W5FC1d6oqcAnoxBiPHHQMdXo6_EqhnFeiMjXq4_dX9s/edit?usp=sharing</x:t>
        </x:is>
      </x:c>
      <x:c r="AM15" s="5" t="inlineStr">
        <x:is>
          <x:t xml:space="preserve">Local controls deduped from 31 exported tokens to 8 unique button tokens. Frameworks deduped from 31 exported tokens to 2 unique button tokens.</x:t>
        </x:is>
      </x:c>
      <x:c r="AN15" s="5" t="n"/>
      <x:c r="AO15" s="5" t="n"/>
      <x:c r="AP15" s="5" t="n"/>
      <x:c r="AQ15" s="5" t="n"/>
      <x:c r="AR15" s="5" t="n"/>
      <x:c r="AS15" s="5" t="n"/>
      <x:c r="AT15" s="5" t="n"/>
      <x:c r="AU15" s="5" t="n"/>
      <x:c r="AV15" s="5" t="n"/>
      <x:c r="AW15" s="5" t="n"/>
      <x:c r="AX15" s="5" t="n"/>
      <x:c r="AY15" s="5" t="n"/>
      <x:c r="AZ15" s="5" t="n"/>
      <x:c r="BA15" s="5" t="n"/>
      <x:c r="BB15" s="5" t="n"/>
      <x:c r="BC15" s="5" t="n"/>
      <x:c r="BD15" s="5" t="n"/>
      <x:c r="BE15" s="5" t="n"/>
      <x:c r="BF15" s="5" t="n"/>
      <x:c r="BG15" s="5" t="n"/>
      <x:c r="BH15" s="5" t="n"/>
      <x:c r="BI15" s="5" t="n"/>
      <x:c r="BJ15" s="5" t="n"/>
      <x:c r="BK15" s="5" t="n"/>
      <x:c r="BL15" s="5" t="n"/>
      <x:c r="BM15" s="5" t="n"/>
      <x:c r="BN15" s="5" t="n"/>
      <x:c r="BO15" s="5" t="n"/>
      <x:c r="BP15" s="5" t="n"/>
      <x:c r="BQ15" s="5" t="n"/>
      <x:c r="BR15" s="5" t="n"/>
      <x:c r="BS15" s="5" t="n"/>
      <x:c r="BT15" s="5" t="n"/>
      <x:c r="BU15" s="5" t="n"/>
      <x:c r="BV15" s="5" t="n"/>
      <x:c r="BW15" s="5" t="n"/>
      <x:c r="BX15" s="5" t="n"/>
      <x:c r="BY15" s="5" t="n"/>
      <x:c r="BZ15" s="5" t="n"/>
      <x:c r="CA15" s="5" t="n"/>
      <x:c r="CB15" s="5" t="n"/>
      <x:c r="CC15" s="5" t="n"/>
      <x:c r="CD15" s="5" t="n"/>
      <x:c r="CE15" s="5" t="n"/>
    </x:row>
    <x:row r="16" ht="30" customHeight="1">
      <x:c r="A16" s="5" t="inlineStr">
        <x:is>
          <x:t xml:space="preserve">ER-24</x:t>
        </x:is>
      </x:c>
      <x:c r="B16" s="5" t="inlineStr">
        <x:is>
          <x:t xml:space="preserve">Policy</x:t>
        </x:is>
      </x:c>
      <x:c r="C16" s="5" t="inlineStr">
        <x:is>
          <x:t xml:space="preserve">[Policy] Password and Multi-Factor Authentication</x:t>
        </x:is>
      </x:c>
      <x:c r="D16" s="5" t="inlineStr">
        <x:is>
          <x:t xml:space="preserve">Security,PCI DSS v4.0 - SAQ-A,PCI DSS v4.0 - ROC - Merchant</x:t>
        </x:is>
      </x:c>
      <x:c r="E16" s="5" t="inlineStr">
        <x:is>
          <x:t xml:space="preserve">REQ-26,10.01d1System.10,A.05.17,A.05.33,A.08.05a,11.01p1System.5,REQ-26-SOC1,REQ-26-HIPAA,8.3.1,8.3.5,8.3.7,11.01p1System.5,11.01p1System.5</x:t>
        </x:is>
      </x:c>
      <x:c r="F16" s="5" t="inlineStr">
        <x:is>
          <x:t xml:space="preserve">SOC 2,HITRUST,ISO 27001/2 (2022),ISO 27001/2 (2022),ISO 27001/2 (2022),HITRUST,SOC 1,HIPAA Security,PCI DSS v4.0,PCI DSS v4.0,PCI DSS v4.0,HITRUST,HITRUST</x:t>
        </x:is>
      </x:c>
      <x:c r="G16" s="5" t="n">
        <x:v>23</x:v>
      </x:c>
      <x:c r="H16" s="5" t="n">
        <x:v>3</x:v>
      </x:c>
      <x:c r="I16" s="5" t="n">
        <x:v>3</x:v>
      </x:c>
      <x:c r="J16" s="5" t="inlineStr">
        <x:is>
          <x:t xml:space="preserve">Security</x:t>
        </x:is>
      </x:c>
      <x:c r="K16" s="5" t="inlineStr">
        <x:is>
          <x:t xml:space="preserve">PCI DSS v4.0 - SAQ-A</x:t>
        </x:is>
      </x:c>
      <x:c r="L16" s="5" t="n">
        <x:v>13</x:v>
      </x:c>
      <x:c r="M16" s="5" t="n">
        <x:v>11</x:v>
      </x:c>
      <x:c r="N16" s="5" t="inlineStr">
        <x:is>
          <x:t xml:space="preserve">REQ-26</x:t>
        </x:is>
      </x:c>
      <x:c r="O16" s="5" t="inlineStr">
        <x:is>
          <x:t xml:space="preserve">10.01d1System.10</x:t>
        </x:is>
      </x:c>
      <x:c r="P16" s="5" t="inlineStr">
        <x:is>
          <x:t xml:space="preserve">A.05.17</x:t>
        </x:is>
      </x:c>
      <x:c r="Q16" s="5" t="inlineStr">
        <x:is>
          <x:t xml:space="preserve">A.05.33</x:t>
        </x:is>
      </x:c>
      <x:c r="R16" s="5" t="inlineStr">
        <x:is>
          <x:t xml:space="preserve">A.08.05a</x:t>
        </x:is>
      </x:c>
      <x:c r="S16" s="5" t="inlineStr">
        <x:is>
          <x:t xml:space="preserve">11.01p1System.5</x:t>
        </x:is>
      </x:c>
      <x:c r="T16" s="5" t="inlineStr">
        <x:is>
          <x:t xml:space="preserve">REQ-26-SOC1</x:t>
        </x:is>
      </x:c>
      <x:c r="U16" s="5" t="inlineStr">
        <x:is>
          <x:t xml:space="preserve">REQ-26-HIPAA</x:t>
        </x:is>
      </x:c>
      <x:c r="V16" s="5" t="inlineStr">
        <x:is>
          <x:t xml:space="preserve">8.3.1</x:t>
        </x:is>
      </x:c>
      <x:c r="W16" s="5" t="inlineStr">
        <x:is>
          <x:t xml:space="preserve">8.3.5</x:t>
        </x:is>
      </x:c>
      <x:c r="X16" s="5" t="inlineStr">
        <x:is>
          <x:t xml:space="preserve">8.3.7</x:t>
        </x:is>
      </x:c>
      <x:c r="Y16" s="5" t="n"/>
      <x:c r="Z16" s="5" t="n"/>
      <x:c r="AA16" s="5" t="n"/>
      <x:c r="AB16" s="5" t="n"/>
      <x:c r="AC16" s="5" t="n"/>
      <x:c r="AD16" s="5" t="n">
        <x:v>13</x:v>
      </x:c>
      <x:c r="AE16" s="5" t="n">
        <x:v>6</x:v>
      </x:c>
      <x:c r="AF16" s="5" t="inlineStr">
        <x:is>
          <x:t xml:space="preserve">SOC 2</x:t>
        </x:is>
      </x:c>
      <x:c r="AG16" s="5" t="inlineStr">
        <x:is>
          <x:t xml:space="preserve">HITRUST</x:t>
        </x:is>
      </x:c>
      <x:c r="AH16" s="5" t="inlineStr">
        <x:is>
          <x:t xml:space="preserve">ISO 27001/2 (2022)</x:t>
        </x:is>
      </x:c>
      <x:c r="AI16" s="5" t="inlineStr">
        <x:is>
          <x:t xml:space="preserve">SOC 1</x:t>
        </x:is>
      </x:c>
      <x:c r="AJ16" s="5" t="inlineStr">
        <x:is>
          <x:t xml:space="preserve">HIPAA Security</x:t>
        </x:is>
      </x:c>
      <x:c r="AK16" s="5" t="inlineStr">
        <x:is>
          <x:t xml:space="preserve">PCI DSS v4.0</x:t>
        </x:is>
      </x:c>
      <x:c r="AL16" s="28" t="inlineStr">
        <x:is>
          <x:t xml:space="preserve">https://docs.google.com/document/d/1W5FC1d6oqcAnoxBiPHHQMdXo6_EqhnFeiMjXq4_dX9s/edit?usp=sharing</x:t>
        </x:is>
      </x:c>
      <x:c r="AM16" s="5" t="inlineStr">
        <x:is>
          <x:t xml:space="preserve">Local controls deduped from 13 exported tokens to 11 unique button tokens. Frameworks deduped from 13 exported tokens to 6 unique button tokens. Preserved "ISO 27001/2 (2022)" as a single framework token to reflect Thoropass notation that references ISO 27001 together with the related 27002 guidance set.</x:t>
        </x:is>
      </x:c>
      <x:c r="AN16" s="5" t="n"/>
      <x:c r="AO16" s="5" t="n"/>
      <x:c r="AP16" s="5" t="n"/>
      <x:c r="AQ16" s="5" t="n"/>
      <x:c r="AR16" s="5" t="n"/>
      <x:c r="AS16" s="5" t="n"/>
      <x:c r="AT16" s="5" t="n"/>
      <x:c r="AU16" s="5" t="n"/>
      <x:c r="AV16" s="5" t="n"/>
      <x:c r="AW16" s="5" t="inlineStr">
        <x:is>
          <x:t xml:space="preserve">PCI DSS v4.0 - ROC - Merchant</x:t>
        </x:is>
      </x:c>
      <x:c r="AX16" s="5" t="n"/>
      <x:c r="AY16" s="5" t="n"/>
      <x:c r="AZ16" s="5" t="n"/>
      <x:c r="BA16" s="5" t="n"/>
      <x:c r="BB16" s="5" t="n"/>
      <x:c r="BC16" s="5" t="n"/>
      <x:c r="BD16" s="5" t="n"/>
      <x:c r="BE16" s="5" t="n"/>
      <x:c r="BF16" s="5" t="n"/>
      <x:c r="BG16" s="5" t="n"/>
      <x:c r="BH16" s="5" t="n"/>
      <x:c r="BI16" s="5" t="n"/>
      <x:c r="BJ16" s="5" t="n"/>
      <x:c r="BK16" s="5" t="n"/>
      <x:c r="BL16" s="5" t="n"/>
      <x:c r="BM16" s="5" t="n"/>
      <x:c r="BN16" s="5" t="n"/>
      <x:c r="BO16" s="5" t="n"/>
      <x:c r="BP16" s="5" t="n"/>
      <x:c r="BQ16" s="5" t="n"/>
      <x:c r="BR16" s="5" t="n"/>
      <x:c r="BS16" s="5" t="n"/>
      <x:c r="BT16" s="5" t="n"/>
      <x:c r="BU16" s="5" t="n"/>
      <x:c r="BV16" s="5" t="n"/>
      <x:c r="BW16" s="5" t="n"/>
      <x:c r="BX16" s="5" t="n"/>
      <x:c r="BY16" s="5" t="n"/>
      <x:c r="BZ16" s="5" t="n"/>
      <x:c r="CA16" s="5" t="n"/>
      <x:c r="CB16" s="5" t="n"/>
      <x:c r="CC16" s="5" t="n"/>
      <x:c r="CD16" s="5" t="n"/>
      <x:c r="CE16" s="5" t="n"/>
    </x:row>
    <x:row r="17" ht="30" customHeight="1">
      <x:c r="A17" s="5" t="inlineStr">
        <x:is>
          <x:t xml:space="preserve">ER-25</x:t>
        </x:is>
      </x:c>
      <x:c r="B17" s="5" t="inlineStr">
        <x:is>
          <x:t xml:space="preserve">Configuration</x:t>
        </x:is>
      </x:c>
      <x:c r="C17" s="5" t="inlineStr">
        <x:is>
          <x:t xml:space="preserve">[Configuration] Passwords for All In-Scope Production Systems</x:t>
        </x:is>
      </x:c>
      <x:c r="D17" s="5" t="inlineStr">
        <x:is>
          <x:t xml:space="preserve">Security,PCI DSS v4.0 - SAQ-A,PCI DSS v4.0 - ROC - Merchant</x:t>
        </x:is>
      </x:c>
      <x:c r="E17" s="5" t="inlineStr">
        <x:is>
          <x:t xml:space="preserve">REQ-26,10.01d1System.10,A.05.17,A.05.33,A.08.05a,REQ-26-SOC1,REQ-26-HIPAA,8.3.1,8.3.5,8.3.6,8.3.7,8.3.9,8.3.2,REQ-26,10.01d1System.10,A.05.17,A.05.33,A.08.05a,REQ-26-SOC1,REQ-26-HIPAA,8.3.5,8.3.6,8.3.7,8.3.9,8.3.2,REQ-26,10.01d1System.10,A.05.17,A.05.33,A.08.05a,REQ-26-SOC1,REQ-26-HIPAA,8.3.6,REQ-26,10.01d1System.10,A.05.17,A.05.33,A.08.05a,REQ-26-SOC1,REQ-26-HIPAA,8.3.9,REQ-26,10.01d1System.10,A.05.17,A.05.33,A.08.05a,REQ-26-SOC1,REQ-26-HIPAA,8.3.6,REQ-26,10.01d1System.10,A.05.17,A.05.33,A.08.05a,REQ-26-SOC1,REQ-26-HIPAA,8.3.5,8.3.5,8.3.7,8.3.2</x:t>
        </x:is>
      </x:c>
      <x:c r="F17" s="5" t="inlineStr">
        <x:is>
          <x:t xml:space="preserve">SOC 2,HITRUST,ISO 27001/2 (2022),ISO 27001/2 (2022),ISO 27001/2 (2022),SOC 1,HIPAA Security,PCI DSS v4.0,PCI DSS v4.0,PCI DSS v4.0,PCI DSS v4.0,PCI DSS v4.0,PCI DSS v4.0,SOC 2,HITRUST,ISO 27001/2 (2022),ISO 27001/2 (2022),ISO 27001/2 (2022),SOC 1,HIPAA Security,PCI DSS v4.0,PCI DSS v4.0,PCI DSS v4.0,PCI DSS v4.0,PCI DSS v4.0,SOC 2,HITRUST,ISO 27001/2 (2022),ISO 27001/2 (2022),ISO 27001/2 (2022),SOC 1,HIPAA Security,PCI DSS v4.0,SOC 2,HITRUST,ISO 27001/2 (2022),ISO 27001/2 (2022),ISO 27001/2 (2022),SOC 1,HIPAA Security,PCI DSS v4.0,SOC 2,HITRUST,ISO 27001/2 (2022),ISO 27001/2 (2022),ISO 27001/2 (2022),SOC 1,HIPAA Security,PCI DSS v4.0,SOC 2,HITRUST,ISO 27001/2 (2022),ISO 27001/2 (2022),ISO 27001/2 (2022),SOC 1,HIPAA Security,PCI DSS v4.0,PCI DSS v4.0,PCI DSS v4.0,PCI DSS v4.0</x:t>
        </x:is>
      </x:c>
      <x:c r="G17" s="5" t="n">
        <x:v>24</x:v>
      </x:c>
      <x:c r="H17" s="5" t="n">
        <x:v>3</x:v>
      </x:c>
      <x:c r="I17" s="5" t="n">
        <x:v>3</x:v>
      </x:c>
      <x:c r="J17" s="5" t="inlineStr">
        <x:is>
          <x:t xml:space="preserve">Security</x:t>
        </x:is>
      </x:c>
      <x:c r="K17" s="5" t="inlineStr">
        <x:is>
          <x:t xml:space="preserve">PCI DSS v4.0 - SAQ-A</x:t>
        </x:is>
      </x:c>
      <x:c r="L17" s="5" t="n">
        <x:v>60</x:v>
      </x:c>
      <x:c r="M17" s="5" t="n">
        <x:v>13</x:v>
      </x:c>
      <x:c r="N17" s="5" t="inlineStr">
        <x:is>
          <x:t xml:space="preserve">REQ-26</x:t>
        </x:is>
      </x:c>
      <x:c r="O17" s="5" t="inlineStr">
        <x:is>
          <x:t xml:space="preserve">10.01d1System.10</x:t>
        </x:is>
      </x:c>
      <x:c r="P17" s="5" t="inlineStr">
        <x:is>
          <x:t xml:space="preserve">A.05.17</x:t>
        </x:is>
      </x:c>
      <x:c r="Q17" s="5" t="inlineStr">
        <x:is>
          <x:t xml:space="preserve">A.05.33</x:t>
        </x:is>
      </x:c>
      <x:c r="R17" s="5" t="inlineStr">
        <x:is>
          <x:t xml:space="preserve">A.08.05a</x:t>
        </x:is>
      </x:c>
      <x:c r="S17" s="5" t="inlineStr">
        <x:is>
          <x:t xml:space="preserve">REQ-26-SOC1</x:t>
        </x:is>
      </x:c>
      <x:c r="T17" s="5" t="inlineStr">
        <x:is>
          <x:t xml:space="preserve">REQ-26-HIPAA</x:t>
        </x:is>
      </x:c>
      <x:c r="U17" s="5" t="inlineStr">
        <x:is>
          <x:t xml:space="preserve">8.3.1</x:t>
        </x:is>
      </x:c>
      <x:c r="V17" s="5" t="inlineStr">
        <x:is>
          <x:t xml:space="preserve">8.3.5</x:t>
        </x:is>
      </x:c>
      <x:c r="W17" s="5" t="inlineStr">
        <x:is>
          <x:t xml:space="preserve">8.3.6</x:t>
        </x:is>
      </x:c>
      <x:c r="X17" s="5" t="inlineStr">
        <x:is>
          <x:t xml:space="preserve">8.3.7</x:t>
        </x:is>
      </x:c>
      <x:c r="Y17" s="5" t="inlineStr">
        <x:is>
          <x:t xml:space="preserve">8.3.9</x:t>
        </x:is>
      </x:c>
      <x:c r="Z17" s="5" t="inlineStr">
        <x:is>
          <x:t xml:space="preserve">8.3.2</x:t>
        </x:is>
      </x:c>
      <x:c r="AA17" s="5" t="n"/>
      <x:c r="AB17" s="5" t="n"/>
      <x:c r="AC17" s="5" t="n"/>
      <x:c r="AD17" s="5" t="n">
        <x:v>60</x:v>
      </x:c>
      <x:c r="AE17" s="5" t="n">
        <x:v>6</x:v>
      </x:c>
      <x:c r="AF17" s="5" t="inlineStr">
        <x:is>
          <x:t xml:space="preserve">SOC 2</x:t>
        </x:is>
      </x:c>
      <x:c r="AG17" s="5" t="inlineStr">
        <x:is>
          <x:t xml:space="preserve">HITRUST</x:t>
        </x:is>
      </x:c>
      <x:c r="AH17" s="5" t="inlineStr">
        <x:is>
          <x:t xml:space="preserve">ISO 27001/2 (2022)</x:t>
        </x:is>
      </x:c>
      <x:c r="AI17" s="5" t="inlineStr">
        <x:is>
          <x:t xml:space="preserve">SOC 1</x:t>
        </x:is>
      </x:c>
      <x:c r="AJ17" s="5" t="inlineStr">
        <x:is>
          <x:t xml:space="preserve">HIPAA Security</x:t>
        </x:is>
      </x:c>
      <x:c r="AK17" s="5" t="inlineStr">
        <x:is>
          <x:t xml:space="preserve">PCI DSS v4.0</x:t>
        </x:is>
      </x:c>
      <x:c r="AL17" s="28" t="inlineStr">
        <x:is>
          <x:t xml:space="preserve">https://docs.google.com/document/d/1W5FC1d6oqcAnoxBiPHHQMdXo6_EqhnFeiMjXq4_dX9s/edit?usp=sharing</x:t>
        </x:is>
      </x:c>
      <x:c r="AM17" s="5" t="inlineStr">
        <x:is>
          <x:t xml:space="preserve">Local controls deduped from 60 exported tokens to 13 unique button tokens. Frameworks deduped from 60 exported tokens to 6 unique button tokens. Preserved "ISO 27001/2 (2022)" as a single framework token to reflect Thoropass notation that references ISO 27001 together with the related 27002 guidance set.</x:t>
        </x:is>
      </x:c>
      <x:c r="AN17" s="5" t="n"/>
      <x:c r="AO17" s="5" t="n"/>
      <x:c r="AP17" s="5" t="n"/>
      <x:c r="AQ17" s="5" t="n"/>
      <x:c r="AR17" s="5" t="n"/>
      <x:c r="AS17" s="5" t="n"/>
      <x:c r="AT17" s="5" t="n"/>
      <x:c r="AU17" s="5" t="n"/>
      <x:c r="AV17" s="5" t="n"/>
      <x:c r="AW17" s="5" t="inlineStr">
        <x:is>
          <x:t xml:space="preserve">PCI DSS v4.0 - ROC - Merchant</x:t>
        </x:is>
      </x:c>
      <x:c r="AX17" s="5" t="n"/>
      <x:c r="AY17" s="5" t="n"/>
      <x:c r="AZ17" s="5" t="n"/>
      <x:c r="BA17" s="5" t="n"/>
      <x:c r="BB17" s="5" t="n"/>
      <x:c r="BC17" s="5" t="n"/>
      <x:c r="BD17" s="5" t="n"/>
      <x:c r="BE17" s="5" t="n"/>
      <x:c r="BF17" s="5" t="n"/>
      <x:c r="BG17" s="5" t="n"/>
      <x:c r="BH17" s="5" t="n"/>
      <x:c r="BI17" s="5" t="n"/>
      <x:c r="BJ17" s="5" t="n"/>
      <x:c r="BK17" s="5" t="n"/>
      <x:c r="BL17" s="5" t="n"/>
      <x:c r="BM17" s="5" t="n"/>
      <x:c r="BN17" s="5" t="n"/>
      <x:c r="BO17" s="5" t="n"/>
      <x:c r="BP17" s="5" t="n"/>
      <x:c r="BQ17" s="5" t="n"/>
      <x:c r="BR17" s="5" t="n"/>
      <x:c r="BS17" s="5" t="n"/>
      <x:c r="BT17" s="5" t="n"/>
      <x:c r="BU17" s="5" t="n"/>
      <x:c r="BV17" s="5" t="n"/>
      <x:c r="BW17" s="5" t="n"/>
      <x:c r="BX17" s="5" t="n"/>
      <x:c r="BY17" s="5" t="n"/>
      <x:c r="BZ17" s="5" t="n"/>
      <x:c r="CA17" s="5" t="n"/>
      <x:c r="CB17" s="5" t="n"/>
      <x:c r="CC17" s="5" t="n"/>
      <x:c r="CD17" s="5" t="n"/>
      <x:c r="CE17" s="5" t="n"/>
    </x:row>
    <x:row r="18" ht="30" customHeight="1">
      <x:c r="A18" s="5" t="inlineStr">
        <x:is>
          <x:t xml:space="preserve">ER-33</x:t>
        </x:is>
      </x:c>
      <x:c r="B18" s="5" t="inlineStr">
        <x:is>
          <x:t xml:space="preserve">Sample</x:t>
        </x:is>
      </x:c>
      <x:c r="C18" s="5" t="inlineStr">
        <x:is>
          <x:t xml:space="preserve">[Sample] New Hire Security Awareness Training</x:t>
        </x:is>
      </x:c>
      <x:c r="D18" s="5" t="inlineStr">
        <x:is>
          <x:t xml:space="preserve">Security</x:t>
        </x:is>
      </x:c>
      <x:c r="E18" s="5" t="inlineStr">
        <x:is>
          <x:t xml:space="preserve">REQ-12,1308.09j1Organizational.5.a,13998.02e1Organizational.2,A.06.03,13.02e1Organizational.6,REQ-12-SOC1,REQ-12-HIPAA,REQ-12,1308.09j1Organizational.5.a,13998.02e1Organizational.2,A.06.03,13.02e1Organizational.6,REQ-12-SOC1,REQ-12-HIPAA,REQ-12,1308.09j1Organizational.5.a,13998.02e1Organizational.2,A.06.03,REQ-12-SOC1,REQ-12-HIPAA,13.02e1Organizational.6,13.02e1Organizational.6,13.02e1Organizational.6</x:t>
        </x:is>
      </x:c>
      <x:c r="F18" s="5" t="inlineStr">
        <x:is>
          <x:t xml:space="preserve">SOC 2,HITRUST,HITRUST,ISO 27001/2 (2022),HITRUST,SOC 1,HIPAA Security,SOC 2,HITRUST,HITRUST,ISO 27001/2 (2022),HITRUST,SOC 1,HIPAA Security,SOC 2,HITRUST,HITRUST,ISO 27001/2 (2022),SOC 1,HIPAA Security,HITRUST,HITRUST,HITRUST</x:t>
        </x:is>
      </x:c>
      <x:c r="G18" s="5" t="n">
        <x:v>32</x:v>
      </x:c>
      <x:c r="H18" s="5" t="n">
        <x:v>1</x:v>
      </x:c>
      <x:c r="I18" s="5" t="n">
        <x:v>1</x:v>
      </x:c>
      <x:c r="J18" s="5" t="inlineStr">
        <x:is>
          <x:t xml:space="preserve">Security</x:t>
        </x:is>
      </x:c>
      <x:c r="K18" s="5" t="n"/>
      <x:c r="L18" s="5" t="n">
        <x:v>23</x:v>
      </x:c>
      <x:c r="M18" s="5" t="n">
        <x:v>7</x:v>
      </x:c>
      <x:c r="N18" s="5" t="inlineStr">
        <x:is>
          <x:t xml:space="preserve">REQ-12</x:t>
        </x:is>
      </x:c>
      <x:c r="O18" s="5" t="inlineStr">
        <x:is>
          <x:t xml:space="preserve">1308.09j1Organizational.5.a</x:t>
        </x:is>
      </x:c>
      <x:c r="P18" s="5" t="inlineStr">
        <x:is>
          <x:t xml:space="preserve">13998.02e1Organizational.2</x:t>
        </x:is>
      </x:c>
      <x:c r="Q18" s="5" t="inlineStr">
        <x:is>
          <x:t xml:space="preserve">A.06.03</x:t>
        </x:is>
      </x:c>
      <x:c r="R18" s="5" t="inlineStr">
        <x:is>
          <x:t xml:space="preserve">13.02e1Organizational.6</x:t>
        </x:is>
      </x:c>
      <x:c r="S18" s="5" t="inlineStr">
        <x:is>
          <x:t xml:space="preserve">REQ-12-SOC1</x:t>
        </x:is>
      </x:c>
      <x:c r="T18" s="5" t="inlineStr">
        <x:is>
          <x:t xml:space="preserve">REQ-12-HIPAA</x:t>
        </x:is>
      </x:c>
      <x:c r="U18" s="5" t="n"/>
      <x:c r="V18" s="5" t="n"/>
      <x:c r="W18" s="5" t="n"/>
      <x:c r="X18" s="5" t="n"/>
      <x:c r="Y18" s="5" t="n"/>
      <x:c r="Z18" s="5" t="n"/>
      <x:c r="AA18" s="5" t="n"/>
      <x:c r="AB18" s="5" t="n"/>
      <x:c r="AC18" s="5" t="n"/>
      <x:c r="AD18" s="5" t="n">
        <x:v>23</x:v>
      </x:c>
      <x:c r="AE18" s="5" t="n">
        <x:v>5</x:v>
      </x:c>
      <x:c r="AF18" s="5" t="inlineStr">
        <x:is>
          <x:t xml:space="preserve">SOC 2</x:t>
        </x:is>
      </x:c>
      <x:c r="AG18" s="5" t="inlineStr">
        <x:is>
          <x:t xml:space="preserve">HITRUST</x:t>
        </x:is>
      </x:c>
      <x:c r="AH18" s="5" t="inlineStr">
        <x:is>
          <x:t xml:space="preserve">ISO 27001/2 (2022)</x:t>
        </x:is>
      </x:c>
      <x:c r="AI18" s="5" t="inlineStr">
        <x:is>
          <x:t xml:space="preserve">SOC 1</x:t>
        </x:is>
      </x:c>
      <x:c r="AJ18" s="5" t="inlineStr">
        <x:is>
          <x:t xml:space="preserve">HIPAA Security</x:t>
        </x:is>
      </x:c>
      <x:c r="AK18" s="5" t="n"/>
      <x:c r="AL18" s="28" t="inlineStr">
        <x:is>
          <x:t xml:space="preserve">https://docs.google.com/document/d/1W5FC1d6oqcAnoxBiPHHQMdXo6_EqhnFeiMjXq4_dX9s/edit?usp=sharing</x:t>
        </x:is>
      </x:c>
      <x:c r="AM18" s="5" t="inlineStr">
        <x:is>
          <x:t xml:space="preserve">Local controls deduped from 23 exported tokens to 7 unique button tokens. Frameworks deduped from 23 exported tokens to 5 unique button tokens. Preserved "ISO 27001/2 (2022)" as a single framework token to reflect Thoropass notation that references ISO 27001 together with the related 27002 guidance set.</x:t>
        </x:is>
      </x:c>
      <x:c r="AN18" s="5" t="n"/>
      <x:c r="AO18" s="5" t="n"/>
      <x:c r="AP18" s="5" t="n"/>
      <x:c r="AQ18" s="5" t="n"/>
      <x:c r="AR18" s="5" t="n"/>
      <x:c r="AS18" s="5" t="n"/>
      <x:c r="AT18" s="5" t="n"/>
      <x:c r="AU18" s="5" t="n"/>
      <x:c r="AV18" s="5" t="n"/>
      <x:c r="AW18" s="5" t="n"/>
      <x:c r="AX18" s="5" t="n"/>
      <x:c r="AY18" s="5" t="n"/>
      <x:c r="AZ18" s="5" t="n"/>
      <x:c r="BA18" s="5" t="n"/>
      <x:c r="BB18" s="5" t="n"/>
      <x:c r="BC18" s="5" t="n"/>
      <x:c r="BD18" s="5" t="n"/>
      <x:c r="BE18" s="5" t="n"/>
      <x:c r="BF18" s="5" t="n"/>
      <x:c r="BG18" s="5" t="n"/>
      <x:c r="BH18" s="5" t="n"/>
      <x:c r="BI18" s="5" t="n"/>
      <x:c r="BJ18" s="5" t="n"/>
      <x:c r="BK18" s="5" t="n"/>
      <x:c r="BL18" s="5" t="n"/>
      <x:c r="BM18" s="5" t="n"/>
      <x:c r="BN18" s="5" t="n"/>
      <x:c r="BO18" s="5" t="n"/>
      <x:c r="BP18" s="5" t="n"/>
      <x:c r="BQ18" s="5" t="n"/>
      <x:c r="BR18" s="5" t="n"/>
      <x:c r="BS18" s="5" t="n"/>
      <x:c r="BT18" s="5" t="n"/>
      <x:c r="BU18" s="5" t="n"/>
      <x:c r="BV18" s="5" t="n"/>
      <x:c r="BW18" s="5" t="n"/>
      <x:c r="BX18" s="5" t="n"/>
      <x:c r="BY18" s="5" t="n"/>
      <x:c r="BZ18" s="5" t="n"/>
      <x:c r="CA18" s="5" t="n"/>
      <x:c r="CB18" s="5" t="n"/>
      <x:c r="CC18" s="5" t="n"/>
      <x:c r="CD18" s="5" t="n"/>
      <x:c r="CE18" s="5" t="n"/>
    </x:row>
    <x:row r="19" ht="30" customHeight="1">
      <x:c r="A19" s="5" t="inlineStr">
        <x:is>
          <x:t xml:space="preserve">ER-41</x:t>
        </x:is>
      </x:c>
      <x:c r="B19" s="5" t="inlineStr">
        <x:is>
          <x:t xml:space="preserve">Policy</x:t>
        </x:is>
      </x:c>
      <x:c r="C19" s="5" t="inlineStr">
        <x:is>
          <x:t xml:space="preserve">[Policy] Risk Management</x:t>
        </x:is>
      </x:c>
      <x:c r="D19" s="5" t="inlineStr">
        <x:is>
          <x:t xml:space="preserve">Security</x:t>
        </x:is>
      </x:c>
      <x:c r="E19" s="5" t="inlineStr">
        <x:is>
          <x:t xml:space="preserve">REQ-17,REQ-18,REQ-19,REQ-20,1704.03b1Organizational.12,06.01.01,08.01,08.02,REQ-17-SOC1,REQ-18-SOC1,REQ-19-SOC1,REQ-20-SOC1,REQ-17-HIPAA,REQ-20-HIPAA,1701.03a1Organizational.12345678,06.01.02,06.01.03,08.03,REQ-17,REQ-18,REQ-19,REQ-20,1704.03b1Organizational.12,06.01.01,08.01,08.02,REQ-17-SOC1,REQ-18-SOC1,REQ-19-SOC1,REQ-20-SOC1,REQ-17-HIPAA,REQ-20-HIPAA,1701.03a1Organizational.12345678,06.01.02,06.01.03,08.03,REQ-17,REQ-18,REQ-19,REQ-20,1704.03b1Organizational.12,06.01.01,08.01,08.02,REQ-17-SOC1,REQ-18-SOC1,REQ-19-SOC1,REQ-20-SOC1,REQ-17-HIPAA,REQ-20-HIPAA,1701.03a1Organizational.12345678,06.01.02,06.01.03,08.03,REQ-17,REQ-18,REQ-19,REQ-20,1704.03b1Organizational.12,06.01.01,08.01,08.02,REQ-17-SOC1,REQ-18-SOC1,REQ-19-SOC1,REQ-20-SOC1,REQ-17-HIPAA,REQ-20-HIPAA,06.01.02,06.01.03,08.03,REQ-17,REQ-18,REQ-19,REQ-20,1704.03b1Organizational.12,06.01.01,08.01,08.02,REQ-17-SOC1,REQ-18-SOC1,REQ-19-SOC1,REQ-20-SOC1,REQ-17-HIPAA,REQ-20-HIPAA,06.01.02,06.01.03,08.03,1701.03a1Organizational.12345678,1701.03a1Organizational.12345678</x:t>
        </x:is>
      </x:c>
      <x:c r="F19" s="5" t="inlineStr">
        <x:is>
          <x:t xml:space="preserve">SOC 2,SOC 2,SOC 2,SOC 2,HITRUST,ISO 27001/2 (2022),ISO 27001/2 (2022),ISO 27001/2 (2022),SOC 1,SOC 1,SOC 1,SOC 1,HIPAA Security,HIPAA Security,HITRUST,ISO 27001/2 (2022),ISO 27001/2 (2022),ISO 27001/2 (2022),SOC 2,SOC 2,SOC 2,SOC 2,HITRUST,ISO 27001/2 (2022),ISO 27001/2 (2022),ISO 27001/2 (2022),SOC 1,SOC 1,SOC 1,SOC 1,HIPAA Security,HIPAA Security,HITRUST,ISO 27001/2 (2022),ISO 27001/2 (2022),ISO 27001/2 (2022),SOC 2,SOC 2,SOC 2,SOC 2,HITRUST,ISO 27001/2 (2022),ISO 27001/2 (2022),ISO 27001/2 (2022),SOC 1,SOC 1,SOC 1,SOC 1,HIPAA Security,HIPAA Security,HITRUST,ISO 27001/2 (2022),ISO 27001/2 (2022),ISO 27001/2 (2022),SOC 2,SOC 2,SOC 2,SOC 2,HITRUST,ISO 27001/2 (2022),ISO 27001/2 (2022),ISO 27001/2 (2022),SOC 1,SOC 1,SOC 1,SOC 1,HIPAA Security,HIPAA Security,ISO 27001/2 (2022),ISO 27001/2 (2022),ISO 27001/2 (2022),SOC 2,SOC 2,SOC 2,SOC 2,HITRUST,ISO 27001/2 (2022),ISO 27001/2 (2022),ISO 27001/2 (2022),SOC 1,SOC 1,SOC 1,SOC 1,HIPAA Security,HIPAA Security,ISO 27001/2 (2022),ISO 27001/2 (2022),ISO 27001/2 (2022),HITRUST,HITRUST</x:t>
        </x:is>
      </x:c>
      <x:c r="G19" s="5" t="n">
        <x:v>40</x:v>
      </x:c>
      <x:c r="H19" s="5" t="n">
        <x:v>1</x:v>
      </x:c>
      <x:c r="I19" s="5" t="n">
        <x:v>1</x:v>
      </x:c>
      <x:c r="J19" s="5" t="inlineStr">
        <x:is>
          <x:t xml:space="preserve">Security</x:t>
        </x:is>
      </x:c>
      <x:c r="K19" s="5" t="n"/>
      <x:c r="L19" s="5" t="n">
        <x:v>90</x:v>
      </x:c>
      <x:c r="M19" s="5" t="n">
        <x:v>18</x:v>
      </x:c>
      <x:c r="N19" s="5" t="inlineStr">
        <x:is>
          <x:t xml:space="preserve">REQ-17</x:t>
        </x:is>
      </x:c>
      <x:c r="O19" s="5" t="inlineStr">
        <x:is>
          <x:t xml:space="preserve">REQ-18</x:t>
        </x:is>
      </x:c>
      <x:c r="P19" s="5" t="inlineStr">
        <x:is>
          <x:t xml:space="preserve">REQ-19</x:t>
        </x:is>
      </x:c>
      <x:c r="Q19" s="5" t="inlineStr">
        <x:is>
          <x:t xml:space="preserve">REQ-20</x:t>
        </x:is>
      </x:c>
      <x:c r="R19" s="5" t="inlineStr">
        <x:is>
          <x:t xml:space="preserve">1704.03b1Organizational.12</x:t>
        </x:is>
      </x:c>
      <x:c r="S19" s="5" t="inlineStr">
        <x:is>
          <x:t xml:space="preserve">06.01.01</x:t>
        </x:is>
      </x:c>
      <x:c r="T19" s="5" t="inlineStr">
        <x:is>
          <x:t xml:space="preserve">08.01</x:t>
        </x:is>
      </x:c>
      <x:c r="U19" s="5" t="inlineStr">
        <x:is>
          <x:t xml:space="preserve">08.02</x:t>
        </x:is>
      </x:c>
      <x:c r="V19" s="5" t="inlineStr">
        <x:is>
          <x:t xml:space="preserve">REQ-17-SOC1</x:t>
        </x:is>
      </x:c>
      <x:c r="W19" s="5" t="inlineStr">
        <x:is>
          <x:t xml:space="preserve">REQ-18-SOC1</x:t>
        </x:is>
      </x:c>
      <x:c r="X19" s="5" t="inlineStr">
        <x:is>
          <x:t xml:space="preserve">REQ-19-SOC1</x:t>
        </x:is>
      </x:c>
      <x:c r="Y19" s="5" t="inlineStr">
        <x:is>
          <x:t xml:space="preserve">REQ-20-SOC1</x:t>
        </x:is>
      </x:c>
      <x:c r="Z19" s="5" t="inlineStr">
        <x:is>
          <x:t xml:space="preserve">REQ-17-HIPAA</x:t>
        </x:is>
      </x:c>
      <x:c r="AA19" s="5" t="inlineStr">
        <x:is>
          <x:t xml:space="preserve">REQ-20-HIPAA</x:t>
        </x:is>
      </x:c>
      <x:c r="AB19" s="5" t="inlineStr">
        <x:is>
          <x:t xml:space="preserve">1701.03a1Organizational.12345678</x:t>
        </x:is>
      </x:c>
      <x:c r="AC19" s="5" t="inlineStr">
        <x:is>
          <x:t xml:space="preserve">06.01.02</x:t>
        </x:is>
      </x:c>
      <x:c r="AD19" s="5" t="n">
        <x:v>90</x:v>
      </x:c>
      <x:c r="AE19" s="5" t="n">
        <x:v>5</x:v>
      </x:c>
      <x:c r="AF19" s="5" t="inlineStr">
        <x:is>
          <x:t xml:space="preserve">SOC 2</x:t>
        </x:is>
      </x:c>
      <x:c r="AG19" s="5" t="inlineStr">
        <x:is>
          <x:t xml:space="preserve">HITRUST</x:t>
        </x:is>
      </x:c>
      <x:c r="AH19" s="5" t="inlineStr">
        <x:is>
          <x:t xml:space="preserve">ISO 27001/2 (2022)</x:t>
        </x:is>
      </x:c>
      <x:c r="AI19" s="5" t="inlineStr">
        <x:is>
          <x:t xml:space="preserve">SOC 1</x:t>
        </x:is>
      </x:c>
      <x:c r="AJ19" s="5" t="inlineStr">
        <x:is>
          <x:t xml:space="preserve">HIPAA Security</x:t>
        </x:is>
      </x:c>
      <x:c r="AK19" s="5" t="n"/>
      <x:c r="AL19" s="28" t="inlineStr">
        <x:is>
          <x:t xml:space="preserve">https://docs.google.com/document/d/1W5FC1d6oqcAnoxBiPHHQMdXo6_EqhnFeiMjXq4_dX9s/edit?usp=sharing</x:t>
        </x:is>
      </x:c>
      <x:c r="AM19" s="5" t="inlineStr">
        <x:is>
          <x:t xml:space="preserve">Local controls deduped from 90 exported tokens to 18 unique button tokens. Frameworks deduped from 90 exported tokens to 5 unique button tokens. Preserved "ISO 27001/2 (2022)" as a single framework token to reflect Thoropass notation that references ISO 27001 together with the related 27002 guidance set.</x:t>
        </x:is>
      </x:c>
      <x:c r="AN19" s="5" t="inlineStr">
        <x:is>
          <x:t xml:space="preserve">06.01.03</x:t>
        </x:is>
      </x:c>
      <x:c r="AO19" s="5" t="inlineStr">
        <x:is>
          <x:t xml:space="preserve">08.03</x:t>
        </x:is>
      </x:c>
      <x:c r="AP19" s="5" t="n"/>
      <x:c r="AQ19" s="5" t="n"/>
      <x:c r="AR19" s="5" t="n"/>
      <x:c r="AS19" s="5" t="n"/>
      <x:c r="AT19" s="5" t="n"/>
      <x:c r="AU19" s="5" t="n"/>
      <x:c r="AV19" s="5" t="n"/>
      <x:c r="AW19" s="5" t="n"/>
      <x:c r="AX19" s="5" t="n"/>
      <x:c r="AY19" s="5" t="n"/>
      <x:c r="AZ19" s="5" t="n"/>
      <x:c r="BA19" s="5" t="n"/>
      <x:c r="BB19" s="5" t="n"/>
      <x:c r="BC19" s="5" t="n"/>
      <x:c r="BD19" s="5" t="n"/>
      <x:c r="BE19" s="5" t="n"/>
      <x:c r="BF19" s="5" t="n"/>
      <x:c r="BG19" s="5" t="n"/>
      <x:c r="BH19" s="5" t="n"/>
      <x:c r="BI19" s="5" t="n"/>
      <x:c r="BJ19" s="5" t="n"/>
      <x:c r="BK19" s="5" t="n"/>
      <x:c r="BL19" s="5" t="n"/>
      <x:c r="BM19" s="5" t="n"/>
      <x:c r="BN19" s="5" t="n"/>
      <x:c r="BO19" s="5" t="n"/>
      <x:c r="BP19" s="5" t="n"/>
      <x:c r="BQ19" s="5" t="n"/>
      <x:c r="BR19" s="5" t="n"/>
      <x:c r="BS19" s="5" t="n"/>
      <x:c r="BT19" s="5" t="n"/>
      <x:c r="BU19" s="5" t="n"/>
      <x:c r="BV19" s="5" t="n"/>
      <x:c r="BW19" s="5" t="n"/>
      <x:c r="BX19" s="5" t="n"/>
      <x:c r="BY19" s="5" t="n"/>
      <x:c r="BZ19" s="5" t="n"/>
      <x:c r="CA19" s="5" t="n"/>
      <x:c r="CB19" s="5" t="n"/>
      <x:c r="CC19" s="5" t="n"/>
      <x:c r="CD19" s="5" t="n"/>
      <x:c r="CE19" s="5" t="n"/>
    </x:row>
    <x:row r="20" ht="30" customHeight="1">
      <x:c r="A20" s="5" t="inlineStr">
        <x:is>
          <x:t xml:space="preserve">ER-45</x:t>
        </x:is>
      </x:c>
      <x:c r="B20" s="5" t="inlineStr">
        <x:is>
          <x:t xml:space="preserve">Configuration</x:t>
        </x:is>
      </x:c>
      <x:c r="C20" s="5" t="inlineStr">
        <x:is>
          <x:t xml:space="preserve">[Configuration] Operational Software Version</x:t>
        </x:is>
      </x:c>
      <x:c r="D20" s="5" t="n"/>
      <x:c r="E20" s="5" t="inlineStr">
        <x:is>
          <x:t xml:space="preserve">0627.10h1System.45.a,0627.10h1System.45.a,0627.10h1System.45.a</x:t>
        </x:is>
      </x:c>
      <x:c r="F20" s="5" t="inlineStr">
        <x:is>
          <x:t xml:space="preserve">HITRUST,HITRUST,HITRUST</x:t>
        </x:is>
      </x:c>
      <x:c r="G20" s="5" t="n">
        <x:v>44</x:v>
      </x:c>
      <x:c r="H20" s="5" t="n">
        <x:v>0</x:v>
      </x:c>
      <x:c r="I20" s="5" t="n">
        <x:v>0</x:v>
      </x:c>
      <x:c r="J20" s="5" t="n"/>
      <x:c r="K20" s="5" t="n"/>
      <x:c r="L20" s="5" t="n">
        <x:v>3</x:v>
      </x:c>
      <x:c r="M20" s="5" t="n">
        <x:v>1</x:v>
      </x:c>
      <x:c r="N20" s="5" t="inlineStr">
        <x:is>
          <x:t xml:space="preserve">0627.10h1System.45.a</x:t>
        </x:is>
      </x:c>
      <x:c r="O20" s="5" t="n"/>
      <x:c r="P20" s="5" t="n"/>
      <x:c r="Q20" s="5" t="n"/>
      <x:c r="R20" s="5" t="n"/>
      <x:c r="S20" s="5" t="n"/>
      <x:c r="T20" s="5" t="n"/>
      <x:c r="U20" s="5" t="n"/>
      <x:c r="V20" s="5" t="n"/>
      <x:c r="W20" s="5" t="n"/>
      <x:c r="X20" s="5" t="n"/>
      <x:c r="Y20" s="5" t="n"/>
      <x:c r="Z20" s="5" t="n"/>
      <x:c r="AA20" s="5" t="n"/>
      <x:c r="AB20" s="5" t="n"/>
      <x:c r="AC20" s="5" t="n"/>
      <x:c r="AD20" s="5" t="n">
        <x:v>3</x:v>
      </x:c>
      <x:c r="AE20" s="5" t="n">
        <x:v>1</x:v>
      </x:c>
      <x:c r="AF20" s="5" t="inlineStr">
        <x:is>
          <x:t xml:space="preserve">HITRUST</x:t>
        </x:is>
      </x:c>
      <x:c r="AG20" s="5" t="n"/>
      <x:c r="AH20" s="5" t="n"/>
      <x:c r="AI20" s="5" t="n"/>
      <x:c r="AJ20" s="5" t="n"/>
      <x:c r="AK20" s="5" t="n"/>
      <x:c r="AL20" s="28" t="inlineStr">
        <x:is>
          <x:t xml:space="preserve">https://docs.google.com/document/d/1W5FC1d6oqcAnoxBiPHHQMdXo6_EqhnFeiMjXq4_dX9s/edit?usp=sharing</x:t>
        </x:is>
      </x:c>
      <x:c r="AM20" s="5" t="inlineStr">
        <x:is>
          <x:t xml:space="preserve">Local controls deduped from 3 exported tokens to 1 unique button tokens. Frameworks deduped from 3 exported tokens to 1 unique button tokens.</x:t>
        </x:is>
      </x:c>
      <x:c r="AN20" s="5" t="n"/>
      <x:c r="AO20" s="5" t="n"/>
      <x:c r="AP20" s="5" t="n"/>
      <x:c r="AQ20" s="5" t="n"/>
      <x:c r="AR20" s="5" t="n"/>
      <x:c r="AS20" s="5" t="n"/>
      <x:c r="AT20" s="5" t="n"/>
      <x:c r="AU20" s="5" t="n"/>
      <x:c r="AV20" s="5" t="n"/>
      <x:c r="AW20" s="5" t="n"/>
      <x:c r="AX20" s="5" t="n"/>
      <x:c r="AY20" s="5" t="n"/>
      <x:c r="AZ20" s="5" t="n"/>
      <x:c r="BA20" s="5" t="n"/>
      <x:c r="BB20" s="5" t="n"/>
      <x:c r="BC20" s="5" t="n"/>
      <x:c r="BD20" s="5" t="n"/>
      <x:c r="BE20" s="5" t="n"/>
      <x:c r="BF20" s="5" t="n"/>
      <x:c r="BG20" s="5" t="n"/>
      <x:c r="BH20" s="5" t="n"/>
      <x:c r="BI20" s="5" t="n"/>
      <x:c r="BJ20" s="5" t="n"/>
      <x:c r="BK20" s="5" t="n"/>
      <x:c r="BL20" s="5" t="n"/>
      <x:c r="BM20" s="5" t="n"/>
      <x:c r="BN20" s="5" t="n"/>
      <x:c r="BO20" s="5" t="n"/>
      <x:c r="BP20" s="5" t="n"/>
      <x:c r="BQ20" s="5" t="n"/>
      <x:c r="BR20" s="5" t="n"/>
      <x:c r="BS20" s="5" t="n"/>
      <x:c r="BT20" s="5" t="n"/>
      <x:c r="BU20" s="5" t="n"/>
      <x:c r="BV20" s="5" t="n"/>
      <x:c r="BW20" s="5" t="n"/>
      <x:c r="BX20" s="5" t="n"/>
      <x:c r="BY20" s="5" t="n"/>
      <x:c r="BZ20" s="5" t="n"/>
      <x:c r="CA20" s="5" t="n"/>
      <x:c r="CB20" s="5" t="n"/>
      <x:c r="CC20" s="5" t="n"/>
      <x:c r="CD20" s="5" t="n"/>
      <x:c r="CE20" s="5" t="n"/>
    </x:row>
    <x:row r="21" ht="30" customHeight="1">
      <x:c r="A21" s="5" t="inlineStr">
        <x:is>
          <x:t xml:space="preserve">ER-46</x:t>
        </x:is>
      </x:c>
      <x:c r="B21" s="5" t="inlineStr">
        <x:is>
          <x:t xml:space="preserve">Sample</x:t>
        </x:is>
      </x:c>
      <x:c r="C21" s="5" t="inlineStr">
        <x:is>
          <x:t xml:space="preserve">[Sample] Information System Baseline Configurations</x:t>
        </x:is>
      </x:c>
      <x:c r="D21" s="5" t="n"/>
      <x:c r="E21" s="5" t="inlineStr">
        <x:is>
          <x:t xml:space="preserve">0627.10h1System.45.a,0627.10h1System.45.a,0627.10h1System.45.a</x:t>
        </x:is>
      </x:c>
      <x:c r="F21" s="5" t="inlineStr">
        <x:is>
          <x:t xml:space="preserve">HITRUST,HITRUST,HITRUST</x:t>
        </x:is>
      </x:c>
      <x:c r="G21" s="5" t="n">
        <x:v>45</x:v>
      </x:c>
      <x:c r="H21" s="5" t="n">
        <x:v>0</x:v>
      </x:c>
      <x:c r="I21" s="5" t="n">
        <x:v>0</x:v>
      </x:c>
      <x:c r="J21" s="5" t="n"/>
      <x:c r="K21" s="5" t="n"/>
      <x:c r="L21" s="5" t="n">
        <x:v>3</x:v>
      </x:c>
      <x:c r="M21" s="5" t="n">
        <x:v>1</x:v>
      </x:c>
      <x:c r="N21" s="5" t="inlineStr">
        <x:is>
          <x:t xml:space="preserve">0627.10h1System.45.a</x:t>
        </x:is>
      </x:c>
      <x:c r="O21" s="5" t="n"/>
      <x:c r="P21" s="5" t="n"/>
      <x:c r="Q21" s="5" t="n"/>
      <x:c r="R21" s="5" t="n"/>
      <x:c r="S21" s="5" t="n"/>
      <x:c r="T21" s="5" t="n"/>
      <x:c r="U21" s="5" t="n"/>
      <x:c r="V21" s="5" t="n"/>
      <x:c r="W21" s="5" t="n"/>
      <x:c r="X21" s="5" t="n"/>
      <x:c r="Y21" s="5" t="n"/>
      <x:c r="Z21" s="5" t="n"/>
      <x:c r="AA21" s="5" t="n"/>
      <x:c r="AB21" s="5" t="n"/>
      <x:c r="AC21" s="5" t="n"/>
      <x:c r="AD21" s="5" t="n">
        <x:v>3</x:v>
      </x:c>
      <x:c r="AE21" s="5" t="n">
        <x:v>1</x:v>
      </x:c>
      <x:c r="AF21" s="5" t="inlineStr">
        <x:is>
          <x:t xml:space="preserve">HITRUST</x:t>
        </x:is>
      </x:c>
      <x:c r="AG21" s="5" t="n"/>
      <x:c r="AH21" s="5" t="n"/>
      <x:c r="AI21" s="5" t="n"/>
      <x:c r="AJ21" s="5" t="n"/>
      <x:c r="AK21" s="5" t="n"/>
      <x:c r="AL21" s="28" t="inlineStr">
        <x:is>
          <x:t xml:space="preserve">https://docs.google.com/document/d/1W5FC1d6oqcAnoxBiPHHQMdXo6_EqhnFeiMjXq4_dX9s/edit?usp=sharing</x:t>
        </x:is>
      </x:c>
      <x:c r="AM21" s="5" t="inlineStr">
        <x:is>
          <x:t xml:space="preserve">Local controls deduped from 3 exported tokens to 1 unique button tokens. Frameworks deduped from 3 exported tokens to 1 unique button tokens.</x:t>
        </x:is>
      </x:c>
      <x:c r="AN21" s="5" t="n"/>
      <x:c r="AO21" s="5" t="n"/>
      <x:c r="AP21" s="5" t="n"/>
      <x:c r="AQ21" s="5" t="n"/>
      <x:c r="AR21" s="5" t="n"/>
      <x:c r="AS21" s="5" t="n"/>
      <x:c r="AT21" s="5" t="n"/>
      <x:c r="AU21" s="5" t="n"/>
      <x:c r="AV21" s="5" t="n"/>
      <x:c r="AW21" s="5" t="n"/>
      <x:c r="AX21" s="5" t="n"/>
      <x:c r="AY21" s="5" t="n"/>
      <x:c r="AZ21" s="5" t="n"/>
      <x:c r="BA21" s="5" t="n"/>
      <x:c r="BB21" s="5" t="n"/>
      <x:c r="BC21" s="5" t="n"/>
      <x:c r="BD21" s="5" t="n"/>
      <x:c r="BE21" s="5" t="n"/>
      <x:c r="BF21" s="5" t="n"/>
      <x:c r="BG21" s="5" t="n"/>
      <x:c r="BH21" s="5" t="n"/>
      <x:c r="BI21" s="5" t="n"/>
      <x:c r="BJ21" s="5" t="n"/>
      <x:c r="BK21" s="5" t="n"/>
      <x:c r="BL21" s="5" t="n"/>
      <x:c r="BM21" s="5" t="n"/>
      <x:c r="BN21" s="5" t="n"/>
      <x:c r="BO21" s="5" t="n"/>
      <x:c r="BP21" s="5" t="n"/>
      <x:c r="BQ21" s="5" t="n"/>
      <x:c r="BR21" s="5" t="n"/>
      <x:c r="BS21" s="5" t="n"/>
      <x:c r="BT21" s="5" t="n"/>
      <x:c r="BU21" s="5" t="n"/>
      <x:c r="BV21" s="5" t="n"/>
      <x:c r="BW21" s="5" t="n"/>
      <x:c r="BX21" s="5" t="n"/>
      <x:c r="BY21" s="5" t="n"/>
      <x:c r="BZ21" s="5" t="n"/>
      <x:c r="CA21" s="5" t="n"/>
      <x:c r="CB21" s="5" t="n"/>
      <x:c r="CC21" s="5" t="n"/>
      <x:c r="CD21" s="5" t="n"/>
      <x:c r="CE21" s="5" t="n"/>
    </x:row>
    <x:row r="22" ht="30" customHeight="1">
      <x:c r="A22" s="5" t="inlineStr">
        <x:is>
          <x:t xml:space="preserve">ER-53</x:t>
        </x:is>
      </x:c>
      <x:c r="B22" s="5" t="inlineStr">
        <x:is>
          <x:t xml:space="preserve">Sample</x:t>
        </x:is>
      </x:c>
      <x:c r="C22" s="5" t="inlineStr">
        <x:is>
          <x:t xml:space="preserve">[Sample] Evidence of Vulnerability Scan Results</x:t>
        </x:is>
      </x:c>
      <x:c r="D22" s="5" t="inlineStr">
        <x:is>
          <x:t xml:space="preserve">Security,PCI DSS v4.0 - SAQ-A</x:t>
        </x:is>
      </x:c>
      <x:c r="E22" s="5" t="inlineStr">
        <x:is>
          <x:t xml:space="preserve">REQ-46,REQ-47,07.10m1Organizational.3,A.08.07,A.08.08a,REQ-46-SOC1,REQ-47-SOC1,REQ-46-HIPAA,REQ-47-HIPAA,11.3.1.3,11.3.2,REQ-46,REQ-47,A.08.07,A.08.08a,REQ-46-SOC1,REQ-47-SOC1,REQ-46-HIPAA,REQ-47-HIPAA,07.10m1Organizational.3,11.3.1.3,11.3.2,11.3.1.3,11.3.2,07.10m1Organizational.3,REQ-46,REQ-47,A.08.07,A.08.08a,REQ-46-SOC1,REQ-47-SOC1,REQ-46-HIPAA,REQ-47-HIPAA</x:t>
        </x:is>
      </x:c>
      <x:c r="F22" s="5" t="inlineStr">
        <x:is>
          <x:t xml:space="preserve">SOC 2,SOC 2,HITRUST,ISO 27001/2 (2022),ISO 27001/2 (2022),SOC 1,SOC 1,HIPAA Security,HIPAA Security,PCI DSS v4.0,PCI DSS v4.0,SOC 2,SOC 2,ISO 27001/2 (2022),ISO 27001/2 (2022),SOC 1,SOC 1,HIPAA Security,HIPAA Security,HITRUST,PCI DSS v4.0,PCI DSS v4.0,PCI DSS v4.0,PCI DSS v4.0,HITRUST,SOC 2,SOC 2,ISO 27001/2 (2022),ISO 27001/2 (2022),SOC 1,SOC 1,HIPAA Security,HIPAA Security</x:t>
        </x:is>
      </x:c>
      <x:c r="G22" s="5" t="n">
        <x:v>52</x:v>
      </x:c>
      <x:c r="H22" s="5" t="n">
        <x:v>2</x:v>
      </x:c>
      <x:c r="I22" s="5" t="n">
        <x:v>2</x:v>
      </x:c>
      <x:c r="J22" s="5" t="inlineStr">
        <x:is>
          <x:t xml:space="preserve">Security</x:t>
        </x:is>
      </x:c>
      <x:c r="K22" s="5" t="inlineStr">
        <x:is>
          <x:t xml:space="preserve">PCI DSS v4.0 - SAQ-A</x:t>
        </x:is>
      </x:c>
      <x:c r="L22" s="5" t="n">
        <x:v>33</x:v>
      </x:c>
      <x:c r="M22" s="5" t="n">
        <x:v>11</x:v>
      </x:c>
      <x:c r="N22" s="5" t="inlineStr">
        <x:is>
          <x:t xml:space="preserve">REQ-46</x:t>
        </x:is>
      </x:c>
      <x:c r="O22" s="5" t="inlineStr">
        <x:is>
          <x:t xml:space="preserve">REQ-47</x:t>
        </x:is>
      </x:c>
      <x:c r="P22" s="5" t="inlineStr">
        <x:is>
          <x:t xml:space="preserve">07.10m1Organizational.3</x:t>
        </x:is>
      </x:c>
      <x:c r="Q22" s="5" t="inlineStr">
        <x:is>
          <x:t xml:space="preserve">A.08.07</x:t>
        </x:is>
      </x:c>
      <x:c r="R22" s="5" t="inlineStr">
        <x:is>
          <x:t xml:space="preserve">A.08.08a</x:t>
        </x:is>
      </x:c>
      <x:c r="S22" s="5" t="inlineStr">
        <x:is>
          <x:t xml:space="preserve">REQ-46-SOC1</x:t>
        </x:is>
      </x:c>
      <x:c r="T22" s="5" t="inlineStr">
        <x:is>
          <x:t xml:space="preserve">REQ-47-SOC1</x:t>
        </x:is>
      </x:c>
      <x:c r="U22" s="5" t="inlineStr">
        <x:is>
          <x:t xml:space="preserve">REQ-46-HIPAA</x:t>
        </x:is>
      </x:c>
      <x:c r="V22" s="5" t="inlineStr">
        <x:is>
          <x:t xml:space="preserve">REQ-47-HIPAA</x:t>
        </x:is>
      </x:c>
      <x:c r="W22" s="5" t="inlineStr">
        <x:is>
          <x:t xml:space="preserve">11.3.1.3</x:t>
        </x:is>
      </x:c>
      <x:c r="X22" s="5" t="inlineStr">
        <x:is>
          <x:t xml:space="preserve">11.3.2</x:t>
        </x:is>
      </x:c>
      <x:c r="Y22" s="5" t="n"/>
      <x:c r="Z22" s="5" t="n"/>
      <x:c r="AA22" s="5" t="n"/>
      <x:c r="AB22" s="5" t="n"/>
      <x:c r="AC22" s="5" t="n"/>
      <x:c r="AD22" s="5" t="n">
        <x:v>33</x:v>
      </x:c>
      <x:c r="AE22" s="5" t="n">
        <x:v>6</x:v>
      </x:c>
      <x:c r="AF22" s="5" t="inlineStr">
        <x:is>
          <x:t xml:space="preserve">SOC 2</x:t>
        </x:is>
      </x:c>
      <x:c r="AG22" s="5" t="inlineStr">
        <x:is>
          <x:t xml:space="preserve">HITRUST</x:t>
        </x:is>
      </x:c>
      <x:c r="AH22" s="5" t="inlineStr">
        <x:is>
          <x:t xml:space="preserve">ISO 27001/2 (2022)</x:t>
        </x:is>
      </x:c>
      <x:c r="AI22" s="5" t="inlineStr">
        <x:is>
          <x:t xml:space="preserve">SOC 1</x:t>
        </x:is>
      </x:c>
      <x:c r="AJ22" s="5" t="inlineStr">
        <x:is>
          <x:t xml:space="preserve">HIPAA Security</x:t>
        </x:is>
      </x:c>
      <x:c r="AK22" s="5" t="inlineStr">
        <x:is>
          <x:t xml:space="preserve">PCI DSS v4.0</x:t>
        </x:is>
      </x:c>
      <x:c r="AL22" s="28" t="inlineStr">
        <x:is>
          <x:t xml:space="preserve">https://docs.google.com/document/d/1W5FC1d6oqcAnoxBiPHHQMdXo6_EqhnFeiMjXq4_dX9s/edit?usp=sharing</x:t>
        </x:is>
      </x:c>
      <x:c r="AM22" s="5" t="inlineStr">
        <x:is>
          <x:t xml:space="preserve">Local controls deduped from 33 exported tokens to 11 unique button tokens. Frameworks deduped from 33 exported tokens to 6 unique button tokens. Preserved "ISO 27001/2 (2022)" as a single framework token to reflect Thoropass notation that references ISO 27001 together with the related 27002 guidance set.</x:t>
        </x:is>
      </x:c>
      <x:c r="AN22" s="5" t="n"/>
      <x:c r="AO22" s="5" t="n"/>
      <x:c r="AP22" s="5" t="n"/>
      <x:c r="AQ22" s="5" t="n"/>
      <x:c r="AR22" s="5" t="n"/>
      <x:c r="AS22" s="5" t="n"/>
      <x:c r="AT22" s="5" t="n"/>
      <x:c r="AU22" s="5" t="n"/>
      <x:c r="AV22" s="5" t="n"/>
      <x:c r="AW22" s="5" t="n"/>
      <x:c r="AX22" s="5" t="n"/>
      <x:c r="AY22" s="5" t="n"/>
      <x:c r="AZ22" s="5" t="n"/>
      <x:c r="BA22" s="5" t="n"/>
      <x:c r="BB22" s="5" t="n"/>
      <x:c r="BC22" s="5" t="n"/>
      <x:c r="BD22" s="5" t="n"/>
      <x:c r="BE22" s="5" t="n"/>
      <x:c r="BF22" s="5" t="n"/>
      <x:c r="BG22" s="5" t="n"/>
      <x:c r="BH22" s="5" t="n"/>
      <x:c r="BI22" s="5" t="n"/>
      <x:c r="BJ22" s="5" t="n"/>
      <x:c r="BK22" s="5" t="n"/>
      <x:c r="BL22" s="5" t="n"/>
      <x:c r="BM22" s="5" t="n"/>
      <x:c r="BN22" s="5" t="n"/>
      <x:c r="BO22" s="5" t="n"/>
      <x:c r="BP22" s="5" t="n"/>
      <x:c r="BQ22" s="5" t="n"/>
      <x:c r="BR22" s="5" t="n"/>
      <x:c r="BS22" s="5" t="n"/>
      <x:c r="BT22" s="5" t="n"/>
      <x:c r="BU22" s="5" t="n"/>
      <x:c r="BV22" s="5" t="n"/>
      <x:c r="BW22" s="5" t="n"/>
      <x:c r="BX22" s="5" t="n"/>
      <x:c r="BY22" s="5" t="n"/>
      <x:c r="BZ22" s="5" t="n"/>
      <x:c r="CA22" s="5" t="n"/>
      <x:c r="CB22" s="5" t="n"/>
      <x:c r="CC22" s="5" t="n"/>
      <x:c r="CD22" s="5" t="n"/>
      <x:c r="CE22" s="5" t="n"/>
    </x:row>
    <x:row r="23" ht="30" customHeight="1">
      <x:c r="A23" s="5" t="inlineStr">
        <x:is>
          <x:t xml:space="preserve">ER-55</x:t>
        </x:is>
      </x:c>
      <x:c r="B23" s="5" t="inlineStr">
        <x:is>
          <x:t xml:space="preserve">Policy</x:t>
        </x:is>
      </x:c>
      <x:c r="C23" s="5" t="inlineStr">
        <x:is>
          <x:t xml:space="preserve">[Policy] Incident Response</x:t>
        </x:is>
      </x:c>
      <x:c r="D23" s="5" t="inlineStr">
        <x:is>
          <x:t xml:space="preserve">Security,PCI DSS v4.0 - SAQ-A</x:t>
        </x:is>
      </x:c>
      <x:c r="E23" s="5" t="inlineStr">
        <x:is>
          <x:t xml:space="preserve">REQ-49,1561.11c1Organizational.4,A.05.24a,A.05.26,A.05.27,A.05.28,REQ-49-SOC1,REQ-48,REQ-48-SOC1,A.05.25,REQ-48-HIPAA,REQ-49-HIPAA,1589.11c1Organizational.5,12.10.1,REQ-49,1561.11c1Organizational.4,A.05.24a,A.05.26,A.05.27,A.05.28,REQ-49-SOC1,REQ-48,REQ-48-SOC1,A.05.25,REQ-48-HIPAA,REQ-49-HIPAA,1589.11c1Organizational.5,12.10.1,REQ-49,1561.11c1Organizational.4,A.05.24a,A.05.26,A.05.27,A.05.28,REQ-49-SOC1,REQ-48,REQ-48-SOC1,A.05.25,REQ-48-HIPAA,REQ-49-HIPAA,1589.11c1Organizational.5,12.10.1,12.10.1</x:t>
        </x:is>
      </x:c>
      <x:c r="F23" s="5" t="inlineStr">
        <x:is>
          <x:t xml:space="preserve">SOC 2,HITRUST,ISO 27001/2 (2022),ISO 27001/2 (2022),ISO 27001/2 (2022),ISO 27001/2 (2022),SOC 1,SOC 2,SOC 1,ISO 27001/2 (2022),HIPAA Security,HIPAA Security,HITRUST,PCI DSS v4.0,SOC 2,HITRUST,ISO 27001/2 (2022),ISO 27001/2 (2022),ISO 27001/2 (2022),ISO 27001/2 (2022),SOC 1,SOC 2,SOC 1,ISO 27001/2 (2022),HIPAA Security,HIPAA Security,HITRUST,PCI DSS v4.0,SOC 2,HITRUST,ISO 27001/2 (2022),ISO 27001/2 (2022),ISO 27001/2 (2022),ISO 27001/2 (2022),SOC 1,SOC 2,SOC 1,ISO 27001/2 (2022),HIPAA Security,HIPAA Security,HITRUST,PCI DSS v4.0,PCI DSS v4.0</x:t>
        </x:is>
      </x:c>
      <x:c r="G23" s="5" t="n">
        <x:v>54</x:v>
      </x:c>
      <x:c r="H23" s="5" t="n">
        <x:v>2</x:v>
      </x:c>
      <x:c r="I23" s="5" t="n">
        <x:v>2</x:v>
      </x:c>
      <x:c r="J23" s="5" t="inlineStr">
        <x:is>
          <x:t xml:space="preserve">Security</x:t>
        </x:is>
      </x:c>
      <x:c r="K23" s="5" t="inlineStr">
        <x:is>
          <x:t xml:space="preserve">PCI DSS v4.0 - SAQ-A</x:t>
        </x:is>
      </x:c>
      <x:c r="L23" s="5" t="n">
        <x:v>43</x:v>
      </x:c>
      <x:c r="M23" s="5" t="n">
        <x:v>14</x:v>
      </x:c>
      <x:c r="N23" s="5" t="inlineStr">
        <x:is>
          <x:t xml:space="preserve">REQ-49</x:t>
        </x:is>
      </x:c>
      <x:c r="O23" s="5" t="inlineStr">
        <x:is>
          <x:t xml:space="preserve">1561.11c1Organizational.4</x:t>
        </x:is>
      </x:c>
      <x:c r="P23" s="5" t="inlineStr">
        <x:is>
          <x:t xml:space="preserve">A.05.24a</x:t>
        </x:is>
      </x:c>
      <x:c r="Q23" s="5" t="inlineStr">
        <x:is>
          <x:t xml:space="preserve">A.05.26</x:t>
        </x:is>
      </x:c>
      <x:c r="R23" s="5" t="inlineStr">
        <x:is>
          <x:t xml:space="preserve">A.05.27</x:t>
        </x:is>
      </x:c>
      <x:c r="S23" s="5" t="inlineStr">
        <x:is>
          <x:t xml:space="preserve">A.05.28</x:t>
        </x:is>
      </x:c>
      <x:c r="T23" s="5" t="inlineStr">
        <x:is>
          <x:t xml:space="preserve">REQ-49-SOC1</x:t>
        </x:is>
      </x:c>
      <x:c r="U23" s="5" t="inlineStr">
        <x:is>
          <x:t xml:space="preserve">REQ-48</x:t>
        </x:is>
      </x:c>
      <x:c r="V23" s="5" t="inlineStr">
        <x:is>
          <x:t xml:space="preserve">REQ-48-SOC1</x:t>
        </x:is>
      </x:c>
      <x:c r="W23" s="5" t="inlineStr">
        <x:is>
          <x:t xml:space="preserve">A.05.25</x:t>
        </x:is>
      </x:c>
      <x:c r="X23" s="5" t="inlineStr">
        <x:is>
          <x:t xml:space="preserve">REQ-48-HIPAA</x:t>
        </x:is>
      </x:c>
      <x:c r="Y23" s="5" t="inlineStr">
        <x:is>
          <x:t xml:space="preserve">REQ-49-HIPAA</x:t>
        </x:is>
      </x:c>
      <x:c r="Z23" s="5" t="inlineStr">
        <x:is>
          <x:t xml:space="preserve">1589.11c1Organizational.5</x:t>
        </x:is>
      </x:c>
      <x:c r="AA23" s="5" t="inlineStr">
        <x:is>
          <x:t xml:space="preserve">12.10.1</x:t>
        </x:is>
      </x:c>
      <x:c r="AB23" s="5" t="n"/>
      <x:c r="AC23" s="5" t="n"/>
      <x:c r="AD23" s="5" t="n">
        <x:v>43</x:v>
      </x:c>
      <x:c r="AE23" s="5" t="n">
        <x:v>6</x:v>
      </x:c>
      <x:c r="AF23" s="5" t="inlineStr">
        <x:is>
          <x:t xml:space="preserve">SOC 2</x:t>
        </x:is>
      </x:c>
      <x:c r="AG23" s="5" t="inlineStr">
        <x:is>
          <x:t xml:space="preserve">HITRUST</x:t>
        </x:is>
      </x:c>
      <x:c r="AH23" s="5" t="inlineStr">
        <x:is>
          <x:t xml:space="preserve">ISO 27001/2 (2022)</x:t>
        </x:is>
      </x:c>
      <x:c r="AI23" s="5" t="inlineStr">
        <x:is>
          <x:t xml:space="preserve">SOC 1</x:t>
        </x:is>
      </x:c>
      <x:c r="AJ23" s="5" t="inlineStr">
        <x:is>
          <x:t xml:space="preserve">HIPAA Security</x:t>
        </x:is>
      </x:c>
      <x:c r="AK23" s="5" t="inlineStr">
        <x:is>
          <x:t xml:space="preserve">PCI DSS v4.0</x:t>
        </x:is>
      </x:c>
      <x:c r="AL23" s="28" t="inlineStr">
        <x:is>
          <x:t xml:space="preserve">https://docs.google.com/document/d/1W5FC1d6oqcAnoxBiPHHQMdXo6_EqhnFeiMjXq4_dX9s/edit?usp=sharing</x:t>
        </x:is>
      </x:c>
      <x:c r="AM23" s="5" t="inlineStr">
        <x:is>
          <x:t xml:space="preserve">Local controls deduped from 43 exported tokens to 14 unique button tokens. Frameworks deduped from 43 exported tokens to 6 unique button tokens. Preserved "ISO 27001/2 (2022)" as a single framework token to reflect Thoropass notation that references ISO 27001 together with the related 27002 guidance set.</x:t>
        </x:is>
      </x:c>
      <x:c r="AN23" s="5" t="n"/>
      <x:c r="AO23" s="5" t="n"/>
      <x:c r="AP23" s="5" t="n"/>
      <x:c r="AQ23" s="5" t="n"/>
      <x:c r="AR23" s="5" t="n"/>
      <x:c r="AS23" s="5" t="n"/>
      <x:c r="AT23" s="5" t="n"/>
      <x:c r="AU23" s="5" t="n"/>
      <x:c r="AV23" s="5" t="n"/>
      <x:c r="AW23" s="5" t="n"/>
      <x:c r="AX23" s="5" t="n"/>
      <x:c r="AY23" s="5" t="n"/>
      <x:c r="AZ23" s="5" t="n"/>
      <x:c r="BA23" s="5" t="n"/>
      <x:c r="BB23" s="5" t="n"/>
      <x:c r="BC23" s="5" t="n"/>
      <x:c r="BD23" s="5" t="n"/>
      <x:c r="BE23" s="5" t="n"/>
      <x:c r="BF23" s="5" t="n"/>
      <x:c r="BG23" s="5" t="n"/>
      <x:c r="BH23" s="5" t="n"/>
      <x:c r="BI23" s="5" t="n"/>
      <x:c r="BJ23" s="5" t="n"/>
      <x:c r="BK23" s="5" t="n"/>
      <x:c r="BL23" s="5" t="n"/>
      <x:c r="BM23" s="5" t="n"/>
      <x:c r="BN23" s="5" t="n"/>
      <x:c r="BO23" s="5" t="n"/>
      <x:c r="BP23" s="5" t="n"/>
      <x:c r="BQ23" s="5" t="n"/>
      <x:c r="BR23" s="5" t="n"/>
      <x:c r="BS23" s="5" t="n"/>
      <x:c r="BT23" s="5" t="n"/>
      <x:c r="BU23" s="5" t="n"/>
      <x:c r="BV23" s="5" t="n"/>
      <x:c r="BW23" s="5" t="n"/>
      <x:c r="BX23" s="5" t="n"/>
      <x:c r="BY23" s="5" t="n"/>
      <x:c r="BZ23" s="5" t="n"/>
      <x:c r="CA23" s="5" t="n"/>
      <x:c r="CB23" s="5" t="n"/>
      <x:c r="CC23" s="5" t="n"/>
      <x:c r="CD23" s="5" t="n"/>
      <x:c r="CE23" s="5" t="n"/>
    </x:row>
    <x:row r="24" ht="30" customHeight="1">
      <x:c r="A24" s="5" t="inlineStr">
        <x:is>
          <x:t xml:space="preserve">ER-56</x:t>
        </x:is>
      </x:c>
      <x:c r="B24" s="5" t="inlineStr">
        <x:is>
          <x:t xml:space="preserve">Operational</x:t>
        </x:is>
      </x:c>
      <x:c r="C24" s="5" t="inlineStr">
        <x:is>
          <x:t xml:space="preserve">[Operational] Information Security Policy Repository</x:t>
        </x:is>
      </x:c>
      <x:c r="D24" s="5" t="inlineStr">
        <x:is>
          <x:t xml:space="preserve">Security</x:t>
        </x:is>
      </x:c>
      <x:c r="E24" s="5" t="inlineStr">
        <x:is>
          <x:t xml:space="preserve">REQ-1,REQ-12,REQ-13,0113.04a1Organizational.2,05.02,A.05.01,REQ-1-SOC1,REQ-12-SOC1,REQ-13-SOC1,REQ-1-HIPAA,REQ-12-HIPAA,REQ-13-HIPAA,A.05.36</x:t>
        </x:is>
      </x:c>
      <x:c r="F24" s="5" t="inlineStr">
        <x:is>
          <x:t xml:space="preserve">SOC 2,SOC 2,SOC 2,HITRUST,ISO 27001/2 (2022),ISO 27001/2 (2022),SOC 1,SOC 1,SOC 1,HIPAA Security,HIPAA Security,HIPAA Security,ISO 27001/2 (2022)</x:t>
        </x:is>
      </x:c>
      <x:c r="G24" s="5" t="n">
        <x:v>55</x:v>
      </x:c>
      <x:c r="H24" s="5" t="n">
        <x:v>1</x:v>
      </x:c>
      <x:c r="I24" s="5" t="n">
        <x:v>1</x:v>
      </x:c>
      <x:c r="J24" s="5" t="inlineStr">
        <x:is>
          <x:t xml:space="preserve">Security</x:t>
        </x:is>
      </x:c>
      <x:c r="K24" s="5" t="n"/>
      <x:c r="L24" s="5" t="n">
        <x:v>13</x:v>
      </x:c>
      <x:c r="M24" s="5" t="n">
        <x:v>13</x:v>
      </x:c>
      <x:c r="N24" s="5" t="inlineStr">
        <x:is>
          <x:t xml:space="preserve">REQ-1</x:t>
        </x:is>
      </x:c>
      <x:c r="O24" s="5" t="inlineStr">
        <x:is>
          <x:t xml:space="preserve">REQ-12</x:t>
        </x:is>
      </x:c>
      <x:c r="P24" s="5" t="inlineStr">
        <x:is>
          <x:t xml:space="preserve">REQ-13</x:t>
        </x:is>
      </x:c>
      <x:c r="Q24" s="5" t="inlineStr">
        <x:is>
          <x:t xml:space="preserve">0113.04a1Organizational.2</x:t>
        </x:is>
      </x:c>
      <x:c r="R24" s="5" t="inlineStr">
        <x:is>
          <x:t xml:space="preserve">05.02</x:t>
        </x:is>
      </x:c>
      <x:c r="S24" s="5" t="inlineStr">
        <x:is>
          <x:t xml:space="preserve">A.05.01</x:t>
        </x:is>
      </x:c>
      <x:c r="T24" s="5" t="inlineStr">
        <x:is>
          <x:t xml:space="preserve">REQ-1-SOC1</x:t>
        </x:is>
      </x:c>
      <x:c r="U24" s="5" t="inlineStr">
        <x:is>
          <x:t xml:space="preserve">REQ-12-SOC1</x:t>
        </x:is>
      </x:c>
      <x:c r="V24" s="5" t="inlineStr">
        <x:is>
          <x:t xml:space="preserve">REQ-13-SOC1</x:t>
        </x:is>
      </x:c>
      <x:c r="W24" s="5" t="inlineStr">
        <x:is>
          <x:t xml:space="preserve">REQ-1-HIPAA</x:t>
        </x:is>
      </x:c>
      <x:c r="X24" s="5" t="inlineStr">
        <x:is>
          <x:t xml:space="preserve">REQ-12-HIPAA</x:t>
        </x:is>
      </x:c>
      <x:c r="Y24" s="5" t="inlineStr">
        <x:is>
          <x:t xml:space="preserve">REQ-13-HIPAA</x:t>
        </x:is>
      </x:c>
      <x:c r="Z24" s="5" t="inlineStr">
        <x:is>
          <x:t xml:space="preserve">A.05.36</x:t>
        </x:is>
      </x:c>
      <x:c r="AA24" s="5" t="n"/>
      <x:c r="AB24" s="5" t="n"/>
      <x:c r="AC24" s="5" t="n"/>
      <x:c r="AD24" s="5" t="n">
        <x:v>13</x:v>
      </x:c>
      <x:c r="AE24" s="5" t="n">
        <x:v>5</x:v>
      </x:c>
      <x:c r="AF24" s="5" t="inlineStr">
        <x:is>
          <x:t xml:space="preserve">SOC 2</x:t>
        </x:is>
      </x:c>
      <x:c r="AG24" s="5" t="inlineStr">
        <x:is>
          <x:t xml:space="preserve">HITRUST</x:t>
        </x:is>
      </x:c>
      <x:c r="AH24" s="5" t="inlineStr">
        <x:is>
          <x:t xml:space="preserve">ISO 27001/2 (2022)</x:t>
        </x:is>
      </x:c>
      <x:c r="AI24" s="5" t="inlineStr">
        <x:is>
          <x:t xml:space="preserve">SOC 1</x:t>
        </x:is>
      </x:c>
      <x:c r="AJ24" s="5" t="inlineStr">
        <x:is>
          <x:t xml:space="preserve">HIPAA Security</x:t>
        </x:is>
      </x:c>
      <x:c r="AK24" s="5" t="n"/>
      <x:c r="AL24" s="28" t="inlineStr">
        <x:is>
          <x:t xml:space="preserve">https://docs.google.com/document/d/1W5FC1d6oqcAnoxBiPHHQMdXo6_EqhnFeiMjXq4_dX9s/edit?usp=sharing</x:t>
        </x:is>
      </x:c>
      <x:c r="AM24" s="5" t="inlineStr">
        <x:is>
          <x:t xml:space="preserve">Frameworks deduped from 13 exported tokens to 5 unique button tokens. Preserved "ISO 27001/2 (2022)" as a single framework token to reflect Thoropass notation that references ISO 27001 together with the related 27002 guidance set.</x:t>
        </x:is>
      </x:c>
      <x:c r="AN24" s="5" t="n"/>
      <x:c r="AO24" s="5" t="n"/>
      <x:c r="AP24" s="5" t="n"/>
      <x:c r="AQ24" s="5" t="n"/>
      <x:c r="AR24" s="5" t="n"/>
      <x:c r="AS24" s="5" t="n"/>
      <x:c r="AT24" s="5" t="n"/>
      <x:c r="AU24" s="5" t="n"/>
      <x:c r="AV24" s="5" t="n"/>
      <x:c r="AW24" s="5" t="n"/>
      <x:c r="AX24" s="5" t="n"/>
      <x:c r="AY24" s="5" t="n"/>
      <x:c r="AZ24" s="5" t="n"/>
      <x:c r="BA24" s="5" t="n"/>
      <x:c r="BB24" s="5" t="n"/>
      <x:c r="BC24" s="5" t="n"/>
      <x:c r="BD24" s="5" t="n"/>
      <x:c r="BE24" s="5" t="n"/>
      <x:c r="BF24" s="5" t="n"/>
      <x:c r="BG24" s="5" t="n"/>
      <x:c r="BH24" s="5" t="n"/>
      <x:c r="BI24" s="5" t="n"/>
      <x:c r="BJ24" s="5" t="n"/>
      <x:c r="BK24" s="5" t="n"/>
      <x:c r="BL24" s="5" t="n"/>
      <x:c r="BM24" s="5" t="n"/>
      <x:c r="BN24" s="5" t="n"/>
      <x:c r="BO24" s="5" t="n"/>
      <x:c r="BP24" s="5" t="n"/>
      <x:c r="BQ24" s="5" t="n"/>
      <x:c r="BR24" s="5" t="n"/>
      <x:c r="BS24" s="5" t="n"/>
      <x:c r="BT24" s="5" t="n"/>
      <x:c r="BU24" s="5" t="n"/>
      <x:c r="BV24" s="5" t="n"/>
      <x:c r="BW24" s="5" t="n"/>
      <x:c r="BX24" s="5" t="n"/>
      <x:c r="BY24" s="5" t="n"/>
      <x:c r="BZ24" s="5" t="n"/>
      <x:c r="CA24" s="5" t="n"/>
      <x:c r="CB24" s="5" t="n"/>
      <x:c r="CC24" s="5" t="n"/>
      <x:c r="CD24" s="5" t="n"/>
      <x:c r="CE24" s="5" t="n"/>
    </x:row>
    <x:row r="25" ht="30" customHeight="1">
      <x:c r="A25" s="5" t="inlineStr">
        <x:is>
          <x:t xml:space="preserve">ER-57</x:t>
        </x:is>
      </x:c>
      <x:c r="B25" s="5" t="inlineStr">
        <x:is>
          <x:t xml:space="preserve">Policy</x:t>
        </x:is>
      </x:c>
      <x:c r="C25" s="5" t="inlineStr">
        <x:is>
          <x:t xml:space="preserve">[Policy] Information Security</x:t>
        </x:is>
      </x:c>
      <x:c r="D25" s="5" t="inlineStr">
        <x:is>
          <x:t xml:space="preserve">Security,PCI DSS v4.0 - ROC - Merchant</x:t>
        </x:is>
      </x:c>
      <x:c r="E25" s="5" t="inlineStr">
        <x:is>
          <x:t xml:space="preserve">REQ-1,REQ-12,REQ-13,0113.04a1Organizational.2,05.02,A.05.01,06.02,07.05.01,REQ-1-SOC1,REQ-12-SOC1,REQ-13-SOC1,REQ-1-HIPAA,REQ-12-HIPAA,REQ-13-HIPAA,04.01,04.02,04.03,04.04,05.01,05.03,06.01.01,06.03,07.01,07.02,07.03,07.04,08.01,08.02,08.03,09.01,09.02.01,09.03.01,10.01,10.02,06.01.02,06.01.03,07.05.02,07.05.03,09.02.02,09.03.02,09.03.03,A.05.36,A.05.06,A.05.03,A.05.08,A.05.31,A.05.35,1.1.1,2.1.1,4.1.1,5.1.1,6.1.1,7.1.1,8.1.1,9.1.1,10.1.1,11.1.1,12.1.1,3.1.1,REQ-1,REQ-12,REQ-13,0113.04a1Organizational.2,05.02,A.05.01,06.02,07.05.01,REQ-1-SOC1,REQ-12-SOC1,REQ-13-SOC1,REQ-1-HIPAA,REQ-12-HIPAA,REQ-13-HIPAA,04.01,04.02,04.03,04.04,05.01,05.03,06.01.01,06.03,07.01,07.02,07.03,07.04,08.01,08.02,08.03,09.01,09.02.01,09.03.01,10.01,10.02,06.01.02,06.01.03,07.05.02,07.05.03,09.02.02,09.03.02,09.03.03,A.05.36,A.05.06,A.05.03,A.05.08,A.05.31,A.05.35,1.1.1,2.1.1,4.1.1,5.1.1,6.1.1,7.1.1,8.1.1,9.1.1,10.1.1,11.1.1,12.1.1,3.1.1,REQ-1,REQ-12,REQ-13,0113.04a1Organizational.2,05.02,A.05.01,REQ-1-SOC1,REQ-12-SOC1,REQ-13-SOC1,REQ-1-HIPAA,REQ-12-HIPAA,REQ-13-HIPAA,A.05.36,A.05.06,A.05.03,A.05.08,A.05.31,REQ-1,REQ-12,REQ-13,0113.04a1Organizational.2,05.02,A.05.01,REQ-1-SOC1,REQ-12-SOC1,REQ-13-SOC1,REQ-1-HIPAA,REQ-12-HIPAA,REQ-13-HIPAA,A.05.36,A.05.06,A.05.03,A.05.08,A.05.31,05.02,A.05.01,06.02,07.05.01,04.01,04.02,04.03,04.04,05.01,05.03,06.01.01,06.03,07.01,07.02,07.03,07.04,08.01,08.02,08.03,09.01,09.02.01,09.03.01,10.01,10.02,06.01.02,06.01.03,07.05.02,07.05.03,09.02.02,09.03.02,09.03.03,06.02,06.03,07.05.01,07.05.02,07.05.03,1.1.1,2.1.1,4.1.1,5.1.1,6.1.1,7.1.1,8.1.1,9.1.1,10.1.1,11.1.1,12.1.1,3.1.1,REQ-1,REQ-12,REQ-13,0113.04a1Organizational.2,05.02,A.05.01,REQ-1-SOC1,REQ-12-SOC1,REQ-13-SOC1,REQ-1-HIPAA,REQ-12-HIPAA,REQ-13-HIPAA,A.05.36,A.05.06,A.05.03,A.05.08,A.05.31,A.05.35,1.1.1,2.1.1,4.1.1,5.1.1,6.1.1,7.1.1,8.1.1,9.1.1,10.1.1,11.1.1,12.1.1,3.1.1</x:t>
        </x:is>
      </x:c>
      <x:c r="F25" s="5" t="inlineStr">
        <x:is>
          <x:t xml:space="preserve">SOC 2,SOC 2,SOC 2,HITRUST,ISO 27001/2 (2022),ISO 27001/2 (2022),ISO 27001/2 (2022),ISO 27001/2 (2022),SOC 1,SOC 1,SOC 1,HIPAA Security,HIPAA Security,HIPAA Security,ISO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(2022),PCI DSS v4.0,PCI DSS v4.0,PCI DSS v4.0,PCI DSS v4.0,PCI DSS v4.0,PCI DSS v4.0,PCI DSS v4.0,PCI DSS v4.0,PCI DSS v4.0,PCI DSS v4.0,PCI DSS v4.0,PCI DSS v4.0,SOC 2,SOC 2,SOC 2,HITRUST,ISO 27001/2 (2022),ISO 27001/2 (2022),ISO 27001/2 (2022),ISO 27001/2 (2022),SOC 1,SOC 1,SOC 1,HIPAA Security,HIPAA Security,HIPAA Security,ISO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(2022),PCI DSS v4.0,PCI DSS v4.0,PCI DSS v4.0,PCI DSS v4.0,PCI DSS v4.0,PCI DSS v4.0,PCI DSS v4.0,PCI DSS v4.0,PCI DSS v4.0,PCI DSS v4.0,PCI DSS v4.0,PCI DSS v4.0,SOC 2,SOC 2,SOC 2,HITRUST,ISO 27001/2 (2022),ISO 27001/2 (2022),SOC 1,SOC 1,SOC 1,HIPAA Security,HIPAA Security,HIPAA Security,ISO 27001/2 (2022),ISO 27001/2 (2022),ISO 27001/2 (2022),ISO 27001/2 (2022),ISO 27001/2 (2022),SOC 2,SOC 2,SOC 2,HITRUST,ISO 27001/2 (2022),ISO 27001/2 (2022),SOC 1,SOC 1,SOC 1,HIPAA Security,HIPAA Security,HIPAA Security,ISO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(2022),ISO 27001/2 (2022),PCI DSS v4.0,PCI DSS v4.0,PCI DSS v4.0,PCI DSS v4.0,PCI DSS v4.0,PCI DSS v4.0,PCI DSS v4.0,PCI DSS v4.0,PCI DSS v4.0,PCI DSS v4.0,PCI DSS v4.0,PCI DSS v4.0,SOC 2,SOC 2,SOC 2,HITRUST,ISO 27001/2 (2022),ISO 27001/2 (2022),SOC 1,SOC 1,SOC 1,HIPAA Security,HIPAA Security,HIPAA Security,ISO 27001/2 (2022),ISO 27001/2 (2022),ISO 27001/2 (2022),ISO 27001/2 (2022),ISO 27001/2 (2022),ISO 27001/2 (2022),PCI DSS v4.0,PCI DSS v4.0,PCI DSS v4.0,PCI DSS v4.0,PCI DSS v4.0,PCI DSS v4.0,PCI DSS v4.0,PCI DSS v4.0,PCI DSS v4.0,PCI DSS v4.0,PCI DSS v4.0,PCI DSS v4.0</x:t>
        </x:is>
      </x:c>
      <x:c r="G25" s="5" t="n">
        <x:v>56</x:v>
      </x:c>
      <x:c r="H25" s="5" t="n">
        <x:v>2</x:v>
      </x:c>
      <x:c r="I25" s="5" t="n">
        <x:v>2</x:v>
      </x:c>
      <x:c r="J25" s="5" t="inlineStr">
        <x:is>
          <x:t xml:space="preserve">Security</x:t>
        </x:is>
      </x:c>
      <x:c r="K25" s="5" t="inlineStr">
        <x:is>
          <x:t xml:space="preserve">PCI DSS v4.0 - ROC - Merchant</x:t>
        </x:is>
      </x:c>
      <x:c r="L25" s="5" t="n">
        <x:v>230</x:v>
      </x:c>
      <x:c r="M25" s="5" t="n">
        <x:v>59</x:v>
      </x:c>
      <x:c r="N25" s="5" t="inlineStr">
        <x:is>
          <x:t xml:space="preserve">REQ-1</x:t>
        </x:is>
      </x:c>
      <x:c r="O25" s="5" t="inlineStr">
        <x:is>
          <x:t xml:space="preserve">REQ-12</x:t>
        </x:is>
      </x:c>
      <x:c r="P25" s="5" t="inlineStr">
        <x:is>
          <x:t xml:space="preserve">REQ-13</x:t>
        </x:is>
      </x:c>
      <x:c r="Q25" s="5" t="inlineStr">
        <x:is>
          <x:t xml:space="preserve">0113.04a1Organizational.2</x:t>
        </x:is>
      </x:c>
      <x:c r="R25" s="5" t="inlineStr">
        <x:is>
          <x:t xml:space="preserve">05.02</x:t>
        </x:is>
      </x:c>
      <x:c r="S25" s="5" t="inlineStr">
        <x:is>
          <x:t xml:space="preserve">A.05.01</x:t>
        </x:is>
      </x:c>
      <x:c r="T25" s="5" t="inlineStr">
        <x:is>
          <x:t xml:space="preserve">06.02</x:t>
        </x:is>
      </x:c>
      <x:c r="U25" s="5" t="inlineStr">
        <x:is>
          <x:t xml:space="preserve">07.05.01</x:t>
        </x:is>
      </x:c>
      <x:c r="V25" s="5" t="inlineStr">
        <x:is>
          <x:t xml:space="preserve">REQ-1-SOC1</x:t>
        </x:is>
      </x:c>
      <x:c r="W25" s="5" t="inlineStr">
        <x:is>
          <x:t xml:space="preserve">REQ-12-SOC1</x:t>
        </x:is>
      </x:c>
      <x:c r="X25" s="5" t="inlineStr">
        <x:is>
          <x:t xml:space="preserve">REQ-13-SOC1</x:t>
        </x:is>
      </x:c>
      <x:c r="Y25" s="5" t="inlineStr">
        <x:is>
          <x:t xml:space="preserve">REQ-1-HIPAA</x:t>
        </x:is>
      </x:c>
      <x:c r="Z25" s="5" t="inlineStr">
        <x:is>
          <x:t xml:space="preserve">REQ-12-HIPAA</x:t>
        </x:is>
      </x:c>
      <x:c r="AA25" s="5" t="inlineStr">
        <x:is>
          <x:t xml:space="preserve">REQ-13-HIPAA</x:t>
        </x:is>
      </x:c>
      <x:c r="AB25" s="5" t="inlineStr">
        <x:is>
          <x:t xml:space="preserve">04.01</x:t>
        </x:is>
      </x:c>
      <x:c r="AC25" s="5" t="inlineStr">
        <x:is>
          <x:t xml:space="preserve">04.02</x:t>
        </x:is>
      </x:c>
      <x:c r="AD25" s="5" t="n">
        <x:v>230</x:v>
      </x:c>
      <x:c r="AE25" s="5" t="n">
        <x:v>6</x:v>
      </x:c>
      <x:c r="AF25" s="5" t="inlineStr">
        <x:is>
          <x:t xml:space="preserve">SOC 2</x:t>
        </x:is>
      </x:c>
      <x:c r="AG25" s="5" t="inlineStr">
        <x:is>
          <x:t xml:space="preserve">HITRUST</x:t>
        </x:is>
      </x:c>
      <x:c r="AH25" s="5" t="inlineStr">
        <x:is>
          <x:t xml:space="preserve">ISO 27001/2 (2022)</x:t>
        </x:is>
      </x:c>
      <x:c r="AI25" s="5" t="inlineStr">
        <x:is>
          <x:t xml:space="preserve">SOC 1</x:t>
        </x:is>
      </x:c>
      <x:c r="AJ25" s="5" t="inlineStr">
        <x:is>
          <x:t xml:space="preserve">HIPAA Security</x:t>
        </x:is>
      </x:c>
      <x:c r="AK25" s="5" t="inlineStr">
        <x:is>
          <x:t xml:space="preserve">PCI DSS v4.0</x:t>
        </x:is>
      </x:c>
      <x:c r="AL25" s="28" t="inlineStr">
        <x:is>
          <x:t xml:space="preserve">https://docs.google.com/document/d/1W5FC1d6oqcAnoxBiPHHQMdXo6_EqhnFeiMjXq4_dX9s/edit?usp=sharing</x:t>
        </x:is>
      </x:c>
      <x:c r="AM25" s="5" t="inlineStr">
        <x:is>
          <x:t xml:space="preserve">Local controls deduped from 230 exported tokens to 59 unique button tokens. Frameworks deduped from 230 exported tokens to 6 unique button tokens. Preserved "ISO 27001/2 (2022)" as a single framework token to reflect Thoropass notation that references ISO 27001 together with the related 27002 guidance set.</x:t>
        </x:is>
      </x:c>
      <x:c r="AN25" s="5" t="inlineStr">
        <x:is>
          <x:t xml:space="preserve">04.03</x:t>
        </x:is>
      </x:c>
      <x:c r="AO25" s="5" t="inlineStr">
        <x:is>
          <x:t xml:space="preserve">04.04</x:t>
        </x:is>
      </x:c>
      <x:c r="AP25" s="5" t="inlineStr">
        <x:is>
          <x:t xml:space="preserve">05.01</x:t>
        </x:is>
      </x:c>
      <x:c r="AQ25" s="5" t="inlineStr">
        <x:is>
          <x:t xml:space="preserve">05.03</x:t>
        </x:is>
      </x:c>
      <x:c r="AR25" s="5" t="inlineStr">
        <x:is>
          <x:t xml:space="preserve">06.01.01</x:t>
        </x:is>
      </x:c>
      <x:c r="AS25" s="5" t="inlineStr">
        <x:is>
          <x:t xml:space="preserve">06.03</x:t>
        </x:is>
      </x:c>
      <x:c r="AT25" s="5" t="inlineStr">
        <x:is>
          <x:t xml:space="preserve">07.01</x:t>
        </x:is>
      </x:c>
      <x:c r="AU25" s="5" t="inlineStr">
        <x:is>
          <x:t xml:space="preserve">07.02</x:t>
        </x:is>
      </x:c>
      <x:c r="AV25" s="5" t="inlineStr">
        <x:is>
          <x:t xml:space="preserve">07.03</x:t>
        </x:is>
      </x:c>
      <x:c r="AW25" s="5" t="n"/>
      <x:c r="AX25" s="5" t="inlineStr">
        <x:is>
          <x:t xml:space="preserve">07.04</x:t>
        </x:is>
      </x:c>
      <x:c r="AY25" s="5" t="inlineStr">
        <x:is>
          <x:t xml:space="preserve">08.01</x:t>
        </x:is>
      </x:c>
      <x:c r="AZ25" s="5" t="inlineStr">
        <x:is>
          <x:t xml:space="preserve">08.02</x:t>
        </x:is>
      </x:c>
      <x:c r="BA25" s="5" t="inlineStr">
        <x:is>
          <x:t xml:space="preserve">08.03</x:t>
        </x:is>
      </x:c>
      <x:c r="BB25" s="5" t="inlineStr">
        <x:is>
          <x:t xml:space="preserve">09.01</x:t>
        </x:is>
      </x:c>
      <x:c r="BC25" s="5" t="inlineStr">
        <x:is>
          <x:t xml:space="preserve">09.02.01</x:t>
        </x:is>
      </x:c>
      <x:c r="BD25" s="5" t="inlineStr">
        <x:is>
          <x:t xml:space="preserve">09.03.01</x:t>
        </x:is>
      </x:c>
      <x:c r="BE25" s="5" t="inlineStr">
        <x:is>
          <x:t xml:space="preserve">10.01</x:t>
        </x:is>
      </x:c>
      <x:c r="BF25" s="5" t="inlineStr">
        <x:is>
          <x:t xml:space="preserve">10.02</x:t>
        </x:is>
      </x:c>
      <x:c r="BG25" s="5" t="inlineStr">
        <x:is>
          <x:t xml:space="preserve">06.01.02</x:t>
        </x:is>
      </x:c>
      <x:c r="BH25" s="5" t="inlineStr">
        <x:is>
          <x:t xml:space="preserve">06.01.03</x:t>
        </x:is>
      </x:c>
      <x:c r="BI25" s="5" t="inlineStr">
        <x:is>
          <x:t xml:space="preserve">07.05.02</x:t>
        </x:is>
      </x:c>
      <x:c r="BJ25" s="5" t="inlineStr">
        <x:is>
          <x:t xml:space="preserve">07.05.03</x:t>
        </x:is>
      </x:c>
      <x:c r="BK25" s="5" t="inlineStr">
        <x:is>
          <x:t xml:space="preserve">09.02.02</x:t>
        </x:is>
      </x:c>
      <x:c r="BL25" s="5" t="inlineStr">
        <x:is>
          <x:t xml:space="preserve">09.03.02</x:t>
        </x:is>
      </x:c>
      <x:c r="BM25" s="5" t="inlineStr">
        <x:is>
          <x:t xml:space="preserve">09.03.03</x:t>
        </x:is>
      </x:c>
      <x:c r="BN25" s="5" t="inlineStr">
        <x:is>
          <x:t xml:space="preserve">A.05.36</x:t>
        </x:is>
      </x:c>
      <x:c r="BO25" s="5" t="inlineStr">
        <x:is>
          <x:t xml:space="preserve">A.05.06</x:t>
        </x:is>
      </x:c>
      <x:c r="BP25" s="5" t="inlineStr">
        <x:is>
          <x:t xml:space="preserve">A.05.03</x:t>
        </x:is>
      </x:c>
      <x:c r="BQ25" s="5" t="inlineStr">
        <x:is>
          <x:t xml:space="preserve">A.05.08</x:t>
        </x:is>
      </x:c>
      <x:c r="BR25" s="5" t="inlineStr">
        <x:is>
          <x:t xml:space="preserve">A.05.31</x:t>
        </x:is>
      </x:c>
      <x:c r="BS25" s="5" t="inlineStr">
        <x:is>
          <x:t xml:space="preserve">A.05.35</x:t>
        </x:is>
      </x:c>
      <x:c r="BT25" s="5" t="inlineStr">
        <x:is>
          <x:t xml:space="preserve">1.1.1</x:t>
        </x:is>
      </x:c>
      <x:c r="BU25" s="5" t="inlineStr">
        <x:is>
          <x:t xml:space="preserve">2.1.1</x:t>
        </x:is>
      </x:c>
      <x:c r="BV25" s="5" t="inlineStr">
        <x:is>
          <x:t xml:space="preserve">4.1.1</x:t>
        </x:is>
      </x:c>
      <x:c r="BW25" s="5" t="inlineStr">
        <x:is>
          <x:t xml:space="preserve">5.1.1</x:t>
        </x:is>
      </x:c>
      <x:c r="BX25" s="5" t="inlineStr">
        <x:is>
          <x:t xml:space="preserve">6.1.1</x:t>
        </x:is>
      </x:c>
      <x:c r="BY25" s="5" t="inlineStr">
        <x:is>
          <x:t xml:space="preserve">7.1.1</x:t>
        </x:is>
      </x:c>
      <x:c r="BZ25" s="5" t="inlineStr">
        <x:is>
          <x:t xml:space="preserve">8.1.1</x:t>
        </x:is>
      </x:c>
      <x:c r="CA25" s="5" t="inlineStr">
        <x:is>
          <x:t xml:space="preserve">9.1.1</x:t>
        </x:is>
      </x:c>
      <x:c r="CB25" s="5" t="inlineStr">
        <x:is>
          <x:t xml:space="preserve">10.1.1</x:t>
        </x:is>
      </x:c>
      <x:c r="CC25" s="5" t="inlineStr">
        <x:is>
          <x:t xml:space="preserve">11.1.1</x:t>
        </x:is>
      </x:c>
      <x:c r="CD25" s="5" t="inlineStr">
        <x:is>
          <x:t xml:space="preserve">12.1.1</x:t>
        </x:is>
      </x:c>
      <x:c r="CE25" s="5" t="inlineStr">
        <x:is>
          <x:t xml:space="preserve">3.1.1</x:t>
        </x:is>
      </x:c>
    </x:row>
    <x:row r="26" ht="30" customHeight="1">
      <x:c r="A26" s="5" t="inlineStr">
        <x:is>
          <x:t xml:space="preserve">ER-61</x:t>
        </x:is>
      </x:c>
      <x:c r="B26" s="5" t="inlineStr">
        <x:is>
          <x:t xml:space="preserve">Policy</x:t>
        </x:is>
      </x:c>
      <x:c r="C26" s="5" t="inlineStr">
        <x:is>
          <x:t xml:space="preserve">[Policy] Change Management</x:t>
        </x:is>
      </x:c>
      <x:c r="D26" s="5" t="inlineStr">
        <x:is>
          <x:t xml:space="preserve">Security,PCI DSS v4.0 - ROC - Merchant</x:t>
        </x:is>
      </x:c>
      <x:c r="E26" s="5" t="inlineStr">
        <x:is>
          <x:t xml:space="preserve">REQ-53,06.09b1System.2,A.08.32,REQ-53-SOC1,REQ-53-HIPAA,1769.09i1System.12,6.5.1,6.5.2,6.5.3,6.5.4,6.5.5,REQ-53,06.09b1System.2,A.08.32,REQ-53-SOC1,REQ-53-HIPAA,1769.09i1System.12,6.5.1,6.5.2,6.5.3,6.5.4,6.5.5,REQ-53,06.09b1System.2,A.08.32,REQ-53-SOC1,REQ-53-HIPAA,1769.09i1System.12,6.5.1,6.5.2,6.5.3,6.5.4,6.5.5</x:t>
        </x:is>
      </x:c>
      <x:c r="F26" s="5" t="inlineStr">
        <x:is>
          <x:t xml:space="preserve">SOC 2,HITRUST,ISO 27001/2 (2022),SOC 1,HIPAA Security,HITRUST,PCI DSS v4.0,PCI DSS v4.0,PCI DSS v4.0,PCI DSS v4.0,PCI DSS v4.0,SOC 2,HITRUST,ISO 27001/2 (2022),SOC 1,HIPAA Security,HITRUST,PCI DSS v4.0,PCI DSS v4.0,PCI DSS v4.0,PCI DSS v4.0,PCI DSS v4.0,SOC 2,HITRUST,ISO 27001/2 (2022),SOC 1,HIPAA Security,HITRUST,PCI DSS v4.0,PCI DSS v4.0,PCI DSS v4.0,PCI DSS v4.0,PCI DSS v4.0</x:t>
        </x:is>
      </x:c>
      <x:c r="G26" s="5" t="n">
        <x:v>59</x:v>
      </x:c>
      <x:c r="H26" s="5" t="n">
        <x:v>2</x:v>
      </x:c>
      <x:c r="I26" s="5" t="n">
        <x:v>2</x:v>
      </x:c>
      <x:c r="J26" s="5" t="inlineStr">
        <x:is>
          <x:t xml:space="preserve">Security</x:t>
        </x:is>
      </x:c>
      <x:c r="K26" s="5" t="inlineStr">
        <x:is>
          <x:t xml:space="preserve">PCI DSS v4.0 - ROC - Merchant</x:t>
        </x:is>
      </x:c>
      <x:c r="L26" s="5" t="n">
        <x:v>33</x:v>
      </x:c>
      <x:c r="M26" s="5" t="n">
        <x:v>11</x:v>
      </x:c>
      <x:c r="N26" s="5" t="inlineStr">
        <x:is>
          <x:t xml:space="preserve">REQ-53</x:t>
        </x:is>
      </x:c>
      <x:c r="O26" s="5" t="inlineStr">
        <x:is>
          <x:t xml:space="preserve">06.09b1System.2</x:t>
        </x:is>
      </x:c>
      <x:c r="P26" s="5" t="inlineStr">
        <x:is>
          <x:t xml:space="preserve">A.08.32</x:t>
        </x:is>
      </x:c>
      <x:c r="Q26" s="5" t="inlineStr">
        <x:is>
          <x:t xml:space="preserve">REQ-53-SOC1</x:t>
        </x:is>
      </x:c>
      <x:c r="R26" s="5" t="inlineStr">
        <x:is>
          <x:t xml:space="preserve">REQ-53-HIPAA</x:t>
        </x:is>
      </x:c>
      <x:c r="S26" s="5" t="inlineStr">
        <x:is>
          <x:t xml:space="preserve">1769.09i1System.12</x:t>
        </x:is>
      </x:c>
      <x:c r="T26" s="5" t="inlineStr">
        <x:is>
          <x:t xml:space="preserve">6.5.1</x:t>
        </x:is>
      </x:c>
      <x:c r="U26" s="5" t="inlineStr">
        <x:is>
          <x:t xml:space="preserve">6.5.2</x:t>
        </x:is>
      </x:c>
      <x:c r="V26" s="5" t="inlineStr">
        <x:is>
          <x:t xml:space="preserve">6.5.3</x:t>
        </x:is>
      </x:c>
      <x:c r="W26" s="5" t="inlineStr">
        <x:is>
          <x:t xml:space="preserve">6.5.4</x:t>
        </x:is>
      </x:c>
      <x:c r="X26" s="5" t="inlineStr">
        <x:is>
          <x:t xml:space="preserve">6.5.5</x:t>
        </x:is>
      </x:c>
      <x:c r="Y26" s="5" t="n"/>
      <x:c r="Z26" s="5" t="n"/>
      <x:c r="AA26" s="5" t="n"/>
      <x:c r="AB26" s="5" t="n"/>
      <x:c r="AC26" s="5" t="n"/>
      <x:c r="AD26" s="5" t="n">
        <x:v>33</x:v>
      </x:c>
      <x:c r="AE26" s="5" t="n">
        <x:v>6</x:v>
      </x:c>
      <x:c r="AF26" s="5" t="inlineStr">
        <x:is>
          <x:t xml:space="preserve">SOC 2</x:t>
        </x:is>
      </x:c>
      <x:c r="AG26" s="5" t="inlineStr">
        <x:is>
          <x:t xml:space="preserve">HITRUST</x:t>
        </x:is>
      </x:c>
      <x:c r="AH26" s="5" t="inlineStr">
        <x:is>
          <x:t xml:space="preserve">ISO 27001/2 (2022)</x:t>
        </x:is>
      </x:c>
      <x:c r="AI26" s="5" t="inlineStr">
        <x:is>
          <x:t xml:space="preserve">SOC 1</x:t>
        </x:is>
      </x:c>
      <x:c r="AJ26" s="5" t="inlineStr">
        <x:is>
          <x:t xml:space="preserve">HIPAA Security</x:t>
        </x:is>
      </x:c>
      <x:c r="AK26" s="5" t="inlineStr">
        <x:is>
          <x:t xml:space="preserve">PCI DSS v4.0</x:t>
        </x:is>
      </x:c>
      <x:c r="AL26" s="28" t="inlineStr">
        <x:is>
          <x:t xml:space="preserve">https://docs.google.com/document/d/1W5FC1d6oqcAnoxBiPHHQMdXo6_EqhnFeiMjXq4_dX9s/edit?usp=sharing</x:t>
        </x:is>
      </x:c>
      <x:c r="AM26" s="5" t="inlineStr">
        <x:is>
          <x:t xml:space="preserve">Local controls deduped from 33 exported tokens to 11 unique button tokens. Frameworks deduped from 33 exported tokens to 6 unique button tokens. Preserved "ISO 27001/2 (2022)" as a single framework token to reflect Thoropass notation that references ISO 27001 together with the related 27002 guidance set.</x:t>
        </x:is>
      </x:c>
      <x:c r="AN26" s="5" t="n"/>
      <x:c r="AO26" s="5" t="n"/>
      <x:c r="AP26" s="5" t="n"/>
      <x:c r="AQ26" s="5" t="n"/>
      <x:c r="AR26" s="5" t="n"/>
      <x:c r="AS26" s="5" t="n"/>
      <x:c r="AT26" s="5" t="n"/>
      <x:c r="AU26" s="5" t="n"/>
      <x:c r="AV26" s="5" t="n"/>
      <x:c r="AW26" s="5" t="n"/>
      <x:c r="AX26" s="5" t="n"/>
      <x:c r="AY26" s="5" t="n"/>
      <x:c r="AZ26" s="5" t="n"/>
      <x:c r="BA26" s="5" t="n"/>
      <x:c r="BB26" s="5" t="n"/>
      <x:c r="BC26" s="5" t="n"/>
      <x:c r="BD26" s="5" t="n"/>
      <x:c r="BE26" s="5" t="n"/>
      <x:c r="BF26" s="5" t="n"/>
      <x:c r="BG26" s="5" t="n"/>
      <x:c r="BH26" s="5" t="n"/>
      <x:c r="BI26" s="5" t="n"/>
      <x:c r="BJ26" s="5" t="n"/>
      <x:c r="BK26" s="5" t="n"/>
      <x:c r="BL26" s="5" t="n"/>
      <x:c r="BM26" s="5" t="n"/>
      <x:c r="BN26" s="5" t="n"/>
      <x:c r="BO26" s="5" t="n"/>
      <x:c r="BP26" s="5" t="n"/>
      <x:c r="BQ26" s="5" t="n"/>
      <x:c r="BR26" s="5" t="n"/>
      <x:c r="BS26" s="5" t="n"/>
      <x:c r="BT26" s="5" t="n"/>
      <x:c r="BU26" s="5" t="n"/>
      <x:c r="BV26" s="5" t="n"/>
      <x:c r="BW26" s="5" t="n"/>
      <x:c r="BX26" s="5" t="n"/>
      <x:c r="BY26" s="5" t="n"/>
      <x:c r="BZ26" s="5" t="n"/>
      <x:c r="CA26" s="5" t="n"/>
      <x:c r="CB26" s="5" t="n"/>
      <x:c r="CC26" s="5" t="n"/>
      <x:c r="CD26" s="5" t="n"/>
      <x:c r="CE26" s="5" t="n"/>
    </x:row>
    <x:row r="27" ht="30" customHeight="1">
      <x:c r="A27" s="5" t="inlineStr">
        <x:is>
          <x:t xml:space="preserve">ER-62</x:t>
        </x:is>
      </x:c>
      <x:c r="B27" s="5" t="inlineStr">
        <x:is>
          <x:t xml:space="preserve">Sample</x:t>
        </x:is>
      </x:c>
      <x:c r="C27" s="5" t="inlineStr">
        <x:is>
          <x:t xml:space="preserve">[Sample] Software/Infrastructure Production Change Ticket </x:t>
        </x:is>
      </x:c>
      <x:c r="D27" s="5" t="inlineStr">
        <x:is>
          <x:t xml:space="preserve">Security,PCI DSS v4.0 - ROC - Merchant</x:t>
        </x:is>
      </x:c>
      <x:c r="E27" s="5" t="inlineStr">
        <x:is>
          <x:t xml:space="preserve">REQ-55,REQ-56,06.09b1System.2,A.08.32,REQ-55-SOC1,REQ-56-SOC1,REQ-55-HIPAA,6.5.1,6.5.2,REQ-55,REQ-56,06.09b1System.2,A.08.32,REQ-55-SOC1,REQ-56-SOC1,REQ-55-HIPAA,6.5.1,6.5.2,REQ-55,REQ-56,06.09b1System.2,A.08.32,REQ-55-SOC1,REQ-56-SOC1,REQ-55-HIPAA,6.5.1,6.5.2,REQ-55,REQ-56,06.09b1System.2,A.08.32,REQ-55-SOC1,REQ-56-SOC1,REQ-55-HIPAA,6.5.1,6.5.2,REQ-55,REQ-56,06.09b1System.2,A.08.32,REQ-55-SOC1,REQ-56-SOC1,REQ-55-HIPAA,6.5.1,6.5.2,REQ-55,REQ-56,06.09b1System.2,A.08.32,REQ-55-SOC1,REQ-56-SOC1,REQ-55-HIPAA,6.5.1,6.5.2</x:t>
        </x:is>
      </x:c>
      <x:c r="F27" s="5" t="inlineStr">
        <x:is>
          <x:t xml:space="preserve">SOC 2,SOC 2,HITRUST,ISO 27001/2 (2022),SOC 1,SOC 1,HIPAA Security,PCI DSS v4.0,PCI DSS v4.0,SOC 2,SOC 2,HITRUST,ISO 27001/2 (2022),SOC 1,SOC 1,HIPAA Security,PCI DSS v4.0,PCI DSS v4.0,SOC 2,SOC 2,HITRUST,ISO 27001/2 (2022),SOC 1,SOC 1,HIPAA Security,PCI DSS v4.0,PCI DSS v4.0,SOC 2,SOC 2,HITRUST,ISO 27001/2 (2022),SOC 1,SOC 1,HIPAA Security,PCI DSS v4.0,PCI DSS v4.0,SOC 2,SOC 2,HITRUST,ISO 27001/2 (2022),SOC 1,SOC 1,HIPAA Security,PCI DSS v4.0,PCI DSS v4.0,SOC 2,SOC 2,HITRUST,ISO 27001/2 (2022),SOC 1,SOC 1,HIPAA Security,PCI DSS v4.0,PCI DSS v4.0</x:t>
        </x:is>
      </x:c>
      <x:c r="G27" s="5" t="n">
        <x:v>60</x:v>
      </x:c>
      <x:c r="H27" s="5" t="n">
        <x:v>2</x:v>
      </x:c>
      <x:c r="I27" s="5" t="n">
        <x:v>2</x:v>
      </x:c>
      <x:c r="J27" s="5" t="inlineStr">
        <x:is>
          <x:t xml:space="preserve">Security</x:t>
        </x:is>
      </x:c>
      <x:c r="K27" s="5" t="inlineStr">
        <x:is>
          <x:t xml:space="preserve">PCI DSS v4.0 - ROC - Merchant</x:t>
        </x:is>
      </x:c>
      <x:c r="L27" s="5" t="n">
        <x:v>54</x:v>
      </x:c>
      <x:c r="M27" s="5" t="n">
        <x:v>9</x:v>
      </x:c>
      <x:c r="N27" s="5" t="inlineStr">
        <x:is>
          <x:t xml:space="preserve">REQ-55</x:t>
        </x:is>
      </x:c>
      <x:c r="O27" s="5" t="inlineStr">
        <x:is>
          <x:t xml:space="preserve">REQ-56</x:t>
        </x:is>
      </x:c>
      <x:c r="P27" s="5" t="inlineStr">
        <x:is>
          <x:t xml:space="preserve">06.09b1System.2</x:t>
        </x:is>
      </x:c>
      <x:c r="Q27" s="5" t="inlineStr">
        <x:is>
          <x:t xml:space="preserve">A.08.32</x:t>
        </x:is>
      </x:c>
      <x:c r="R27" s="5" t="inlineStr">
        <x:is>
          <x:t xml:space="preserve">REQ-55-SOC1</x:t>
        </x:is>
      </x:c>
      <x:c r="S27" s="5" t="inlineStr">
        <x:is>
          <x:t xml:space="preserve">REQ-56-SOC1</x:t>
        </x:is>
      </x:c>
      <x:c r="T27" s="5" t="inlineStr">
        <x:is>
          <x:t xml:space="preserve">REQ-55-HIPAA</x:t>
        </x:is>
      </x:c>
      <x:c r="U27" s="5" t="inlineStr">
        <x:is>
          <x:t xml:space="preserve">6.5.1</x:t>
        </x:is>
      </x:c>
      <x:c r="V27" s="5" t="inlineStr">
        <x:is>
          <x:t xml:space="preserve">6.5.2</x:t>
        </x:is>
      </x:c>
      <x:c r="W27" s="5" t="n"/>
      <x:c r="X27" s="5" t="n"/>
      <x:c r="Y27" s="5" t="n"/>
      <x:c r="Z27" s="5" t="n"/>
      <x:c r="AA27" s="5" t="n"/>
      <x:c r="AB27" s="5" t="n"/>
      <x:c r="AC27" s="5" t="n"/>
      <x:c r="AD27" s="5" t="n">
        <x:v>54</x:v>
      </x:c>
      <x:c r="AE27" s="5" t="n">
        <x:v>6</x:v>
      </x:c>
      <x:c r="AF27" s="5" t="inlineStr">
        <x:is>
          <x:t xml:space="preserve">SOC 2</x:t>
        </x:is>
      </x:c>
      <x:c r="AG27" s="5" t="inlineStr">
        <x:is>
          <x:t xml:space="preserve">HITRUST</x:t>
        </x:is>
      </x:c>
      <x:c r="AH27" s="5" t="inlineStr">
        <x:is>
          <x:t xml:space="preserve">ISO 27001/2 (2022)</x:t>
        </x:is>
      </x:c>
      <x:c r="AI27" s="5" t="inlineStr">
        <x:is>
          <x:t xml:space="preserve">SOC 1</x:t>
        </x:is>
      </x:c>
      <x:c r="AJ27" s="5" t="inlineStr">
        <x:is>
          <x:t xml:space="preserve">HIPAA Security</x:t>
        </x:is>
      </x:c>
      <x:c r="AK27" s="5" t="inlineStr">
        <x:is>
          <x:t xml:space="preserve">PCI DSS v4.0</x:t>
        </x:is>
      </x:c>
      <x:c r="AL27" s="28" t="inlineStr">
        <x:is>
          <x:t xml:space="preserve">https://docs.google.com/document/d/1W5FC1d6oqcAnoxBiPHHQMdXo6_EqhnFeiMjXq4_dX9s/edit?usp=sharing</x:t>
        </x:is>
      </x:c>
      <x:c r="AM27" s="5" t="inlineStr">
        <x:is>
          <x:t xml:space="preserve">Local controls deduped from 54 exported tokens to 9 unique button tokens. Frameworks deduped from 54 exported tokens to 6 unique button tokens. Preserved "ISO 27001/2 (2022)" as a single framework token to reflect Thoropass notation that references ISO 27001 together with the related 27002 guidance set.</x:t>
        </x:is>
      </x:c>
      <x:c r="AN27" s="5" t="n"/>
      <x:c r="AO27" s="5" t="n"/>
      <x:c r="AP27" s="5" t="n"/>
      <x:c r="AQ27" s="5" t="n"/>
      <x:c r="AR27" s="5" t="n"/>
      <x:c r="AS27" s="5" t="n"/>
      <x:c r="AT27" s="5" t="n"/>
      <x:c r="AU27" s="5" t="n"/>
      <x:c r="AV27" s="5" t="n"/>
      <x:c r="AW27" s="5" t="n"/>
      <x:c r="AX27" s="5" t="n"/>
      <x:c r="AY27" s="5" t="n"/>
      <x:c r="AZ27" s="5" t="n"/>
      <x:c r="BA27" s="5" t="n"/>
      <x:c r="BB27" s="5" t="n"/>
      <x:c r="BC27" s="5" t="n"/>
      <x:c r="BD27" s="5" t="n"/>
      <x:c r="BE27" s="5" t="n"/>
      <x:c r="BF27" s="5" t="n"/>
      <x:c r="BG27" s="5" t="n"/>
      <x:c r="BH27" s="5" t="n"/>
      <x:c r="BI27" s="5" t="n"/>
      <x:c r="BJ27" s="5" t="n"/>
      <x:c r="BK27" s="5" t="n"/>
      <x:c r="BL27" s="5" t="n"/>
      <x:c r="BM27" s="5" t="n"/>
      <x:c r="BN27" s="5" t="n"/>
      <x:c r="BO27" s="5" t="n"/>
      <x:c r="BP27" s="5" t="n"/>
      <x:c r="BQ27" s="5" t="n"/>
      <x:c r="BR27" s="5" t="n"/>
      <x:c r="BS27" s="5" t="n"/>
      <x:c r="BT27" s="5" t="n"/>
      <x:c r="BU27" s="5" t="n"/>
      <x:c r="BV27" s="5" t="n"/>
      <x:c r="BW27" s="5" t="n"/>
      <x:c r="BX27" s="5" t="n"/>
      <x:c r="BY27" s="5" t="n"/>
      <x:c r="BZ27" s="5" t="n"/>
      <x:c r="CA27" s="5" t="n"/>
      <x:c r="CB27" s="5" t="n"/>
      <x:c r="CC27" s="5" t="n"/>
      <x:c r="CD27" s="5" t="n"/>
      <x:c r="CE27" s="5" t="n"/>
    </x:row>
    <x:row r="28" ht="30" customHeight="1">
      <x:c r="A28" s="5" t="inlineStr">
        <x:is>
          <x:t xml:space="preserve">ER-64</x:t>
        </x:is>
      </x:c>
      <x:c r="B28" s="5" t="inlineStr">
        <x:is>
          <x:t xml:space="preserve">Sample</x:t>
        </x:is>
      </x:c>
      <x:c r="C28" s="5" t="inlineStr">
        <x:is>
          <x:t xml:space="preserve">[Sample] Information Systems Default Passwords Changed</x:t>
        </x:is>
      </x:c>
      <x:c r="D28" s="5" t="n"/>
      <x:c r="E28" s="5" t="inlineStr">
        <x:is>
          <x:t xml:space="preserve">1023.01d1System.11,1023.01d1System.11,1023.01d1System.11</x:t>
        </x:is>
      </x:c>
      <x:c r="F28" s="5" t="inlineStr">
        <x:is>
          <x:t xml:space="preserve">HITRUST,HITRUST,HITRUST</x:t>
        </x:is>
      </x:c>
      <x:c r="G28" s="5" t="n">
        <x:v>62</x:v>
      </x:c>
      <x:c r="H28" s="5" t="n">
        <x:v>0</x:v>
      </x:c>
      <x:c r="I28" s="5" t="n">
        <x:v>0</x:v>
      </x:c>
      <x:c r="J28" s="5" t="n"/>
      <x:c r="K28" s="5" t="n"/>
      <x:c r="L28" s="5" t="n">
        <x:v>3</x:v>
      </x:c>
      <x:c r="M28" s="5" t="n">
        <x:v>1</x:v>
      </x:c>
      <x:c r="N28" s="5" t="inlineStr">
        <x:is>
          <x:t xml:space="preserve">1023.01d1System.11</x:t>
        </x:is>
      </x:c>
      <x:c r="O28" s="5" t="n"/>
      <x:c r="P28" s="5" t="n"/>
      <x:c r="Q28" s="5" t="n"/>
      <x:c r="R28" s="5" t="n"/>
      <x:c r="S28" s="5" t="n"/>
      <x:c r="T28" s="5" t="n"/>
      <x:c r="U28" s="5" t="n"/>
      <x:c r="V28" s="5" t="n"/>
      <x:c r="W28" s="5" t="n"/>
      <x:c r="X28" s="5" t="n"/>
      <x:c r="Y28" s="5" t="n"/>
      <x:c r="Z28" s="5" t="n"/>
      <x:c r="AA28" s="5" t="n"/>
      <x:c r="AB28" s="5" t="n"/>
      <x:c r="AC28" s="5" t="n"/>
      <x:c r="AD28" s="5" t="n">
        <x:v>3</x:v>
      </x:c>
      <x:c r="AE28" s="5" t="n">
        <x:v>1</x:v>
      </x:c>
      <x:c r="AF28" s="5" t="inlineStr">
        <x:is>
          <x:t xml:space="preserve">HITRUST</x:t>
        </x:is>
      </x:c>
      <x:c r="AG28" s="5" t="n"/>
      <x:c r="AH28" s="5" t="n"/>
      <x:c r="AI28" s="5" t="n"/>
      <x:c r="AJ28" s="5" t="n"/>
      <x:c r="AK28" s="5" t="n"/>
      <x:c r="AL28" s="28" t="inlineStr">
        <x:is>
          <x:t xml:space="preserve">https://docs.google.com/document/d/1W5FC1d6oqcAnoxBiPHHQMdXo6_EqhnFeiMjXq4_dX9s/edit?usp=sharing</x:t>
        </x:is>
      </x:c>
      <x:c r="AM28" s="5" t="inlineStr">
        <x:is>
          <x:t xml:space="preserve">Local controls deduped from 3 exported tokens to 1 unique button tokens. Frameworks deduped from 3 exported tokens to 1 unique button tokens.</x:t>
        </x:is>
      </x:c>
      <x:c r="AN28" s="5" t="n"/>
      <x:c r="AO28" s="5" t="n"/>
      <x:c r="AP28" s="5" t="n"/>
      <x:c r="AQ28" s="5" t="n"/>
      <x:c r="AR28" s="5" t="n"/>
      <x:c r="AS28" s="5" t="n"/>
      <x:c r="AT28" s="5" t="n"/>
      <x:c r="AU28" s="5" t="n"/>
      <x:c r="AV28" s="5" t="n"/>
      <x:c r="AW28" s="5" t="n"/>
      <x:c r="AX28" s="5" t="n"/>
      <x:c r="AY28" s="5" t="n"/>
      <x:c r="AZ28" s="5" t="n"/>
      <x:c r="BA28" s="5" t="n"/>
      <x:c r="BB28" s="5" t="n"/>
      <x:c r="BC28" s="5" t="n"/>
      <x:c r="BD28" s="5" t="n"/>
      <x:c r="BE28" s="5" t="n"/>
      <x:c r="BF28" s="5" t="n"/>
      <x:c r="BG28" s="5" t="n"/>
      <x:c r="BH28" s="5" t="n"/>
      <x:c r="BI28" s="5" t="n"/>
      <x:c r="BJ28" s="5" t="n"/>
      <x:c r="BK28" s="5" t="n"/>
      <x:c r="BL28" s="5" t="n"/>
      <x:c r="BM28" s="5" t="n"/>
      <x:c r="BN28" s="5" t="n"/>
      <x:c r="BO28" s="5" t="n"/>
      <x:c r="BP28" s="5" t="n"/>
      <x:c r="BQ28" s="5" t="n"/>
      <x:c r="BR28" s="5" t="n"/>
      <x:c r="BS28" s="5" t="n"/>
      <x:c r="BT28" s="5" t="n"/>
      <x:c r="BU28" s="5" t="n"/>
      <x:c r="BV28" s="5" t="n"/>
      <x:c r="BW28" s="5" t="n"/>
      <x:c r="BX28" s="5" t="n"/>
      <x:c r="BY28" s="5" t="n"/>
      <x:c r="BZ28" s="5" t="n"/>
      <x:c r="CA28" s="5" t="n"/>
      <x:c r="CB28" s="5" t="n"/>
      <x:c r="CC28" s="5" t="n"/>
      <x:c r="CD28" s="5" t="n"/>
      <x:c r="CE28" s="5" t="n"/>
    </x:row>
    <x:row r="29" ht="30" customHeight="1">
      <x:c r="A29" s="5" t="inlineStr">
        <x:is>
          <x:t xml:space="preserve">ER-65</x:t>
        </x:is>
      </x:c>
      <x:c r="B29" s="5" t="inlineStr">
        <x:is>
          <x:t xml:space="preserve">Sample</x:t>
        </x:is>
      </x:c>
      <x:c r="C29" s="5" t="inlineStr">
        <x:is>
          <x:t xml:space="preserve">[Sample] Network Devices Default Passwords Changed</x:t>
        </x:is>
      </x:c>
      <x:c r="D29" s="5" t="n"/>
      <x:c r="E29" s="5" t="inlineStr">
        <x:is>
          <x:t xml:space="preserve">1023.01d1System.11,1023.01d1System.11,1023.01d1System.11</x:t>
        </x:is>
      </x:c>
      <x:c r="F29" s="5" t="inlineStr">
        <x:is>
          <x:t xml:space="preserve">HITRUST,HITRUST,HITRUST</x:t>
        </x:is>
      </x:c>
      <x:c r="G29" s="5" t="n">
        <x:v>63</x:v>
      </x:c>
      <x:c r="H29" s="5" t="n">
        <x:v>0</x:v>
      </x:c>
      <x:c r="I29" s="5" t="n">
        <x:v>0</x:v>
      </x:c>
      <x:c r="J29" s="5" t="n"/>
      <x:c r="K29" s="5" t="n"/>
      <x:c r="L29" s="5" t="n">
        <x:v>3</x:v>
      </x:c>
      <x:c r="M29" s="5" t="n">
        <x:v>1</x:v>
      </x:c>
      <x:c r="N29" s="5" t="inlineStr">
        <x:is>
          <x:t xml:space="preserve">1023.01d1System.11</x:t>
        </x:is>
      </x:c>
      <x:c r="O29" s="5" t="n"/>
      <x:c r="P29" s="5" t="n"/>
      <x:c r="Q29" s="5" t="n"/>
      <x:c r="R29" s="5" t="n"/>
      <x:c r="S29" s="5" t="n"/>
      <x:c r="T29" s="5" t="n"/>
      <x:c r="U29" s="5" t="n"/>
      <x:c r="V29" s="5" t="n"/>
      <x:c r="W29" s="5" t="n"/>
      <x:c r="X29" s="5" t="n"/>
      <x:c r="Y29" s="5" t="n"/>
      <x:c r="Z29" s="5" t="n"/>
      <x:c r="AA29" s="5" t="n"/>
      <x:c r="AB29" s="5" t="n"/>
      <x:c r="AC29" s="5" t="n"/>
      <x:c r="AD29" s="5" t="n">
        <x:v>3</x:v>
      </x:c>
      <x:c r="AE29" s="5" t="n">
        <x:v>1</x:v>
      </x:c>
      <x:c r="AF29" s="5" t="inlineStr">
        <x:is>
          <x:t xml:space="preserve">HITRUST</x:t>
        </x:is>
      </x:c>
      <x:c r="AG29" s="5" t="n"/>
      <x:c r="AH29" s="5" t="n"/>
      <x:c r="AI29" s="5" t="n"/>
      <x:c r="AJ29" s="5" t="n"/>
      <x:c r="AK29" s="5" t="n"/>
      <x:c r="AL29" s="28" t="inlineStr">
        <x:is>
          <x:t xml:space="preserve">https://docs.google.com/document/d/1W5FC1d6oqcAnoxBiPHHQMdXo6_EqhnFeiMjXq4_dX9s/edit?usp=sharing</x:t>
        </x:is>
      </x:c>
      <x:c r="AM29" s="5" t="inlineStr">
        <x:is>
          <x:t xml:space="preserve">Local controls deduped from 3 exported tokens to 1 unique button tokens. Frameworks deduped from 3 exported tokens to 1 unique button tokens.</x:t>
        </x:is>
      </x:c>
      <x:c r="AN29" s="5" t="n"/>
      <x:c r="AO29" s="5" t="n"/>
      <x:c r="AP29" s="5" t="n"/>
      <x:c r="AQ29" s="5" t="n"/>
      <x:c r="AR29" s="5" t="n"/>
      <x:c r="AS29" s="5" t="n"/>
      <x:c r="AT29" s="5" t="n"/>
      <x:c r="AU29" s="5" t="n"/>
      <x:c r="AV29" s="5" t="n"/>
      <x:c r="AW29" s="5" t="n"/>
      <x:c r="AX29" s="5" t="n"/>
      <x:c r="AY29" s="5" t="n"/>
      <x:c r="AZ29" s="5" t="n"/>
      <x:c r="BA29" s="5" t="n"/>
      <x:c r="BB29" s="5" t="n"/>
      <x:c r="BC29" s="5" t="n"/>
      <x:c r="BD29" s="5" t="n"/>
      <x:c r="BE29" s="5" t="n"/>
      <x:c r="BF29" s="5" t="n"/>
      <x:c r="BG29" s="5" t="n"/>
      <x:c r="BH29" s="5" t="n"/>
      <x:c r="BI29" s="5" t="n"/>
      <x:c r="BJ29" s="5" t="n"/>
      <x:c r="BK29" s="5" t="n"/>
      <x:c r="BL29" s="5" t="n"/>
      <x:c r="BM29" s="5" t="n"/>
      <x:c r="BN29" s="5" t="n"/>
      <x:c r="BO29" s="5" t="n"/>
      <x:c r="BP29" s="5" t="n"/>
      <x:c r="BQ29" s="5" t="n"/>
      <x:c r="BR29" s="5" t="n"/>
      <x:c r="BS29" s="5" t="n"/>
      <x:c r="BT29" s="5" t="n"/>
      <x:c r="BU29" s="5" t="n"/>
      <x:c r="BV29" s="5" t="n"/>
      <x:c r="BW29" s="5" t="n"/>
      <x:c r="BX29" s="5" t="n"/>
      <x:c r="BY29" s="5" t="n"/>
      <x:c r="BZ29" s="5" t="n"/>
      <x:c r="CA29" s="5" t="n"/>
      <x:c r="CB29" s="5" t="n"/>
      <x:c r="CC29" s="5" t="n"/>
      <x:c r="CD29" s="5" t="n"/>
      <x:c r="CE29" s="5" t="n"/>
    </x:row>
    <x:row r="30" ht="30" customHeight="1">
      <x:c r="A30" s="5" t="inlineStr">
        <x:is>
          <x:t xml:space="preserve">ER-66</x:t>
        </x:is>
      </x:c>
      <x:c r="B30" s="5" t="inlineStr">
        <x:is>
          <x:t xml:space="preserve">Sample</x:t>
        </x:is>
      </x:c>
      <x:c r="C30" s="5" t="inlineStr">
        <x:is>
          <x:t xml:space="preserve">[Sample] User Accounts Assigned to Named Individuals</x:t>
        </x:is>
      </x:c>
      <x:c r="D30" s="5" t="n"/>
      <x:c r="E30" s="5" t="inlineStr">
        <x:is>
          <x:t xml:space="preserve">1123.01q1System.2,1123.01q1System.2,1123.01q1System.2</x:t>
        </x:is>
      </x:c>
      <x:c r="F30" s="5" t="inlineStr">
        <x:is>
          <x:t xml:space="preserve">HITRUST,HITRUST,HITRUST</x:t>
        </x:is>
      </x:c>
      <x:c r="G30" s="5" t="n">
        <x:v>64</x:v>
      </x:c>
      <x:c r="H30" s="5" t="n">
        <x:v>0</x:v>
      </x:c>
      <x:c r="I30" s="5" t="n">
        <x:v>0</x:v>
      </x:c>
      <x:c r="J30" s="5" t="n"/>
      <x:c r="K30" s="5" t="n"/>
      <x:c r="L30" s="5" t="n">
        <x:v>3</x:v>
      </x:c>
      <x:c r="M30" s="5" t="n">
        <x:v>1</x:v>
      </x:c>
      <x:c r="N30" s="5" t="inlineStr">
        <x:is>
          <x:t xml:space="preserve">1123.01q1System.2</x:t>
        </x:is>
      </x:c>
      <x:c r="O30" s="5" t="n"/>
      <x:c r="P30" s="5" t="n"/>
      <x:c r="Q30" s="5" t="n"/>
      <x:c r="R30" s="5" t="n"/>
      <x:c r="S30" s="5" t="n"/>
      <x:c r="T30" s="5" t="n"/>
      <x:c r="U30" s="5" t="n"/>
      <x:c r="V30" s="5" t="n"/>
      <x:c r="W30" s="5" t="n"/>
      <x:c r="X30" s="5" t="n"/>
      <x:c r="Y30" s="5" t="n"/>
      <x:c r="Z30" s="5" t="n"/>
      <x:c r="AA30" s="5" t="n"/>
      <x:c r="AB30" s="5" t="n"/>
      <x:c r="AC30" s="5" t="n"/>
      <x:c r="AD30" s="5" t="n">
        <x:v>3</x:v>
      </x:c>
      <x:c r="AE30" s="5" t="n">
        <x:v>1</x:v>
      </x:c>
      <x:c r="AF30" s="5" t="inlineStr">
        <x:is>
          <x:t xml:space="preserve">HITRUST</x:t>
        </x:is>
      </x:c>
      <x:c r="AG30" s="5" t="n"/>
      <x:c r="AH30" s="5" t="n"/>
      <x:c r="AI30" s="5" t="n"/>
      <x:c r="AJ30" s="5" t="n"/>
      <x:c r="AK30" s="5" t="n"/>
      <x:c r="AL30" s="28" t="inlineStr">
        <x:is>
          <x:t xml:space="preserve">https://docs.google.com/document/d/1W5FC1d6oqcAnoxBiPHHQMdXo6_EqhnFeiMjXq4_dX9s/edit?usp=sharing</x:t>
        </x:is>
      </x:c>
      <x:c r="AM30" s="5" t="inlineStr">
        <x:is>
          <x:t xml:space="preserve">Local controls deduped from 3 exported tokens to 1 unique button tokens. Frameworks deduped from 3 exported tokens to 1 unique button tokens.</x:t>
        </x:is>
      </x:c>
      <x:c r="AN30" s="5" t="n"/>
      <x:c r="AO30" s="5" t="n"/>
      <x:c r="AP30" s="5" t="n"/>
      <x:c r="AQ30" s="5" t="n"/>
      <x:c r="AR30" s="5" t="n"/>
      <x:c r="AS30" s="5" t="n"/>
      <x:c r="AT30" s="5" t="n"/>
      <x:c r="AU30" s="5" t="n"/>
      <x:c r="AV30" s="5" t="n"/>
      <x:c r="AW30" s="5" t="n"/>
      <x:c r="AX30" s="5" t="n"/>
      <x:c r="AY30" s="5" t="n"/>
      <x:c r="AZ30" s="5" t="n"/>
      <x:c r="BA30" s="5" t="n"/>
      <x:c r="BB30" s="5" t="n"/>
      <x:c r="BC30" s="5" t="n"/>
      <x:c r="BD30" s="5" t="n"/>
      <x:c r="BE30" s="5" t="n"/>
      <x:c r="BF30" s="5" t="n"/>
      <x:c r="BG30" s="5" t="n"/>
      <x:c r="BH30" s="5" t="n"/>
      <x:c r="BI30" s="5" t="n"/>
      <x:c r="BJ30" s="5" t="n"/>
      <x:c r="BK30" s="5" t="n"/>
      <x:c r="BL30" s="5" t="n"/>
      <x:c r="BM30" s="5" t="n"/>
      <x:c r="BN30" s="5" t="n"/>
      <x:c r="BO30" s="5" t="n"/>
      <x:c r="BP30" s="5" t="n"/>
      <x:c r="BQ30" s="5" t="n"/>
      <x:c r="BR30" s="5" t="n"/>
      <x:c r="BS30" s="5" t="n"/>
      <x:c r="BT30" s="5" t="n"/>
      <x:c r="BU30" s="5" t="n"/>
      <x:c r="BV30" s="5" t="n"/>
      <x:c r="BW30" s="5" t="n"/>
      <x:c r="BX30" s="5" t="n"/>
      <x:c r="BY30" s="5" t="n"/>
      <x:c r="BZ30" s="5" t="n"/>
      <x:c r="CA30" s="5" t="n"/>
      <x:c r="CB30" s="5" t="n"/>
      <x:c r="CC30" s="5" t="n"/>
      <x:c r="CD30" s="5" t="n"/>
      <x:c r="CE30" s="5" t="n"/>
    </x:row>
    <x:row r="31" ht="30" customHeight="1">
      <x:c r="A31" s="5" t="inlineStr">
        <x:is>
          <x:t xml:space="preserve">ER-67</x:t>
        </x:is>
      </x:c>
      <x:c r="B31" s="5" t="inlineStr">
        <x:is>
          <x:t xml:space="preserve">Configuration</x:t>
        </x:is>
      </x:c>
      <x:c r="C31" s="5" t="inlineStr">
        <x:is>
          <x:t xml:space="preserve">[Configuration] Password Vault and Shared Accounts</x:t>
        </x:is>
      </x:c>
      <x:c r="D31" s="5" t="inlineStr">
        <x:is>
          <x:t xml:space="preserve">Security,PCI DSS v4.0 - SAQ-A,PCI DSS v4.0 - ROC - Merchant</x:t>
        </x:is>
      </x:c>
      <x:c r="E31" s="5" t="inlineStr">
        <x:is>
          <x:t xml:space="preserve">REQ-28,REQ-31,1123.01q1System.2,A.05.15,A.05.17,A.05.18a,A.05.33,A.08.05a,A.08.24a,REQ-28-SOC1,REQ-31-SOC1,REQ-28-HIPAA,REQ-31-HIPAA,A.08.18,8.2.2,7.2.5,REQ-28,REQ-31,1123.01q1System.2,A.05.15,A.05.17,A.05.18a,A.05.33,A.08.05a,A.08.24a,REQ-28-SOC1,REQ-31-SOC1,REQ-28-HIPAA,REQ-31-HIPAA,A.08.18,8.2.2,7.2.5,REQ-28,REQ-31,1123.01q1System.2,A.05.15,A.05.17,A.05.18a,A.05.33,A.08.05a,A.08.24a,REQ-28-SOC1,REQ-31-SOC1,REQ-28-HIPAA,REQ-31-HIPAA,A.08.18,8.2.2,7.2.5,REQ-28,REQ-31,1123.01q1System.2,A.05.15,A.05.17,A.05.18a,A.05.33,A.08.05a,A.08.24a,REQ-28-SOC1,REQ-31-SOC1,REQ-28-HIPAA,REQ-31-HIPAA,A.08.18,8.2.2,7.2.5,REQ-28,REQ-31,1123.01q1System.2,A.05.15,A.05.17,A.05.18a,A.05.33,A.08.05a,A.08.24a,REQ-28-SOC1,REQ-31-SOC1,REQ-28-HIPAA,REQ-31-HIPAA,A.08.18,8.2.2,7.2.5,7.2.5</x:t>
        </x:is>
      </x:c>
      <x:c r="F31" s="5" t="inlineStr">
        <x:is>
          <x:t xml:space="preserve">SOC 2,SOC 2,HITRUST,ISO 27001/2 (2022),ISO 27001/2 (2022),ISO 27001/2 (2022),ISO 27001/2 (2022),ISO 27001/2 (2022),ISO 27001/2 (2022),SOC 1,SOC 1,HIPAA Security,HIPAA Security,ISO 27001/2 (2022),PCI DSS v4.0,PCI DSS v4.0,SOC 2,SOC 2,HITRUST,ISO 27001/2 (2022),ISO 27001/2 (2022),ISO 27001/2 (2022),ISO 27001/2 (2022),ISO 27001/2 (2022),ISO 27001/2 (2022),SOC 1,SOC 1,HIPAA Security,HIPAA Security,ISO 27001/2 (2022),PCI DSS v4.0,PCI DSS v4.0,SOC 2,SOC 2,HITRUST,ISO 27001/2 (2022),ISO 27001/2 (2022),ISO 27001/2 (2022),ISO 27001/2 (2022),ISO 27001/2 (2022),ISO 27001/2 (2022),SOC 1,SOC 1,HIPAA Security,HIPAA Security,ISO 27001/2 (2022),PCI DSS v4.0,PCI DSS v4.0,SOC 2,SOC 2,HITRUST,ISO 27001/2 (2022),ISO 27001/2 (2022),ISO 27001/2 (2022),ISO 27001/2 (2022),ISO 27001/2 (2022),ISO 27001/2 (2022),SOC 1,SOC 1,HIPAA Security,HIPAA Security,ISO 27001/2 (2022),PCI DSS v4.0,PCI DSS v4.0,SOC 2,SOC 2,HITRUST,ISO 27001/2 (2022),ISO 27001/2 (2022),ISO 27001/2 (2022),ISO 27001/2 (2022),ISO 27001/2 (2022),ISO 27001/2 (2022),SOC 1,SOC 1,HIPAA Security,HIPAA Security,ISO 27001/2 (2022),PCI DSS v4.0,PCI DSS v4.0,PCI DSS v4.0</x:t>
        </x:is>
      </x:c>
      <x:c r="G31" s="5" t="n">
        <x:v>65</x:v>
      </x:c>
      <x:c r="H31" s="5" t="n">
        <x:v>3</x:v>
      </x:c>
      <x:c r="I31" s="5" t="n">
        <x:v>3</x:v>
      </x:c>
      <x:c r="J31" s="5" t="inlineStr">
        <x:is>
          <x:t xml:space="preserve">Security</x:t>
        </x:is>
      </x:c>
      <x:c r="K31" s="5" t="inlineStr">
        <x:is>
          <x:t xml:space="preserve">PCI DSS v4.0 - SAQ-A</x:t>
        </x:is>
      </x:c>
      <x:c r="L31" s="5" t="n">
        <x:v>81</x:v>
      </x:c>
      <x:c r="M31" s="5" t="n">
        <x:v>16</x:v>
      </x:c>
      <x:c r="N31" s="5" t="inlineStr">
        <x:is>
          <x:t xml:space="preserve">REQ-28</x:t>
        </x:is>
      </x:c>
      <x:c r="O31" s="5" t="inlineStr">
        <x:is>
          <x:t xml:space="preserve">REQ-31</x:t>
        </x:is>
      </x:c>
      <x:c r="P31" s="5" t="inlineStr">
        <x:is>
          <x:t xml:space="preserve">1123.01q1System.2</x:t>
        </x:is>
      </x:c>
      <x:c r="Q31" s="5" t="inlineStr">
        <x:is>
          <x:t xml:space="preserve">A.05.15</x:t>
        </x:is>
      </x:c>
      <x:c r="R31" s="5" t="inlineStr">
        <x:is>
          <x:t xml:space="preserve">A.05.17</x:t>
        </x:is>
      </x:c>
      <x:c r="S31" s="5" t="inlineStr">
        <x:is>
          <x:t xml:space="preserve">A.05.18a</x:t>
        </x:is>
      </x:c>
      <x:c r="T31" s="5" t="inlineStr">
        <x:is>
          <x:t xml:space="preserve">A.05.33</x:t>
        </x:is>
      </x:c>
      <x:c r="U31" s="5" t="inlineStr">
        <x:is>
          <x:t xml:space="preserve">A.08.05a</x:t>
        </x:is>
      </x:c>
      <x:c r="V31" s="5" t="inlineStr">
        <x:is>
          <x:t xml:space="preserve">A.08.24a</x:t>
        </x:is>
      </x:c>
      <x:c r="W31" s="5" t="inlineStr">
        <x:is>
          <x:t xml:space="preserve">REQ-28-SOC1</x:t>
        </x:is>
      </x:c>
      <x:c r="X31" s="5" t="inlineStr">
        <x:is>
          <x:t xml:space="preserve">REQ-31-SOC1</x:t>
        </x:is>
      </x:c>
      <x:c r="Y31" s="5" t="inlineStr">
        <x:is>
          <x:t xml:space="preserve">REQ-28-HIPAA</x:t>
        </x:is>
      </x:c>
      <x:c r="Z31" s="5" t="inlineStr">
        <x:is>
          <x:t xml:space="preserve">REQ-31-HIPAA</x:t>
        </x:is>
      </x:c>
      <x:c r="AA31" s="5" t="inlineStr">
        <x:is>
          <x:t xml:space="preserve">A.08.18</x:t>
        </x:is>
      </x:c>
      <x:c r="AB31" s="5" t="inlineStr">
        <x:is>
          <x:t xml:space="preserve">8.2.2</x:t>
        </x:is>
      </x:c>
      <x:c r="AC31" s="5" t="inlineStr">
        <x:is>
          <x:t xml:space="preserve">7.2.5</x:t>
        </x:is>
      </x:c>
      <x:c r="AD31" s="5" t="n">
        <x:v>81</x:v>
      </x:c>
      <x:c r="AE31" s="5" t="n">
        <x:v>6</x:v>
      </x:c>
      <x:c r="AF31" s="5" t="inlineStr">
        <x:is>
          <x:t xml:space="preserve">SOC 2</x:t>
        </x:is>
      </x:c>
      <x:c r="AG31" s="5" t="inlineStr">
        <x:is>
          <x:t xml:space="preserve">HITRUST</x:t>
        </x:is>
      </x:c>
      <x:c r="AH31" s="5" t="inlineStr">
        <x:is>
          <x:t xml:space="preserve">ISO 27001/2 (2022)</x:t>
        </x:is>
      </x:c>
      <x:c r="AI31" s="5" t="inlineStr">
        <x:is>
          <x:t xml:space="preserve">SOC 1</x:t>
        </x:is>
      </x:c>
      <x:c r="AJ31" s="5" t="inlineStr">
        <x:is>
          <x:t xml:space="preserve">HIPAA Security</x:t>
        </x:is>
      </x:c>
      <x:c r="AK31" s="5" t="inlineStr">
        <x:is>
          <x:t xml:space="preserve">PCI DSS v4.0</x:t>
        </x:is>
      </x:c>
      <x:c r="AL31" s="28" t="inlineStr">
        <x:is>
          <x:t xml:space="preserve">https://docs.google.com/document/d/1W5FC1d6oqcAnoxBiPHHQMdXo6_EqhnFeiMjXq4_dX9s/edit?usp=sharing</x:t>
        </x:is>
      </x:c>
      <x:c r="AM31" s="5" t="inlineStr">
        <x:is>
          <x:t xml:space="preserve">Local controls deduped from 81 exported tokens to 16 unique button tokens. Frameworks deduped from 81 exported tokens to 6 unique button tokens. Preserved "ISO 27001/2 (2022)" as a single framework token to reflect Thoropass notation that references ISO 27001 together with the related 27002 guidance set.</x:t>
        </x:is>
      </x:c>
      <x:c r="AN31" s="5" t="n"/>
      <x:c r="AO31" s="5" t="n"/>
      <x:c r="AP31" s="5" t="n"/>
      <x:c r="AQ31" s="5" t="n"/>
      <x:c r="AR31" s="5" t="n"/>
      <x:c r="AS31" s="5" t="n"/>
      <x:c r="AT31" s="5" t="n"/>
      <x:c r="AU31" s="5" t="n"/>
      <x:c r="AV31" s="5" t="n"/>
      <x:c r="AW31" s="5" t="inlineStr">
        <x:is>
          <x:t xml:space="preserve">PCI DSS v4.0 - ROC - Merchant</x:t>
        </x:is>
      </x:c>
      <x:c r="AX31" s="5" t="n"/>
      <x:c r="AY31" s="5" t="n"/>
      <x:c r="AZ31" s="5" t="n"/>
      <x:c r="BA31" s="5" t="n"/>
      <x:c r="BB31" s="5" t="n"/>
      <x:c r="BC31" s="5" t="n"/>
      <x:c r="BD31" s="5" t="n"/>
      <x:c r="BE31" s="5" t="n"/>
      <x:c r="BF31" s="5" t="n"/>
      <x:c r="BG31" s="5" t="n"/>
      <x:c r="BH31" s="5" t="n"/>
      <x:c r="BI31" s="5" t="n"/>
      <x:c r="BJ31" s="5" t="n"/>
      <x:c r="BK31" s="5" t="n"/>
      <x:c r="BL31" s="5" t="n"/>
      <x:c r="BM31" s="5" t="n"/>
      <x:c r="BN31" s="5" t="n"/>
      <x:c r="BO31" s="5" t="n"/>
      <x:c r="BP31" s="5" t="n"/>
      <x:c r="BQ31" s="5" t="n"/>
      <x:c r="BR31" s="5" t="n"/>
      <x:c r="BS31" s="5" t="n"/>
      <x:c r="BT31" s="5" t="n"/>
      <x:c r="BU31" s="5" t="n"/>
      <x:c r="BV31" s="5" t="n"/>
      <x:c r="BW31" s="5" t="n"/>
      <x:c r="BX31" s="5" t="n"/>
      <x:c r="BY31" s="5" t="n"/>
      <x:c r="BZ31" s="5" t="n"/>
      <x:c r="CA31" s="5" t="n"/>
      <x:c r="CB31" s="5" t="n"/>
      <x:c r="CC31" s="5" t="n"/>
      <x:c r="CD31" s="5" t="n"/>
      <x:c r="CE31" s="5" t="n"/>
    </x:row>
    <x:row r="32" ht="30" customHeight="1">
      <x:c r="A32" s="5" t="inlineStr">
        <x:is>
          <x:t xml:space="preserve">ER-77</x:t>
        </x:is>
      </x:c>
      <x:c r="B32" s="5" t="inlineStr">
        <x:is>
          <x:t xml:space="preserve">Sample</x:t>
        </x:is>
      </x:c>
      <x:c r="C32" s="5" t="inlineStr">
        <x:is>
          <x:t xml:space="preserve">[Sample] Documented Authorization and Least Priviledge</x:t>
        </x:is>
      </x:c>
      <x:c r="D32" s="5" t="inlineStr">
        <x:is>
          <x:t xml:space="preserve">PCI DSS v4.0 - ROC - Merchant</x:t>
        </x:is>
      </x:c>
      <x:c r="E32" s="5" t="inlineStr">
        <x:is>
          <x:t xml:space="preserve">1143.01c1System.123,7.2.1,7.2.2,7.2.3,7.3.1,7.3.2,7.3.3,8.2.4,1143.01c1System.123,1143.01c1System.123</x:t>
        </x:is>
      </x:c>
      <x:c r="F32" s="5" t="inlineStr">
        <x:is>
          <x:t xml:space="preserve">HITRUST,PCI DSS v4.0,PCI DSS v4.0,PCI DSS v4.0,PCI DSS v4.0,PCI DSS v4.0,PCI DSS v4.0,PCI DSS v4.0,HITRUST,HITRUST</x:t>
        </x:is>
      </x:c>
      <x:c r="G32" s="5" t="n">
        <x:v>75</x:v>
      </x:c>
      <x:c r="H32" s="5" t="n">
        <x:v>1</x:v>
      </x:c>
      <x:c r="I32" s="5" t="n">
        <x:v>1</x:v>
      </x:c>
      <x:c r="J32" s="5" t="inlineStr">
        <x:is>
          <x:t xml:space="preserve">PCI DSS v4.0 - ROC - Merchant</x:t>
        </x:is>
      </x:c>
      <x:c r="K32" s="5" t="n"/>
      <x:c r="L32" s="5" t="n">
        <x:v>10</x:v>
      </x:c>
      <x:c r="M32" s="5" t="n">
        <x:v>8</x:v>
      </x:c>
      <x:c r="N32" s="5" t="inlineStr">
        <x:is>
          <x:t xml:space="preserve">1143.01c1System.123</x:t>
        </x:is>
      </x:c>
      <x:c r="O32" s="5" t="inlineStr">
        <x:is>
          <x:t xml:space="preserve">7.2.1</x:t>
        </x:is>
      </x:c>
      <x:c r="P32" s="5" t="inlineStr">
        <x:is>
          <x:t xml:space="preserve">7.2.2</x:t>
        </x:is>
      </x:c>
      <x:c r="Q32" s="5" t="inlineStr">
        <x:is>
          <x:t xml:space="preserve">7.2.3</x:t>
        </x:is>
      </x:c>
      <x:c r="R32" s="5" t="inlineStr">
        <x:is>
          <x:t xml:space="preserve">7.3.1</x:t>
        </x:is>
      </x:c>
      <x:c r="S32" s="5" t="inlineStr">
        <x:is>
          <x:t xml:space="preserve">7.3.2</x:t>
        </x:is>
      </x:c>
      <x:c r="T32" s="5" t="inlineStr">
        <x:is>
          <x:t xml:space="preserve">7.3.3</x:t>
        </x:is>
      </x:c>
      <x:c r="U32" s="5" t="inlineStr">
        <x:is>
          <x:t xml:space="preserve">8.2.4</x:t>
        </x:is>
      </x:c>
      <x:c r="V32" s="5" t="n"/>
      <x:c r="W32" s="5" t="n"/>
      <x:c r="X32" s="5" t="n"/>
      <x:c r="Y32" s="5" t="n"/>
      <x:c r="Z32" s="5" t="n"/>
      <x:c r="AA32" s="5" t="n"/>
      <x:c r="AB32" s="5" t="n"/>
      <x:c r="AC32" s="5" t="n"/>
      <x:c r="AD32" s="5" t="n">
        <x:v>10</x:v>
      </x:c>
      <x:c r="AE32" s="5" t="n">
        <x:v>2</x:v>
      </x:c>
      <x:c r="AF32" s="5" t="inlineStr">
        <x:is>
          <x:t xml:space="preserve">HITRUST</x:t>
        </x:is>
      </x:c>
      <x:c r="AG32" s="5" t="inlineStr">
        <x:is>
          <x:t xml:space="preserve">PCI DSS v4.0</x:t>
        </x:is>
      </x:c>
      <x:c r="AH32" s="5" t="n"/>
      <x:c r="AI32" s="5" t="n"/>
      <x:c r="AJ32" s="5" t="n"/>
      <x:c r="AK32" s="5" t="n"/>
      <x:c r="AL32" s="28" t="inlineStr">
        <x:is>
          <x:t xml:space="preserve">https://docs.google.com/document/d/1W5FC1d6oqcAnoxBiPHHQMdXo6_EqhnFeiMjXq4_dX9s/edit?usp=sharing</x:t>
        </x:is>
      </x:c>
      <x:c r="AM32" s="5" t="inlineStr">
        <x:is>
          <x:t xml:space="preserve">Local controls deduped from 10 exported tokens to 8 unique button tokens. Frameworks deduped from 10 exported tokens to 2 unique button tokens.</x:t>
        </x:is>
      </x:c>
      <x:c r="AN32" s="5" t="n"/>
      <x:c r="AO32" s="5" t="n"/>
      <x:c r="AP32" s="5" t="n"/>
      <x:c r="AQ32" s="5" t="n"/>
      <x:c r="AR32" s="5" t="n"/>
      <x:c r="AS32" s="5" t="n"/>
      <x:c r="AT32" s="5" t="n"/>
      <x:c r="AU32" s="5" t="n"/>
      <x:c r="AV32" s="5" t="n"/>
      <x:c r="AW32" s="5" t="n"/>
      <x:c r="AX32" s="5" t="n"/>
      <x:c r="AY32" s="5" t="n"/>
      <x:c r="AZ32" s="5" t="n"/>
      <x:c r="BA32" s="5" t="n"/>
      <x:c r="BB32" s="5" t="n"/>
      <x:c r="BC32" s="5" t="n"/>
      <x:c r="BD32" s="5" t="n"/>
      <x:c r="BE32" s="5" t="n"/>
      <x:c r="BF32" s="5" t="n"/>
      <x:c r="BG32" s="5" t="n"/>
      <x:c r="BH32" s="5" t="n"/>
      <x:c r="BI32" s="5" t="n"/>
      <x:c r="BJ32" s="5" t="n"/>
      <x:c r="BK32" s="5" t="n"/>
      <x:c r="BL32" s="5" t="n"/>
      <x:c r="BM32" s="5" t="n"/>
      <x:c r="BN32" s="5" t="n"/>
      <x:c r="BO32" s="5" t="n"/>
      <x:c r="BP32" s="5" t="n"/>
      <x:c r="BQ32" s="5" t="n"/>
      <x:c r="BR32" s="5" t="n"/>
      <x:c r="BS32" s="5" t="n"/>
      <x:c r="BT32" s="5" t="n"/>
      <x:c r="BU32" s="5" t="n"/>
      <x:c r="BV32" s="5" t="n"/>
      <x:c r="BW32" s="5" t="n"/>
      <x:c r="BX32" s="5" t="n"/>
      <x:c r="BY32" s="5" t="n"/>
      <x:c r="BZ32" s="5" t="n"/>
      <x:c r="CA32" s="5" t="n"/>
      <x:c r="CB32" s="5" t="n"/>
      <x:c r="CC32" s="5" t="n"/>
      <x:c r="CD32" s="5" t="n"/>
      <x:c r="CE32" s="5" t="n"/>
    </x:row>
    <x:row r="33" ht="30" customHeight="1">
      <x:c r="A33" s="5" t="inlineStr">
        <x:is>
          <x:t xml:space="preserve">ER-78</x:t>
        </x:is>
      </x:c>
      <x:c r="B33" s="5" t="inlineStr">
        <x:is>
          <x:t xml:space="preserve">Sample</x:t>
        </x:is>
      </x:c>
      <x:c r="C33" s="5" t="inlineStr">
        <x:is>
          <x:t xml:space="preserve">[Sample] Information System RBAC</x:t>
        </x:is>
      </x:c>
      <x:c r="D33" s="5" t="n"/>
      <x:c r="E33" s="5" t="inlineStr">
        <x:is>
          <x:t xml:space="preserve">1143.01c1System.123,1143.01c1System.123,1143.01c1System.123</x:t>
        </x:is>
      </x:c>
      <x:c r="F33" s="5" t="inlineStr">
        <x:is>
          <x:t xml:space="preserve">HITRUST,HITRUST,HITRUST</x:t>
        </x:is>
      </x:c>
      <x:c r="G33" s="5" t="n">
        <x:v>76</x:v>
      </x:c>
      <x:c r="H33" s="5" t="n">
        <x:v>0</x:v>
      </x:c>
      <x:c r="I33" s="5" t="n">
        <x:v>0</x:v>
      </x:c>
      <x:c r="J33" s="5" t="n"/>
      <x:c r="K33" s="5" t="n"/>
      <x:c r="L33" s="5" t="n">
        <x:v>3</x:v>
      </x:c>
      <x:c r="M33" s="5" t="n">
        <x:v>1</x:v>
      </x:c>
      <x:c r="N33" s="5" t="inlineStr">
        <x:is>
          <x:t xml:space="preserve">1143.01c1System.123</x:t>
        </x:is>
      </x:c>
      <x:c r="O33" s="5" t="n"/>
      <x:c r="P33" s="5" t="n"/>
      <x:c r="Q33" s="5" t="n"/>
      <x:c r="R33" s="5" t="n"/>
      <x:c r="S33" s="5" t="n"/>
      <x:c r="T33" s="5" t="n"/>
      <x:c r="U33" s="5" t="n"/>
      <x:c r="V33" s="5" t="n"/>
      <x:c r="W33" s="5" t="n"/>
      <x:c r="X33" s="5" t="n"/>
      <x:c r="Y33" s="5" t="n"/>
      <x:c r="Z33" s="5" t="n"/>
      <x:c r="AA33" s="5" t="n"/>
      <x:c r="AB33" s="5" t="n"/>
      <x:c r="AC33" s="5" t="n"/>
      <x:c r="AD33" s="5" t="n">
        <x:v>3</x:v>
      </x:c>
      <x:c r="AE33" s="5" t="n">
        <x:v>1</x:v>
      </x:c>
      <x:c r="AF33" s="5" t="inlineStr">
        <x:is>
          <x:t xml:space="preserve">HITRUST</x:t>
        </x:is>
      </x:c>
      <x:c r="AG33" s="5" t="n"/>
      <x:c r="AH33" s="5" t="n"/>
      <x:c r="AI33" s="5" t="n"/>
      <x:c r="AJ33" s="5" t="n"/>
      <x:c r="AK33" s="5" t="n"/>
      <x:c r="AL33" s="28" t="inlineStr">
        <x:is>
          <x:t xml:space="preserve">https://docs.google.com/document/d/1W5FC1d6oqcAnoxBiPHHQMdXo6_EqhnFeiMjXq4_dX9s/edit?usp=sharing</x:t>
        </x:is>
      </x:c>
      <x:c r="AM33" s="5" t="inlineStr">
        <x:is>
          <x:t xml:space="preserve">Local controls deduped from 3 exported tokens to 1 unique button tokens. Frameworks deduped from 3 exported tokens to 1 unique button tokens.</x:t>
        </x:is>
      </x:c>
      <x:c r="AN33" s="5" t="n"/>
      <x:c r="AO33" s="5" t="n"/>
      <x:c r="AP33" s="5" t="n"/>
      <x:c r="AQ33" s="5" t="n"/>
      <x:c r="AR33" s="5" t="n"/>
      <x:c r="AS33" s="5" t="n"/>
      <x:c r="AT33" s="5" t="n"/>
      <x:c r="AU33" s="5" t="n"/>
      <x:c r="AV33" s="5" t="n"/>
      <x:c r="AW33" s="5" t="n"/>
      <x:c r="AX33" s="5" t="n"/>
      <x:c r="AY33" s="5" t="n"/>
      <x:c r="AZ33" s="5" t="n"/>
      <x:c r="BA33" s="5" t="n"/>
      <x:c r="BB33" s="5" t="n"/>
      <x:c r="BC33" s="5" t="n"/>
      <x:c r="BD33" s="5" t="n"/>
      <x:c r="BE33" s="5" t="n"/>
      <x:c r="BF33" s="5" t="n"/>
      <x:c r="BG33" s="5" t="n"/>
      <x:c r="BH33" s="5" t="n"/>
      <x:c r="BI33" s="5" t="n"/>
      <x:c r="BJ33" s="5" t="n"/>
      <x:c r="BK33" s="5" t="n"/>
      <x:c r="BL33" s="5" t="n"/>
      <x:c r="BM33" s="5" t="n"/>
      <x:c r="BN33" s="5" t="n"/>
      <x:c r="BO33" s="5" t="n"/>
      <x:c r="BP33" s="5" t="n"/>
      <x:c r="BQ33" s="5" t="n"/>
      <x:c r="BR33" s="5" t="n"/>
      <x:c r="BS33" s="5" t="n"/>
      <x:c r="BT33" s="5" t="n"/>
      <x:c r="BU33" s="5" t="n"/>
      <x:c r="BV33" s="5" t="n"/>
      <x:c r="BW33" s="5" t="n"/>
      <x:c r="BX33" s="5" t="n"/>
      <x:c r="BY33" s="5" t="n"/>
      <x:c r="BZ33" s="5" t="n"/>
      <x:c r="CA33" s="5" t="n"/>
      <x:c r="CB33" s="5" t="n"/>
      <x:c r="CC33" s="5" t="n"/>
      <x:c r="CD33" s="5" t="n"/>
      <x:c r="CE33" s="5" t="n"/>
    </x:row>
    <x:row r="34" ht="30" customHeight="1">
      <x:c r="A34" s="5" t="inlineStr">
        <x:is>
          <x:t xml:space="preserve">ER-79</x:t>
        </x:is>
      </x:c>
      <x:c r="B34" s="5" t="inlineStr">
        <x:is>
          <x:t xml:space="preserve">Sample</x:t>
        </x:is>
      </x:c>
      <x:c r="C34" s="5" t="inlineStr">
        <x:is>
          <x:t xml:space="preserve">[Sample] Privileged Accounts</x:t>
        </x:is>
      </x:c>
      <x:c r="D34" s="5" t="n"/>
      <x:c r="E34" s="5" t="inlineStr">
        <x:is>
          <x:t xml:space="preserve">1151.01c1System.2,11183.01c1System.3,1143.01c1System.123,1151.01c1System.2,11183.01c1System.3,1143.01c1System.123,1151.01c1System.2,11183.01c1System.3,1143.01c1System.123,1151.01c1System.2,11183.01c1System.3,1143.01c1System.123</x:t>
        </x:is>
      </x:c>
      <x:c r="F34" s="5" t="inlineStr">
        <x:is>
          <x:t xml:space="preserve">HITRUST,HITRUST,HITRUST,HITRUST,HITRUST,HITRUST,HITRUST,HITRUST,HITRUST,HITRUST,HITRUST,HITRUST</x:t>
        </x:is>
      </x:c>
      <x:c r="G34" s="5" t="n">
        <x:v>77</x:v>
      </x:c>
      <x:c r="H34" s="5" t="n">
        <x:v>0</x:v>
      </x:c>
      <x:c r="I34" s="5" t="n">
        <x:v>0</x:v>
      </x:c>
      <x:c r="J34" s="5" t="n"/>
      <x:c r="K34" s="5" t="n"/>
      <x:c r="L34" s="5" t="n">
        <x:v>12</x:v>
      </x:c>
      <x:c r="M34" s="5" t="n">
        <x:v>3</x:v>
      </x:c>
      <x:c r="N34" s="5" t="inlineStr">
        <x:is>
          <x:t xml:space="preserve">1151.01c1System.2</x:t>
        </x:is>
      </x:c>
      <x:c r="O34" s="5" t="inlineStr">
        <x:is>
          <x:t xml:space="preserve">11183.01c1System.3</x:t>
        </x:is>
      </x:c>
      <x:c r="P34" s="5" t="inlineStr">
        <x:is>
          <x:t xml:space="preserve">1143.01c1System.123</x:t>
        </x:is>
      </x:c>
      <x:c r="Q34" s="5" t="n"/>
      <x:c r="R34" s="5" t="n"/>
      <x:c r="S34" s="5" t="n"/>
      <x:c r="T34" s="5" t="n"/>
      <x:c r="U34" s="5" t="n"/>
      <x:c r="V34" s="5" t="n"/>
      <x:c r="W34" s="5" t="n"/>
      <x:c r="X34" s="5" t="n"/>
      <x:c r="Y34" s="5" t="n"/>
      <x:c r="Z34" s="5" t="n"/>
      <x:c r="AA34" s="5" t="n"/>
      <x:c r="AB34" s="5" t="n"/>
      <x:c r="AC34" s="5" t="n"/>
      <x:c r="AD34" s="5" t="n">
        <x:v>12</x:v>
      </x:c>
      <x:c r="AE34" s="5" t="n">
        <x:v>1</x:v>
      </x:c>
      <x:c r="AF34" s="5" t="inlineStr">
        <x:is>
          <x:t xml:space="preserve">HITRUST</x:t>
        </x:is>
      </x:c>
      <x:c r="AG34" s="5" t="n"/>
      <x:c r="AH34" s="5" t="n"/>
      <x:c r="AI34" s="5" t="n"/>
      <x:c r="AJ34" s="5" t="n"/>
      <x:c r="AK34" s="5" t="n"/>
      <x:c r="AL34" s="28" t="inlineStr">
        <x:is>
          <x:t xml:space="preserve">https://docs.google.com/document/d/1W5FC1d6oqcAnoxBiPHHQMdXo6_EqhnFeiMjXq4_dX9s/edit?usp=sharing</x:t>
        </x:is>
      </x:c>
      <x:c r="AM34" s="5" t="inlineStr">
        <x:is>
          <x:t xml:space="preserve">Local controls deduped from 12 exported tokens to 3 unique button tokens. Frameworks deduped from 12 exported tokens to 1 unique button tokens.</x:t>
        </x:is>
      </x:c>
      <x:c r="AN34" s="5" t="n"/>
      <x:c r="AO34" s="5" t="n"/>
      <x:c r="AP34" s="5" t="n"/>
      <x:c r="AQ34" s="5" t="n"/>
      <x:c r="AR34" s="5" t="n"/>
      <x:c r="AS34" s="5" t="n"/>
      <x:c r="AT34" s="5" t="n"/>
      <x:c r="AU34" s="5" t="n"/>
      <x:c r="AV34" s="5" t="n"/>
      <x:c r="AW34" s="5" t="n"/>
      <x:c r="AX34" s="5" t="n"/>
      <x:c r="AY34" s="5" t="n"/>
      <x:c r="AZ34" s="5" t="n"/>
      <x:c r="BA34" s="5" t="n"/>
      <x:c r="BB34" s="5" t="n"/>
      <x:c r="BC34" s="5" t="n"/>
      <x:c r="BD34" s="5" t="n"/>
      <x:c r="BE34" s="5" t="n"/>
      <x:c r="BF34" s="5" t="n"/>
      <x:c r="BG34" s="5" t="n"/>
      <x:c r="BH34" s="5" t="n"/>
      <x:c r="BI34" s="5" t="n"/>
      <x:c r="BJ34" s="5" t="n"/>
      <x:c r="BK34" s="5" t="n"/>
      <x:c r="BL34" s="5" t="n"/>
      <x:c r="BM34" s="5" t="n"/>
      <x:c r="BN34" s="5" t="n"/>
      <x:c r="BO34" s="5" t="n"/>
      <x:c r="BP34" s="5" t="n"/>
      <x:c r="BQ34" s="5" t="n"/>
      <x:c r="BR34" s="5" t="n"/>
      <x:c r="BS34" s="5" t="n"/>
      <x:c r="BT34" s="5" t="n"/>
      <x:c r="BU34" s="5" t="n"/>
      <x:c r="BV34" s="5" t="n"/>
      <x:c r="BW34" s="5" t="n"/>
      <x:c r="BX34" s="5" t="n"/>
      <x:c r="BY34" s="5" t="n"/>
      <x:c r="BZ34" s="5" t="n"/>
      <x:c r="CA34" s="5" t="n"/>
      <x:c r="CB34" s="5" t="n"/>
      <x:c r="CC34" s="5" t="n"/>
      <x:c r="CD34" s="5" t="n"/>
      <x:c r="CE34" s="5" t="n"/>
    </x:row>
    <x:row r="35" ht="30" customHeight="1">
      <x:c r="A35" s="5" t="inlineStr">
        <x:is>
          <x:t xml:space="preserve">ER-80</x:t>
        </x:is>
      </x:c>
      <x:c r="B35" s="5" t="inlineStr">
        <x:is>
          <x:t xml:space="preserve">Sample</x:t>
        </x:is>
      </x:c>
      <x:c r="C35" s="5" t="inlineStr">
        <x:is>
          <x:t xml:space="preserve">[Sample] Privileged Account Separation</x:t>
        </x:is>
      </x:c>
      <x:c r="D35" s="5" t="n"/>
      <x:c r="E35" s="5" t="inlineStr">
        <x:is>
          <x:t xml:space="preserve">11183.01c1System.3,11183.01c1System.3,11183.01c1System.3</x:t>
        </x:is>
      </x:c>
      <x:c r="F35" s="5" t="inlineStr">
        <x:is>
          <x:t xml:space="preserve">HITRUST,HITRUST,HITRUST</x:t>
        </x:is>
      </x:c>
      <x:c r="G35" s="5" t="n">
        <x:v>78</x:v>
      </x:c>
      <x:c r="H35" s="5" t="n">
        <x:v>0</x:v>
      </x:c>
      <x:c r="I35" s="5" t="n">
        <x:v>0</x:v>
      </x:c>
      <x:c r="J35" s="5" t="n"/>
      <x:c r="K35" s="5" t="n"/>
      <x:c r="L35" s="5" t="n">
        <x:v>3</x:v>
      </x:c>
      <x:c r="M35" s="5" t="n">
        <x:v>1</x:v>
      </x:c>
      <x:c r="N35" s="5" t="inlineStr">
        <x:is>
          <x:t xml:space="preserve">11183.01c1System.3</x:t>
        </x:is>
      </x:c>
      <x:c r="O35" s="5" t="n"/>
      <x:c r="P35" s="5" t="n"/>
      <x:c r="Q35" s="5" t="n"/>
      <x:c r="R35" s="5" t="n"/>
      <x:c r="S35" s="5" t="n"/>
      <x:c r="T35" s="5" t="n"/>
      <x:c r="U35" s="5" t="n"/>
      <x:c r="V35" s="5" t="n"/>
      <x:c r="W35" s="5" t="n"/>
      <x:c r="X35" s="5" t="n"/>
      <x:c r="Y35" s="5" t="n"/>
      <x:c r="Z35" s="5" t="n"/>
      <x:c r="AA35" s="5" t="n"/>
      <x:c r="AB35" s="5" t="n"/>
      <x:c r="AC35" s="5" t="n"/>
      <x:c r="AD35" s="5" t="n">
        <x:v>3</x:v>
      </x:c>
      <x:c r="AE35" s="5" t="n">
        <x:v>1</x:v>
      </x:c>
      <x:c r="AF35" s="5" t="inlineStr">
        <x:is>
          <x:t xml:space="preserve">HITRUST</x:t>
        </x:is>
      </x:c>
      <x:c r="AG35" s="5" t="n"/>
      <x:c r="AH35" s="5" t="n"/>
      <x:c r="AI35" s="5" t="n"/>
      <x:c r="AJ35" s="5" t="n"/>
      <x:c r="AK35" s="5" t="n"/>
      <x:c r="AL35" s="28" t="inlineStr">
        <x:is>
          <x:t xml:space="preserve">https://docs.google.com/document/d/1W5FC1d6oqcAnoxBiPHHQMdXo6_EqhnFeiMjXq4_dX9s/edit?usp=sharing</x:t>
        </x:is>
      </x:c>
      <x:c r="AM35" s="5" t="inlineStr">
        <x:is>
          <x:t xml:space="preserve">Local controls deduped from 3 exported tokens to 1 unique button tokens. Frameworks deduped from 3 exported tokens to 1 unique button tokens.</x:t>
        </x:is>
      </x:c>
      <x:c r="AN35" s="5" t="n"/>
      <x:c r="AO35" s="5" t="n"/>
      <x:c r="AP35" s="5" t="n"/>
      <x:c r="AQ35" s="5" t="n"/>
      <x:c r="AR35" s="5" t="n"/>
      <x:c r="AS35" s="5" t="n"/>
      <x:c r="AT35" s="5" t="n"/>
      <x:c r="AU35" s="5" t="n"/>
      <x:c r="AV35" s="5" t="n"/>
      <x:c r="AW35" s="5" t="n"/>
      <x:c r="AX35" s="5" t="n"/>
      <x:c r="AY35" s="5" t="n"/>
      <x:c r="AZ35" s="5" t="n"/>
      <x:c r="BA35" s="5" t="n"/>
      <x:c r="BB35" s="5" t="n"/>
      <x:c r="BC35" s="5" t="n"/>
      <x:c r="BD35" s="5" t="n"/>
      <x:c r="BE35" s="5" t="n"/>
      <x:c r="BF35" s="5" t="n"/>
      <x:c r="BG35" s="5" t="n"/>
      <x:c r="BH35" s="5" t="n"/>
      <x:c r="BI35" s="5" t="n"/>
      <x:c r="BJ35" s="5" t="n"/>
      <x:c r="BK35" s="5" t="n"/>
      <x:c r="BL35" s="5" t="n"/>
      <x:c r="BM35" s="5" t="n"/>
      <x:c r="BN35" s="5" t="n"/>
      <x:c r="BO35" s="5" t="n"/>
      <x:c r="BP35" s="5" t="n"/>
      <x:c r="BQ35" s="5" t="n"/>
      <x:c r="BR35" s="5" t="n"/>
      <x:c r="BS35" s="5" t="n"/>
      <x:c r="BT35" s="5" t="n"/>
      <x:c r="BU35" s="5" t="n"/>
      <x:c r="BV35" s="5" t="n"/>
      <x:c r="BW35" s="5" t="n"/>
      <x:c r="BX35" s="5" t="n"/>
      <x:c r="BY35" s="5" t="n"/>
      <x:c r="BZ35" s="5" t="n"/>
      <x:c r="CA35" s="5" t="n"/>
      <x:c r="CB35" s="5" t="n"/>
      <x:c r="CC35" s="5" t="n"/>
      <x:c r="CD35" s="5" t="n"/>
      <x:c r="CE35" s="5" t="n"/>
    </x:row>
    <x:row r="36" ht="30" customHeight="1">
      <x:c r="A36" s="5" t="inlineStr">
        <x:is>
          <x:t xml:space="preserve">ER-83</x:t>
        </x:is>
      </x:c>
      <x:c r="B36" s="5" t="inlineStr">
        <x:is>
          <x:t xml:space="preserve">Configuration</x:t>
        </x:is>
      </x:c>
      <x:c r="C36" s="5" t="inlineStr">
        <x:is>
          <x:t xml:space="preserve">[Configuration] Network Diagram and Segmentation</x:t>
        </x:is>
      </x:c>
      <x:c r="D36" s="5" t="inlineStr">
        <x:is>
          <x:t xml:space="preserve">Security,PCI DSS v4.0 - ROC - Merchant</x:t>
        </x:is>
      </x:c>
      <x:c r="E36" s="5" t="inlineStr">
        <x:is>
          <x:t xml:space="preserve">REQ-36,0805.01m1Organizational.12,A.08.20,A.08.21,A.08.22,REQ-36-SOC1,REQ-36-HIPAA,0504.09m1Organizational.13,1.2.3,1.2.4,6.5.2,REQ-36,0805.01m1Organizational.12,A.08.20,A.08.21,A.08.22,REQ-36-SOC1,REQ-36-HIPAA,0504.09m1Organizational.13,1.2.3,1.2.4,6.5.2,REQ-36,0805.01m1Organizational.12,A.08.20,A.08.21,A.08.22,REQ-36-SOC1,REQ-36-HIPAA,1.2.3,1.2.4,REQ-36,0805.01m1Organizational.12,A.08.20,A.08.21,A.08.22,REQ-36-SOC1,REQ-36-HIPAA,1.2.3,1.2.4,0504.09m1Organizational.13,1.2.3,1.2.4,0504.09m1Organizational.13,1.2.3,1.2.4,1.2.4,1.2.4,1.2.4,1.2.4,6.5.2</x:t>
        </x:is>
      </x:c>
      <x:c r="F36" s="5" t="inlineStr">
        <x:is>
          <x:t xml:space="preserve">SOC 2,HITRUST,ISO 27001/2 (2022),ISO 27001/2 (2022),ISO 27001/2 (2022),SOC 1,HIPAA Security,HITRUST,PCI DSS v4.0,PCI DSS v4.0,PCI DSS v4.0,SOC 2,HITRUST,ISO 27001/2 (2022),ISO 27001/2 (2022),ISO 27001/2 (2022),SOC 1,HIPAA Security,HITRUST,PCI DSS v4.0,PCI DSS v4.0,PCI DSS v4.0,SOC 2,HITRUST,ISO 27001/2 (2022),ISO 27001/2 (2022),ISO 27001/2 (2022),SOC 1,HIPAA Security,PCI DSS v4.0,PCI DSS v4.0,SOC 2,HITRUST,ISO 27001/2 (2022),ISO 27001/2 (2022),ISO 27001/2 (2022),SOC 1,HIPAA Security,PCI DSS v4.0,PCI DSS v4.0,HITRUST,PCI DSS v4.0,PCI DSS v4.0,HITRUST,PCI DSS v4.0,PCI DSS v4.0,PCI DSS v4.0,PCI DSS v4.0,PCI DSS v4.0,PCI DSS v4.0,PCI DSS v4.0</x:t>
        </x:is>
      </x:c>
      <x:c r="G36" s="5" t="n">
        <x:v>80</x:v>
      </x:c>
      <x:c r="H36" s="5" t="n">
        <x:v>2</x:v>
      </x:c>
      <x:c r="I36" s="5" t="n">
        <x:v>2</x:v>
      </x:c>
      <x:c r="J36" s="5" t="inlineStr">
        <x:is>
          <x:t xml:space="preserve">Security</x:t>
        </x:is>
      </x:c>
      <x:c r="K36" s="5" t="inlineStr">
        <x:is>
          <x:t xml:space="preserve">PCI DSS v4.0 - ROC - Merchant</x:t>
        </x:is>
      </x:c>
      <x:c r="L36" s="5" t="n">
        <x:v>51</x:v>
      </x:c>
      <x:c r="M36" s="5" t="n">
        <x:v>11</x:v>
      </x:c>
      <x:c r="N36" s="5" t="inlineStr">
        <x:is>
          <x:t xml:space="preserve">REQ-36</x:t>
        </x:is>
      </x:c>
      <x:c r="O36" s="5" t="inlineStr">
        <x:is>
          <x:t xml:space="preserve">0805.01m1Organizational.12</x:t>
        </x:is>
      </x:c>
      <x:c r="P36" s="5" t="inlineStr">
        <x:is>
          <x:t xml:space="preserve">A.08.20</x:t>
        </x:is>
      </x:c>
      <x:c r="Q36" s="5" t="inlineStr">
        <x:is>
          <x:t xml:space="preserve">A.08.21</x:t>
        </x:is>
      </x:c>
      <x:c r="R36" s="5" t="inlineStr">
        <x:is>
          <x:t xml:space="preserve">A.08.22</x:t>
        </x:is>
      </x:c>
      <x:c r="S36" s="5" t="inlineStr">
        <x:is>
          <x:t xml:space="preserve">REQ-36-SOC1</x:t>
        </x:is>
      </x:c>
      <x:c r="T36" s="5" t="inlineStr">
        <x:is>
          <x:t xml:space="preserve">REQ-36-HIPAA</x:t>
        </x:is>
      </x:c>
      <x:c r="U36" s="5" t="inlineStr">
        <x:is>
          <x:t xml:space="preserve">0504.09m1Organizational.13</x:t>
        </x:is>
      </x:c>
      <x:c r="V36" s="5" t="inlineStr">
        <x:is>
          <x:t xml:space="preserve">1.2.3</x:t>
        </x:is>
      </x:c>
      <x:c r="W36" s="5" t="inlineStr">
        <x:is>
          <x:t xml:space="preserve">1.2.4</x:t>
        </x:is>
      </x:c>
      <x:c r="X36" s="5" t="inlineStr">
        <x:is>
          <x:t xml:space="preserve">6.5.2</x:t>
        </x:is>
      </x:c>
      <x:c r="Y36" s="5" t="n"/>
      <x:c r="Z36" s="5" t="n"/>
      <x:c r="AA36" s="5" t="n"/>
      <x:c r="AB36" s="5" t="n"/>
      <x:c r="AC36" s="5" t="n"/>
      <x:c r="AD36" s="5" t="n">
        <x:v>51</x:v>
      </x:c>
      <x:c r="AE36" s="5" t="n">
        <x:v>6</x:v>
      </x:c>
      <x:c r="AF36" s="5" t="inlineStr">
        <x:is>
          <x:t xml:space="preserve">SOC 2</x:t>
        </x:is>
      </x:c>
      <x:c r="AG36" s="5" t="inlineStr">
        <x:is>
          <x:t xml:space="preserve">HITRUST</x:t>
        </x:is>
      </x:c>
      <x:c r="AH36" s="5" t="inlineStr">
        <x:is>
          <x:t xml:space="preserve">ISO 27001/2 (2022)</x:t>
        </x:is>
      </x:c>
      <x:c r="AI36" s="5" t="inlineStr">
        <x:is>
          <x:t xml:space="preserve">SOC 1</x:t>
        </x:is>
      </x:c>
      <x:c r="AJ36" s="5" t="inlineStr">
        <x:is>
          <x:t xml:space="preserve">HIPAA Security</x:t>
        </x:is>
      </x:c>
      <x:c r="AK36" s="5" t="inlineStr">
        <x:is>
          <x:t xml:space="preserve">PCI DSS v4.0</x:t>
        </x:is>
      </x:c>
      <x:c r="AL36" s="28" t="inlineStr">
        <x:is>
          <x:t xml:space="preserve">https://docs.google.com/document/d/1W5FC1d6oqcAnoxBiPHHQMdXo6_EqhnFeiMjXq4_dX9s/edit?usp=sharing</x:t>
        </x:is>
      </x:c>
      <x:c r="AM36" s="5" t="inlineStr">
        <x:is>
          <x:t xml:space="preserve">Local controls deduped from 51 exported tokens to 11 unique button tokens. Frameworks deduped from 51 exported tokens to 6 unique button tokens. Preserved "ISO 27001/2 (2022)" as a single framework token to reflect Thoropass notation that references ISO 27001 together with the related 27002 guidance set.</x:t>
        </x:is>
      </x:c>
      <x:c r="AN36" s="5" t="n"/>
      <x:c r="AO36" s="5" t="n"/>
      <x:c r="AP36" s="5" t="n"/>
      <x:c r="AQ36" s="5" t="n"/>
      <x:c r="AR36" s="5" t="n"/>
      <x:c r="AS36" s="5" t="n"/>
      <x:c r="AT36" s="5" t="n"/>
      <x:c r="AU36" s="5" t="n"/>
      <x:c r="AV36" s="5" t="n"/>
      <x:c r="AW36" s="5" t="n"/>
      <x:c r="AX36" s="5" t="n"/>
      <x:c r="AY36" s="5" t="n"/>
      <x:c r="AZ36" s="5" t="n"/>
      <x:c r="BA36" s="5" t="n"/>
      <x:c r="BB36" s="5" t="n"/>
      <x:c r="BC36" s="5" t="n"/>
      <x:c r="BD36" s="5" t="n"/>
      <x:c r="BE36" s="5" t="n"/>
      <x:c r="BF36" s="5" t="n"/>
      <x:c r="BG36" s="5" t="n"/>
      <x:c r="BH36" s="5" t="n"/>
      <x:c r="BI36" s="5" t="n"/>
      <x:c r="BJ36" s="5" t="n"/>
      <x:c r="BK36" s="5" t="n"/>
      <x:c r="BL36" s="5" t="n"/>
      <x:c r="BM36" s="5" t="n"/>
      <x:c r="BN36" s="5" t="n"/>
      <x:c r="BO36" s="5" t="n"/>
      <x:c r="BP36" s="5" t="n"/>
      <x:c r="BQ36" s="5" t="n"/>
      <x:c r="BR36" s="5" t="n"/>
      <x:c r="BS36" s="5" t="n"/>
      <x:c r="BT36" s="5" t="n"/>
      <x:c r="BU36" s="5" t="n"/>
      <x:c r="BV36" s="5" t="n"/>
      <x:c r="BW36" s="5" t="n"/>
      <x:c r="BX36" s="5" t="n"/>
      <x:c r="BY36" s="5" t="n"/>
      <x:c r="BZ36" s="5" t="n"/>
      <x:c r="CA36" s="5" t="n"/>
      <x:c r="CB36" s="5" t="n"/>
      <x:c r="CC36" s="5" t="n"/>
      <x:c r="CD36" s="5" t="n"/>
      <x:c r="CE36" s="5" t="n"/>
    </x:row>
    <x:row r="37" ht="30" customHeight="1">
      <x:c r="A37" s="5" t="inlineStr">
        <x:is>
          <x:t xml:space="preserve">ER-84</x:t>
        </x:is>
      </x:c>
      <x:c r="B37" s="5" t="inlineStr">
        <x:is>
          <x:t xml:space="preserve">Sample</x:t>
        </x:is>
      </x:c>
      <x:c r="C37" s="5" t="inlineStr">
        <x:is>
          <x:t xml:space="preserve">[Sample] Employee Termination Ticket</x:t>
        </x:is>
      </x:c>
      <x:c r="D37" s="5" t="inlineStr">
        <x:is>
          <x:t xml:space="preserve">Security,PCI DSS v4.0 - ROC - Merchant</x:t>
        </x:is>
      </x:c>
      <x:c r="E37" s="5" t="inlineStr">
        <x:is>
          <x:t xml:space="preserve">REQ-31,A.05.15,A.05.18a,A.08.03,A.06.05,A.06.06,11143.02i1Organizational.3,REQ-31-SOC1,A.08.05a,REQ-31-HIPAA,A.05.16,8.2.4,8.2.5,REQ-31,A.05.15,A.05.18a,A.08.03,A.06.05,A.06.06,11143.02i1Organizational.3,REQ-31-SOC1,A.08.05a,REQ-31-HIPAA,A.05.16,8.2.4,8.2.5,REQ-31,A.05.15,A.05.18a,A.08.03,A.06.05,A.06.06,REQ-31-SOC1,A.08.05a,REQ-31-HIPAA,A.05.16,8.2.4,8.2.5,REQ-31,A.05.15,A.05.18a,A.08.03,A.06.05,A.06.06,REQ-31-SOC1,A.08.05a,REQ-31-HIPAA,A.05.16,8.2.4,8.2.5,REQ-31,A.05.15,A.05.18a,A.08.03,A.06.05,A.06.06,REQ-31-SOC1,A.08.05a,REQ-31-HIPAA,A.05.16,8.2.4,8.2.5,REQ-31,A.05.15,A.05.18a,A.08.03,A.06.05,A.06.06,REQ-31-SOC1,A.08.05a,REQ-31-HIPAA,A.05.16,8.2.4,8.2.5,11143.02i1Organizational.3</x:t>
        </x:is>
      </x:c>
      <x:c r="F37" s="5" t="inlineStr">
        <x:is>
          <x:t xml:space="preserve">SOC 2,ISO 27001/2 (2022),ISO 27001/2 (2022),ISO 27001/2 (2022),ISO 27001/2 (2022),ISO 27001/2 (2022),HITRUST,SOC 1,ISO 27001/2 (2022),HIPAA Security,ISO 27001/2 (2022),PCI DSS v4.0,PCI DSS v4.0,SOC 2,ISO 27001/2 (2022),ISO 27001/2 (2022),ISO 27001/2 (2022),ISO 27001/2 (2022),ISO 27001/2 (2022),HITRUST,SOC 1,ISO 27001/2 (2022),HIPAA Security,ISO 27001/2 (2022),PCI DSS v4.0,PCI DSS v4.0,SOC 2,ISO 27001/2 (2022),ISO 27001/2 (2022),ISO 27001/2 (2022),ISO 27001/2 (2022),ISO 27001/2 (2022),SOC 1,ISO 27001/2 (2022),HIPAA Security,ISO 27001/2 (2022),PCI DSS v4.0,PCI DSS v4.0,SOC 2,ISO 27001/2 (2022),ISO 27001/2 (2022),ISO 27001/2 (2022),ISO 27001/2 (2022),ISO 27001/2 (2022),SOC 1,ISO 27001/2 (2022),HIPAA Security,ISO 27001/2 (2022),PCI DSS v4.0,PCI DSS v4.0,SOC 2,ISO 27001/2 (2022),ISO 27001/2 (2022),ISO 27001/2 (2022),ISO 27001/2 (2022),ISO 27001/2 (2022),SOC 1,ISO 27001/2 (2022),HIPAA Security,ISO 27001/2 (2022),PCI DSS v4.0,PCI DSS v4.0,SOC 2,ISO 27001/2 (2022),ISO 27001/2 (2022),ISO 27001/2 (2022),ISO 27001/2 (2022),ISO 27001/2 (2022),SOC 1,ISO 27001/2 (2022),HIPAA Security,ISO 27001/2 (2022),PCI DSS v4.0,PCI DSS v4.0,HITRUST</x:t>
        </x:is>
      </x:c>
      <x:c r="G37" s="5" t="n">
        <x:v>81</x:v>
      </x:c>
      <x:c r="H37" s="5" t="n">
        <x:v>2</x:v>
      </x:c>
      <x:c r="I37" s="5" t="n">
        <x:v>2</x:v>
      </x:c>
      <x:c r="J37" s="5" t="inlineStr">
        <x:is>
          <x:t xml:space="preserve">Security</x:t>
        </x:is>
      </x:c>
      <x:c r="K37" s="5" t="inlineStr">
        <x:is>
          <x:t xml:space="preserve">PCI DSS v4.0 - ROC - Merchant</x:t>
        </x:is>
      </x:c>
      <x:c r="L37" s="5" t="n">
        <x:v>75</x:v>
      </x:c>
      <x:c r="M37" s="5" t="n">
        <x:v>13</x:v>
      </x:c>
      <x:c r="N37" s="5" t="inlineStr">
        <x:is>
          <x:t xml:space="preserve">REQ-31</x:t>
        </x:is>
      </x:c>
      <x:c r="O37" s="5" t="inlineStr">
        <x:is>
          <x:t xml:space="preserve">A.05.15</x:t>
        </x:is>
      </x:c>
      <x:c r="P37" s="5" t="inlineStr">
        <x:is>
          <x:t xml:space="preserve">A.05.18a</x:t>
        </x:is>
      </x:c>
      <x:c r="Q37" s="5" t="inlineStr">
        <x:is>
          <x:t xml:space="preserve">A.08.03</x:t>
        </x:is>
      </x:c>
      <x:c r="R37" s="5" t="inlineStr">
        <x:is>
          <x:t xml:space="preserve">A.06.05</x:t>
        </x:is>
      </x:c>
      <x:c r="S37" s="5" t="inlineStr">
        <x:is>
          <x:t xml:space="preserve">A.06.06</x:t>
        </x:is>
      </x:c>
      <x:c r="T37" s="5" t="inlineStr">
        <x:is>
          <x:t xml:space="preserve">11143.02i1Organizational.3</x:t>
        </x:is>
      </x:c>
      <x:c r="U37" s="5" t="inlineStr">
        <x:is>
          <x:t xml:space="preserve">REQ-31-SOC1</x:t>
        </x:is>
      </x:c>
      <x:c r="V37" s="5" t="inlineStr">
        <x:is>
          <x:t xml:space="preserve">A.08.05a</x:t>
        </x:is>
      </x:c>
      <x:c r="W37" s="5" t="inlineStr">
        <x:is>
          <x:t xml:space="preserve">REQ-31-HIPAA</x:t>
        </x:is>
      </x:c>
      <x:c r="X37" s="5" t="inlineStr">
        <x:is>
          <x:t xml:space="preserve">A.05.16</x:t>
        </x:is>
      </x:c>
      <x:c r="Y37" s="5" t="inlineStr">
        <x:is>
          <x:t xml:space="preserve">8.2.4</x:t>
        </x:is>
      </x:c>
      <x:c r="Z37" s="5" t="inlineStr">
        <x:is>
          <x:t xml:space="preserve">8.2.5</x:t>
        </x:is>
      </x:c>
      <x:c r="AA37" s="5" t="n"/>
      <x:c r="AB37" s="5" t="n"/>
      <x:c r="AC37" s="5" t="n"/>
      <x:c r="AD37" s="5" t="n">
        <x:v>75</x:v>
      </x:c>
      <x:c r="AE37" s="5" t="n">
        <x:v>6</x:v>
      </x:c>
      <x:c r="AF37" s="5" t="inlineStr">
        <x:is>
          <x:t xml:space="preserve">SOC 2</x:t>
        </x:is>
      </x:c>
      <x:c r="AG37" s="5" t="inlineStr">
        <x:is>
          <x:t xml:space="preserve">ISO 27001/2 (2022)</x:t>
        </x:is>
      </x:c>
      <x:c r="AH37" s="5" t="inlineStr">
        <x:is>
          <x:t xml:space="preserve">HITRUST</x:t>
        </x:is>
      </x:c>
      <x:c r="AI37" s="5" t="inlineStr">
        <x:is>
          <x:t xml:space="preserve">SOC 1</x:t>
        </x:is>
      </x:c>
      <x:c r="AJ37" s="5" t="inlineStr">
        <x:is>
          <x:t xml:space="preserve">HIPAA Security</x:t>
        </x:is>
      </x:c>
      <x:c r="AK37" s="5" t="inlineStr">
        <x:is>
          <x:t xml:space="preserve">PCI DSS v4.0</x:t>
        </x:is>
      </x:c>
      <x:c r="AL37" s="28" t="inlineStr">
        <x:is>
          <x:t xml:space="preserve">https://docs.google.com/document/d/1W5FC1d6oqcAnoxBiPHHQMdXo6_EqhnFeiMjXq4_dX9s/edit?usp=sharing</x:t>
        </x:is>
      </x:c>
      <x:c r="AM37" s="5" t="inlineStr">
        <x:is>
          <x:t xml:space="preserve">Local controls deduped from 75 exported tokens to 13 unique button tokens. Frameworks deduped from 75 exported tokens to 6 unique button tokens. Preserved "ISO 27001/2 (2022)" as a single framework token to reflect Thoropass notation that references ISO 27001 together with the related 27002 guidance set.</x:t>
        </x:is>
      </x:c>
      <x:c r="AN37" s="5" t="n"/>
      <x:c r="AO37" s="5" t="n"/>
      <x:c r="AP37" s="5" t="n"/>
      <x:c r="AQ37" s="5" t="n"/>
      <x:c r="AR37" s="5" t="n"/>
      <x:c r="AS37" s="5" t="n"/>
      <x:c r="AT37" s="5" t="n"/>
      <x:c r="AU37" s="5" t="n"/>
      <x:c r="AV37" s="5" t="n"/>
      <x:c r="AW37" s="5" t="n"/>
      <x:c r="AX37" s="5" t="n"/>
      <x:c r="AY37" s="5" t="n"/>
      <x:c r="AZ37" s="5" t="n"/>
      <x:c r="BA37" s="5" t="n"/>
      <x:c r="BB37" s="5" t="n"/>
      <x:c r="BC37" s="5" t="n"/>
      <x:c r="BD37" s="5" t="n"/>
      <x:c r="BE37" s="5" t="n"/>
      <x:c r="BF37" s="5" t="n"/>
      <x:c r="BG37" s="5" t="n"/>
      <x:c r="BH37" s="5" t="n"/>
      <x:c r="BI37" s="5" t="n"/>
      <x:c r="BJ37" s="5" t="n"/>
      <x:c r="BK37" s="5" t="n"/>
      <x:c r="BL37" s="5" t="n"/>
      <x:c r="BM37" s="5" t="n"/>
      <x:c r="BN37" s="5" t="n"/>
      <x:c r="BO37" s="5" t="n"/>
      <x:c r="BP37" s="5" t="n"/>
      <x:c r="BQ37" s="5" t="n"/>
      <x:c r="BR37" s="5" t="n"/>
      <x:c r="BS37" s="5" t="n"/>
      <x:c r="BT37" s="5" t="n"/>
      <x:c r="BU37" s="5" t="n"/>
      <x:c r="BV37" s="5" t="n"/>
      <x:c r="BW37" s="5" t="n"/>
      <x:c r="BX37" s="5" t="n"/>
      <x:c r="BY37" s="5" t="n"/>
      <x:c r="BZ37" s="5" t="n"/>
      <x:c r="CA37" s="5" t="n"/>
      <x:c r="CB37" s="5" t="n"/>
      <x:c r="CC37" s="5" t="n"/>
      <x:c r="CD37" s="5" t="n"/>
      <x:c r="CE37" s="5" t="n"/>
    </x:row>
    <x:row r="38" ht="30" customHeight="1">
      <x:c r="A38" s="5" t="inlineStr">
        <x:is>
          <x:t xml:space="preserve">ER-85</x:t>
        </x:is>
      </x:c>
      <x:c r="B38" s="5" t="inlineStr">
        <x:is>
          <x:t xml:space="preserve">Sample</x:t>
        </x:is>
      </x:c>
      <x:c r="C38" s="5" t="inlineStr">
        <x:is>
          <x:t xml:space="preserve">[Sample] Access Transfer Reviewed, Updated, or Revoked</x:t>
        </x:is>
      </x:c>
      <x:c r="D38" s="5" t="n"/>
      <x:c r="E38" s="5" t="inlineStr">
        <x:is>
          <x:t xml:space="preserve">11143.02i1Organizational.3,11143.02i1Organizational.3,11143.02i1Organizational.3</x:t>
        </x:is>
      </x:c>
      <x:c r="F38" s="5" t="inlineStr">
        <x:is>
          <x:t xml:space="preserve">HITRUST,HITRUST,HITRUST</x:t>
        </x:is>
      </x:c>
      <x:c r="G38" s="5" t="n">
        <x:v>82</x:v>
      </x:c>
      <x:c r="H38" s="5" t="n">
        <x:v>0</x:v>
      </x:c>
      <x:c r="I38" s="5" t="n">
        <x:v>0</x:v>
      </x:c>
      <x:c r="J38" s="5" t="n"/>
      <x:c r="K38" s="5" t="n"/>
      <x:c r="L38" s="5" t="n">
        <x:v>3</x:v>
      </x:c>
      <x:c r="M38" s="5" t="n">
        <x:v>1</x:v>
      </x:c>
      <x:c r="N38" s="5" t="inlineStr">
        <x:is>
          <x:t xml:space="preserve">11143.02i1Organizational.3</x:t>
        </x:is>
      </x:c>
      <x:c r="O38" s="5" t="n"/>
      <x:c r="P38" s="5" t="n"/>
      <x:c r="Q38" s="5" t="n"/>
      <x:c r="R38" s="5" t="n"/>
      <x:c r="S38" s="5" t="n"/>
      <x:c r="T38" s="5" t="n"/>
      <x:c r="U38" s="5" t="n"/>
      <x:c r="V38" s="5" t="n"/>
      <x:c r="W38" s="5" t="n"/>
      <x:c r="X38" s="5" t="n"/>
      <x:c r="Y38" s="5" t="n"/>
      <x:c r="Z38" s="5" t="n"/>
      <x:c r="AA38" s="5" t="n"/>
      <x:c r="AB38" s="5" t="n"/>
      <x:c r="AC38" s="5" t="n"/>
      <x:c r="AD38" s="5" t="n">
        <x:v>3</x:v>
      </x:c>
      <x:c r="AE38" s="5" t="n">
        <x:v>1</x:v>
      </x:c>
      <x:c r="AF38" s="5" t="inlineStr">
        <x:is>
          <x:t xml:space="preserve">HITRUST</x:t>
        </x:is>
      </x:c>
      <x:c r="AG38" s="5" t="n"/>
      <x:c r="AH38" s="5" t="n"/>
      <x:c r="AI38" s="5" t="n"/>
      <x:c r="AJ38" s="5" t="n"/>
      <x:c r="AK38" s="5" t="n"/>
      <x:c r="AL38" s="28" t="inlineStr">
        <x:is>
          <x:t xml:space="preserve">https://docs.google.com/document/d/1W5FC1d6oqcAnoxBiPHHQMdXo6_EqhnFeiMjXq4_dX9s/edit?usp=sharing</x:t>
        </x:is>
      </x:c>
      <x:c r="AM38" s="5" t="inlineStr">
        <x:is>
          <x:t xml:space="preserve">Local controls deduped from 3 exported tokens to 1 unique button tokens. Frameworks deduped from 3 exported tokens to 1 unique button tokens.</x:t>
        </x:is>
      </x:c>
      <x:c r="AN38" s="5" t="n"/>
      <x:c r="AO38" s="5" t="n"/>
      <x:c r="AP38" s="5" t="n"/>
      <x:c r="AQ38" s="5" t="n"/>
      <x:c r="AR38" s="5" t="n"/>
      <x:c r="AS38" s="5" t="n"/>
      <x:c r="AT38" s="5" t="n"/>
      <x:c r="AU38" s="5" t="n"/>
      <x:c r="AV38" s="5" t="n"/>
      <x:c r="AW38" s="5" t="n"/>
      <x:c r="AX38" s="5" t="n"/>
      <x:c r="AY38" s="5" t="n"/>
      <x:c r="AZ38" s="5" t="n"/>
      <x:c r="BA38" s="5" t="n"/>
      <x:c r="BB38" s="5" t="n"/>
      <x:c r="BC38" s="5" t="n"/>
      <x:c r="BD38" s="5" t="n"/>
      <x:c r="BE38" s="5" t="n"/>
      <x:c r="BF38" s="5" t="n"/>
      <x:c r="BG38" s="5" t="n"/>
      <x:c r="BH38" s="5" t="n"/>
      <x:c r="BI38" s="5" t="n"/>
      <x:c r="BJ38" s="5" t="n"/>
      <x:c r="BK38" s="5" t="n"/>
      <x:c r="BL38" s="5" t="n"/>
      <x:c r="BM38" s="5" t="n"/>
      <x:c r="BN38" s="5" t="n"/>
      <x:c r="BO38" s="5" t="n"/>
      <x:c r="BP38" s="5" t="n"/>
      <x:c r="BQ38" s="5" t="n"/>
      <x:c r="BR38" s="5" t="n"/>
      <x:c r="BS38" s="5" t="n"/>
      <x:c r="BT38" s="5" t="n"/>
      <x:c r="BU38" s="5" t="n"/>
      <x:c r="BV38" s="5" t="n"/>
      <x:c r="BW38" s="5" t="n"/>
      <x:c r="BX38" s="5" t="n"/>
      <x:c r="BY38" s="5" t="n"/>
      <x:c r="BZ38" s="5" t="n"/>
      <x:c r="CA38" s="5" t="n"/>
      <x:c r="CB38" s="5" t="n"/>
      <x:c r="CC38" s="5" t="n"/>
      <x:c r="CD38" s="5" t="n"/>
      <x:c r="CE38" s="5" t="n"/>
    </x:row>
    <x:row r="39" ht="30" customHeight="1">
      <x:c r="A39" s="5" t="inlineStr">
        <x:is>
          <x:t xml:space="preserve">ER-86</x:t>
        </x:is>
      </x:c>
      <x:c r="B39" s="5" t="inlineStr">
        <x:is>
          <x:t xml:space="preserve">Policy</x:t>
        </x:is>
      </x:c>
      <x:c r="C39" s="5" t="inlineStr">
        <x:is>
          <x:t xml:space="preserve">[Policy] Access Control</x:t>
        </x:is>
      </x:c>
      <x:c r="D39" s="5" t="inlineStr">
        <x:is>
          <x:t xml:space="preserve">Security,PCI DSS v4.0 - SAQ-A,PCI DSS v4.0 - ROC - Merchant</x:t>
        </x:is>
      </x:c>
      <x:c r="E39" s="5" t="inlineStr">
        <x:is>
          <x:t xml:space="preserve">REQ-29,A.05.18a,A.05.35,A.05.36,A.08.34,REQ-29-SOC1,REQ-29-HIPAA,REQ-24,REQ-30,REQ-31,A.05.15,REQ-24-SOC1,REQ-24-HIPAA,REQ-30-HIPAA,REQ-30-SOC1,REQ-31-HIPAA,REQ-31-SOC1,A.05.16,8.2.1,8.2.2,11.01e1System.2,7.2.1,7.2.2,7.2.3,7.2.4,7.3.1,7.3.2,7.3.3,8.2.4,8.2.5,8.2.6,REQ-29,11.01e1System.2,A.05.18a,A.05.35,A.05.36,A.08.34,REQ-29-SOC1,REQ-29-HIPAA,8.2.2,7.2.1,7.2.2,7.2.3,7.2.4,7.3.1,7.3.2,7.3.3,8.2.6,REQ-29,11.01e1System.2,A.05.18a,A.05.35,A.05.36,A.08.34,REQ-29-SOC1,REQ-29-HIPAA,7.2.1,7.2.2,7.2.3,7.3.1,7.3.2,7.3.3,8.2.2,7.2.4,8.2.6</x:t>
        </x:is>
      </x:c>
      <x:c r="F39" s="5" t="inlineStr">
        <x:is>
          <x:t xml:space="preserve">SOC 2,ISO 27001/2 (2022),ISO 27001/2 (2022),ISO 27001/2 (2022),ISO 27001/2 (2022),SOC 1,HIPAA Security,SOC 2,SOC 2,SOC 2,ISO 27001/2 (2022),SOC 1,HIPAA Security,HIPAA Security,SOC 1,HIPAA Security,SOC 1,ISO 27001/2 (2022),PCI DSS v4.0,PCI DSS v4.0,HITRUST,PCI DSS v4.0,PCI DSS v4.0,PCI DSS v4.0,PCI DSS v4.0,PCI DSS v4.0,PCI DSS v4.0,PCI DSS v4.0,PCI DSS v4.0,PCI DSS v4.0,PCI DSS v4.0,SOC 2,HITRUST,ISO 27001/2 (2022),ISO 27001/2 (2022),ISO 27001/2 (2022),ISO 27001/2 (2022),SOC 1,HIPAA Security,PCI DSS v4.0,PCI DSS v4.0,PCI DSS v4.0,PCI DSS v4.0,PCI DSS v4.0,PCI DSS v4.0,PCI DSS v4.0,PCI DSS v4.0,PCI DSS v4.0,SOC 2,HITRUST,ISO 27001/2 (2022),ISO 27001/2 (2022),ISO 27001/2 (2022),ISO 27001/2 (2022),SOC 1,HIPAA Security,PCI DSS v4.0,PCI DSS v4.0,PCI DSS v4.0,PCI DSS v4.0,PCI DSS v4.0,PCI DSS v4.0,PCI DSS v4.0,PCI DSS v4.0,PCI DSS v4.0</x:t>
        </x:is>
      </x:c>
      <x:c r="G39" s="5" t="n">
        <x:v>83</x:v>
      </x:c>
      <x:c r="H39" s="5" t="n">
        <x:v>3</x:v>
      </x:c>
      <x:c r="I39" s="5" t="n">
        <x:v>3</x:v>
      </x:c>
      <x:c r="J39" s="5" t="inlineStr">
        <x:is>
          <x:t xml:space="preserve">Security</x:t>
        </x:is>
      </x:c>
      <x:c r="K39" s="5" t="inlineStr">
        <x:is>
          <x:t xml:space="preserve">PCI DSS v4.0 - SAQ-A</x:t>
        </x:is>
      </x:c>
      <x:c r="L39" s="5" t="n">
        <x:v>65</x:v>
      </x:c>
      <x:c r="M39" s="5" t="n">
        <x:v>31</x:v>
      </x:c>
      <x:c r="N39" s="5" t="inlineStr">
        <x:is>
          <x:t xml:space="preserve">REQ-29</x:t>
        </x:is>
      </x:c>
      <x:c r="O39" s="5" t="inlineStr">
        <x:is>
          <x:t xml:space="preserve">A.05.18a</x:t>
        </x:is>
      </x:c>
      <x:c r="P39" s="5" t="inlineStr">
        <x:is>
          <x:t xml:space="preserve">A.05.35</x:t>
        </x:is>
      </x:c>
      <x:c r="Q39" s="5" t="inlineStr">
        <x:is>
          <x:t xml:space="preserve">A.05.36</x:t>
        </x:is>
      </x:c>
      <x:c r="R39" s="5" t="inlineStr">
        <x:is>
          <x:t xml:space="preserve">A.08.34</x:t>
        </x:is>
      </x:c>
      <x:c r="S39" s="5" t="inlineStr">
        <x:is>
          <x:t xml:space="preserve">REQ-29-SOC1</x:t>
        </x:is>
      </x:c>
      <x:c r="T39" s="5" t="inlineStr">
        <x:is>
          <x:t xml:space="preserve">REQ-29-HIPAA</x:t>
        </x:is>
      </x:c>
      <x:c r="U39" s="5" t="inlineStr">
        <x:is>
          <x:t xml:space="preserve">REQ-24</x:t>
        </x:is>
      </x:c>
      <x:c r="V39" s="5" t="inlineStr">
        <x:is>
          <x:t xml:space="preserve">REQ-30</x:t>
        </x:is>
      </x:c>
      <x:c r="W39" s="5" t="inlineStr">
        <x:is>
          <x:t xml:space="preserve">REQ-31</x:t>
        </x:is>
      </x:c>
      <x:c r="X39" s="5" t="inlineStr">
        <x:is>
          <x:t xml:space="preserve">A.05.15</x:t>
        </x:is>
      </x:c>
      <x:c r="Y39" s="5" t="inlineStr">
        <x:is>
          <x:t xml:space="preserve">REQ-24-SOC1</x:t>
        </x:is>
      </x:c>
      <x:c r="Z39" s="5" t="inlineStr">
        <x:is>
          <x:t xml:space="preserve">REQ-24-HIPAA</x:t>
        </x:is>
      </x:c>
      <x:c r="AA39" s="5" t="inlineStr">
        <x:is>
          <x:t xml:space="preserve">REQ-30-HIPAA</x:t>
        </x:is>
      </x:c>
      <x:c r="AB39" s="5" t="inlineStr">
        <x:is>
          <x:t xml:space="preserve">REQ-30-SOC1</x:t>
        </x:is>
      </x:c>
      <x:c r="AC39" s="5" t="inlineStr">
        <x:is>
          <x:t xml:space="preserve">REQ-31-HIPAA</x:t>
        </x:is>
      </x:c>
      <x:c r="AD39" s="5" t="n">
        <x:v>65</x:v>
      </x:c>
      <x:c r="AE39" s="5" t="n">
        <x:v>6</x:v>
      </x:c>
      <x:c r="AF39" s="5" t="inlineStr">
        <x:is>
          <x:t xml:space="preserve">SOC 2</x:t>
        </x:is>
      </x:c>
      <x:c r="AG39" s="5" t="inlineStr">
        <x:is>
          <x:t xml:space="preserve">ISO 27001/2 (2022)</x:t>
        </x:is>
      </x:c>
      <x:c r="AH39" s="5" t="inlineStr">
        <x:is>
          <x:t xml:space="preserve">SOC 1</x:t>
        </x:is>
      </x:c>
      <x:c r="AI39" s="5" t="inlineStr">
        <x:is>
          <x:t xml:space="preserve">HIPAA Security</x:t>
        </x:is>
      </x:c>
      <x:c r="AJ39" s="5" t="inlineStr">
        <x:is>
          <x:t xml:space="preserve">PCI DSS v4.0</x:t>
        </x:is>
      </x:c>
      <x:c r="AK39" s="5" t="inlineStr">
        <x:is>
          <x:t xml:space="preserve">HITRUST</x:t>
        </x:is>
      </x:c>
      <x:c r="AL39" s="28" t="inlineStr">
        <x:is>
          <x:t xml:space="preserve">https://docs.google.com/document/d/1W5FC1d6oqcAnoxBiPHHQMdXo6_EqhnFeiMjXq4_dX9s/edit?usp=sharing</x:t>
        </x:is>
      </x:c>
      <x:c r="AM39" s="5" t="inlineStr">
        <x:is>
          <x:t xml:space="preserve">Local controls deduped from 65 exported tokens to 31 unique button tokens. Frameworks deduped from 65 exported tokens to 6 unique button tokens. Preserved "ISO 27001/2 (2022)" as a single framework token to reflect Thoropass notation that references ISO 27001 together with the related 27002 guidance set.</x:t>
        </x:is>
      </x:c>
      <x:c r="AN39" s="5" t="inlineStr">
        <x:is>
          <x:t xml:space="preserve">REQ-31-SOC1</x:t>
        </x:is>
      </x:c>
      <x:c r="AO39" s="5" t="inlineStr">
        <x:is>
          <x:t xml:space="preserve">A.05.16</x:t>
        </x:is>
      </x:c>
      <x:c r="AP39" s="5" t="inlineStr">
        <x:is>
          <x:t xml:space="preserve">8.2.1</x:t>
        </x:is>
      </x:c>
      <x:c r="AQ39" s="5" t="inlineStr">
        <x:is>
          <x:t xml:space="preserve">8.2.2</x:t>
        </x:is>
      </x:c>
      <x:c r="AR39" s="5" t="inlineStr">
        <x:is>
          <x:t xml:space="preserve">11.01e1System.2</x:t>
        </x:is>
      </x:c>
      <x:c r="AS39" s="5" t="inlineStr">
        <x:is>
          <x:t xml:space="preserve">7.2.1</x:t>
        </x:is>
      </x:c>
      <x:c r="AT39" s="5" t="inlineStr">
        <x:is>
          <x:t xml:space="preserve">7.2.2</x:t>
        </x:is>
      </x:c>
      <x:c r="AU39" s="5" t="inlineStr">
        <x:is>
          <x:t xml:space="preserve">7.2.3</x:t>
        </x:is>
      </x:c>
      <x:c r="AV39" s="5" t="inlineStr">
        <x:is>
          <x:t xml:space="preserve">7.2.4</x:t>
        </x:is>
      </x:c>
      <x:c r="AW39" s="5" t="inlineStr">
        <x:is>
          <x:t xml:space="preserve">PCI DSS v4.0 - ROC - Merchant</x:t>
        </x:is>
      </x:c>
      <x:c r="AX39" s="5" t="inlineStr">
        <x:is>
          <x:t xml:space="preserve">7.3.1</x:t>
        </x:is>
      </x:c>
      <x:c r="AY39" s="5" t="inlineStr">
        <x:is>
          <x:t xml:space="preserve">7.3.2</x:t>
        </x:is>
      </x:c>
      <x:c r="AZ39" s="5" t="inlineStr">
        <x:is>
          <x:t xml:space="preserve">7.3.3</x:t>
        </x:is>
      </x:c>
      <x:c r="BA39" s="5" t="inlineStr">
        <x:is>
          <x:t xml:space="preserve">8.2.4</x:t>
        </x:is>
      </x:c>
      <x:c r="BB39" s="5" t="inlineStr">
        <x:is>
          <x:t xml:space="preserve">8.2.5</x:t>
        </x:is>
      </x:c>
      <x:c r="BC39" s="5" t="inlineStr">
        <x:is>
          <x:t xml:space="preserve">8.2.6</x:t>
        </x:is>
      </x:c>
      <x:c r="BD39" s="5" t="n"/>
      <x:c r="BE39" s="5" t="n"/>
      <x:c r="BF39" s="5" t="n"/>
      <x:c r="BG39" s="5" t="n"/>
      <x:c r="BH39" s="5" t="n"/>
      <x:c r="BI39" s="5" t="n"/>
      <x:c r="BJ39" s="5" t="n"/>
      <x:c r="BK39" s="5" t="n"/>
      <x:c r="BL39" s="5" t="n"/>
      <x:c r="BM39" s="5" t="n"/>
      <x:c r="BN39" s="5" t="n"/>
      <x:c r="BO39" s="5" t="n"/>
      <x:c r="BP39" s="5" t="n"/>
      <x:c r="BQ39" s="5" t="n"/>
      <x:c r="BR39" s="5" t="n"/>
      <x:c r="BS39" s="5" t="n"/>
      <x:c r="BT39" s="5" t="n"/>
      <x:c r="BU39" s="5" t="n"/>
      <x:c r="BV39" s="5" t="n"/>
      <x:c r="BW39" s="5" t="n"/>
      <x:c r="BX39" s="5" t="n"/>
      <x:c r="BY39" s="5" t="n"/>
      <x:c r="BZ39" s="5" t="n"/>
      <x:c r="CA39" s="5" t="n"/>
      <x:c r="CB39" s="5" t="n"/>
      <x:c r="CC39" s="5" t="n"/>
      <x:c r="CD39" s="5" t="n"/>
      <x:c r="CE39" s="5" t="n"/>
    </x:row>
    <x:row r="40" ht="30" customHeight="1">
      <x:c r="A40" s="5" t="inlineStr">
        <x:is>
          <x:t xml:space="preserve">ER-87</x:t>
        </x:is>
      </x:c>
      <x:c r="B40" s="5" t="inlineStr">
        <x:is>
          <x:t xml:space="preserve">Sample</x:t>
        </x:is>
      </x:c>
      <x:c r="C40" s="5" t="inlineStr">
        <x:is>
          <x:t xml:space="preserve">[Sample] Access Review Documentation</x:t>
        </x:is>
      </x:c>
      <x:c r="D40" s="5" t="inlineStr">
        <x:is>
          <x:t xml:space="preserve">Security,PCI DSS v4.0 - ROC - Merchant</x:t>
        </x:is>
      </x:c>
      <x:c r="E40" s="5" t="inlineStr">
        <x:is>
          <x:t xml:space="preserve">REQ-29,11.01e1System.2,A.05.18a,A.05.35,A.05.36,A.08.34,REQ-29-SOC1,REQ-29-HIPAA,7.2.4,8.2.6,REQ-29,11.01e1System.2,A.05.18a,A.05.35,A.05.36,A.08.34,REQ-29-SOC1,REQ-29-HIPAA,7.2.4,REQ-29,11.01e1System.2,A.05.18a,A.05.35,A.05.36,A.08.34,REQ-29-SOC1,REQ-29-HIPAA,7.2.4,REQ-29,11.01e1System.2,A.05.18a,A.05.35,A.05.36,A.08.34,REQ-29-SOC1,REQ-29-HIPAA,7.2.4,REQ-29,11.01e1System.2,A.05.18a,A.05.35,A.05.36,A.08.34,REQ-29-SOC1,REQ-29-HIPAA,7.2.4,REQ-29,11.01e1System.2,A.05.18a,A.05.35,A.05.36,A.08.34,REQ-29-SOC1,REQ-29-HIPAA,7.2.4</x:t>
        </x:is>
      </x:c>
      <x:c r="F40" s="5" t="inlineStr">
        <x:is>
          <x:t xml:space="preserve">SOC 2,HITRUST,ISO 27001/2 (2022),ISO 27001/2 (2022),ISO 27001/2 (2022),ISO 27001/2 (2022),SOC 1,HIPAA Security,PCI DSS v4.0,PCI DSS v4.0,SOC 2,HITRUST,ISO 27001/2 (2022),ISO 27001/2 (2022),ISO 27001/2 (2022),ISO 27001/2 (2022),SOC 1,HIPAA Security,PCI DSS v4.0,SOC 2,HITRUST,ISO 27001/2 (2022),ISO 27001/2 (2022),ISO 27001/2 (2022),ISO 27001/2 (2022),SOC 1,HIPAA Security,PCI DSS v4.0,SOC 2,HITRUST,ISO 27001/2 (2022),ISO 27001/2 (2022),ISO 27001/2 (2022),ISO 27001/2 (2022),SOC 1,HIPAA Security,PCI DSS v4.0,SOC 2,HITRUST,ISO 27001/2 (2022),ISO 27001/2 (2022),ISO 27001/2 (2022),ISO 27001/2 (2022),SOC 1,HIPAA Security,PCI DSS v4.0,SOC 2,HITRUST,ISO 27001/2 (2022),ISO 27001/2 (2022),ISO 27001/2 (2022),ISO 27001/2 (2022),SOC 1,HIPAA Security,PCI DSS v4.0</x:t>
        </x:is>
      </x:c>
      <x:c r="G40" s="5" t="n">
        <x:v>84</x:v>
      </x:c>
      <x:c r="H40" s="5" t="n">
        <x:v>2</x:v>
      </x:c>
      <x:c r="I40" s="5" t="n">
        <x:v>2</x:v>
      </x:c>
      <x:c r="J40" s="5" t="inlineStr">
        <x:is>
          <x:t xml:space="preserve">Security</x:t>
        </x:is>
      </x:c>
      <x:c r="K40" s="5" t="inlineStr">
        <x:is>
          <x:t xml:space="preserve">PCI DSS v4.0 - ROC - Merchant</x:t>
        </x:is>
      </x:c>
      <x:c r="L40" s="5" t="n">
        <x:v>55</x:v>
      </x:c>
      <x:c r="M40" s="5" t="n">
        <x:v>10</x:v>
      </x:c>
      <x:c r="N40" s="5" t="inlineStr">
        <x:is>
          <x:t xml:space="preserve">REQ-29</x:t>
        </x:is>
      </x:c>
      <x:c r="O40" s="5" t="inlineStr">
        <x:is>
          <x:t xml:space="preserve">11.01e1System.2</x:t>
        </x:is>
      </x:c>
      <x:c r="P40" s="5" t="inlineStr">
        <x:is>
          <x:t xml:space="preserve">A.05.18a</x:t>
        </x:is>
      </x:c>
      <x:c r="Q40" s="5" t="inlineStr">
        <x:is>
          <x:t xml:space="preserve">A.05.35</x:t>
        </x:is>
      </x:c>
      <x:c r="R40" s="5" t="inlineStr">
        <x:is>
          <x:t xml:space="preserve">A.05.36</x:t>
        </x:is>
      </x:c>
      <x:c r="S40" s="5" t="inlineStr">
        <x:is>
          <x:t xml:space="preserve">A.08.34</x:t>
        </x:is>
      </x:c>
      <x:c r="T40" s="5" t="inlineStr">
        <x:is>
          <x:t xml:space="preserve">REQ-29-SOC1</x:t>
        </x:is>
      </x:c>
      <x:c r="U40" s="5" t="inlineStr">
        <x:is>
          <x:t xml:space="preserve">REQ-29-HIPAA</x:t>
        </x:is>
      </x:c>
      <x:c r="V40" s="5" t="inlineStr">
        <x:is>
          <x:t xml:space="preserve">7.2.4</x:t>
        </x:is>
      </x:c>
      <x:c r="W40" s="5" t="inlineStr">
        <x:is>
          <x:t xml:space="preserve">8.2.6</x:t>
        </x:is>
      </x:c>
      <x:c r="X40" s="5" t="n"/>
      <x:c r="Y40" s="5" t="n"/>
      <x:c r="Z40" s="5" t="n"/>
      <x:c r="AA40" s="5" t="n"/>
      <x:c r="AB40" s="5" t="n"/>
      <x:c r="AC40" s="5" t="n"/>
      <x:c r="AD40" s="5" t="n">
        <x:v>55</x:v>
      </x:c>
      <x:c r="AE40" s="5" t="n">
        <x:v>6</x:v>
      </x:c>
      <x:c r="AF40" s="5" t="inlineStr">
        <x:is>
          <x:t xml:space="preserve">SOC 2</x:t>
        </x:is>
      </x:c>
      <x:c r="AG40" s="5" t="inlineStr">
        <x:is>
          <x:t xml:space="preserve">HITRUST</x:t>
        </x:is>
      </x:c>
      <x:c r="AH40" s="5" t="inlineStr">
        <x:is>
          <x:t xml:space="preserve">ISO 27001/2 (2022)</x:t>
        </x:is>
      </x:c>
      <x:c r="AI40" s="5" t="inlineStr">
        <x:is>
          <x:t xml:space="preserve">SOC 1</x:t>
        </x:is>
      </x:c>
      <x:c r="AJ40" s="5" t="inlineStr">
        <x:is>
          <x:t xml:space="preserve">HIPAA Security</x:t>
        </x:is>
      </x:c>
      <x:c r="AK40" s="5" t="inlineStr">
        <x:is>
          <x:t xml:space="preserve">PCI DSS v4.0</x:t>
        </x:is>
      </x:c>
      <x:c r="AL40" s="28" t="inlineStr">
        <x:is>
          <x:t xml:space="preserve">https://docs.google.com/document/d/1W5FC1d6oqcAnoxBiPHHQMdXo6_EqhnFeiMjXq4_dX9s/edit?usp=sharing</x:t>
        </x:is>
      </x:c>
      <x:c r="AM40" s="5" t="inlineStr">
        <x:is>
          <x:t xml:space="preserve">Local controls deduped from 55 exported tokens to 10 unique button tokens. Frameworks deduped from 55 exported tokens to 6 unique button tokens. Preserved "ISO 27001/2 (2022)" as a single framework token to reflect Thoropass notation that references ISO 27001 together with the related 27002 guidance set.</x:t>
        </x:is>
      </x:c>
      <x:c r="AN40" s="5" t="n"/>
      <x:c r="AO40" s="5" t="n"/>
      <x:c r="AP40" s="5" t="n"/>
      <x:c r="AQ40" s="5" t="n"/>
      <x:c r="AR40" s="5" t="n"/>
      <x:c r="AS40" s="5" t="n"/>
      <x:c r="AT40" s="5" t="n"/>
      <x:c r="AU40" s="5" t="n"/>
      <x:c r="AV40" s="5" t="n"/>
      <x:c r="AW40" s="5" t="n"/>
      <x:c r="AX40" s="5" t="n"/>
      <x:c r="AY40" s="5" t="n"/>
      <x:c r="AZ40" s="5" t="n"/>
      <x:c r="BA40" s="5" t="n"/>
      <x:c r="BB40" s="5" t="n"/>
      <x:c r="BC40" s="5" t="n"/>
      <x:c r="BD40" s="5" t="n"/>
      <x:c r="BE40" s="5" t="n"/>
      <x:c r="BF40" s="5" t="n"/>
      <x:c r="BG40" s="5" t="n"/>
      <x:c r="BH40" s="5" t="n"/>
      <x:c r="BI40" s="5" t="n"/>
      <x:c r="BJ40" s="5" t="n"/>
      <x:c r="BK40" s="5" t="n"/>
      <x:c r="BL40" s="5" t="n"/>
      <x:c r="BM40" s="5" t="n"/>
      <x:c r="BN40" s="5" t="n"/>
      <x:c r="BO40" s="5" t="n"/>
      <x:c r="BP40" s="5" t="n"/>
      <x:c r="BQ40" s="5" t="n"/>
      <x:c r="BR40" s="5" t="n"/>
      <x:c r="BS40" s="5" t="n"/>
      <x:c r="BT40" s="5" t="n"/>
      <x:c r="BU40" s="5" t="n"/>
      <x:c r="BV40" s="5" t="n"/>
      <x:c r="BW40" s="5" t="n"/>
      <x:c r="BX40" s="5" t="n"/>
      <x:c r="BY40" s="5" t="n"/>
      <x:c r="BZ40" s="5" t="n"/>
      <x:c r="CA40" s="5" t="n"/>
      <x:c r="CB40" s="5" t="n"/>
      <x:c r="CC40" s="5" t="n"/>
      <x:c r="CD40" s="5" t="n"/>
      <x:c r="CE40" s="5" t="n"/>
    </x:row>
    <x:row r="41" ht="30" customHeight="1">
      <x:c r="A41" s="5" t="inlineStr">
        <x:is>
          <x:t xml:space="preserve">ER-88</x:t>
        </x:is>
      </x:c>
      <x:c r="B41" s="5" t="inlineStr">
        <x:is>
          <x:t xml:space="preserve">Configuration</x:t>
        </x:is>
      </x:c>
      <x:c r="C41" s="5" t="inlineStr">
        <x:is>
          <x:t xml:space="preserve">[Configuration] Evidence of Multi-Factor Authentication</x:t>
        </x:is>
      </x:c>
      <x:c r="D41" s="5" t="inlineStr">
        <x:is>
          <x:t xml:space="preserve">Security</x:t>
        </x:is>
      </x:c>
      <x:c r="E41" s="5" t="inlineStr">
        <x:is>
          <x:t xml:space="preserve">REQ-27,11.01q1System.3,A.05.17,A.08.05a,11.01q1System.4,REQ-27-SOC1,REQ-27-HIPAA,REQ-27,11.01q1System.3,A.05.17,A.08.05a,11.01q1System.4,REQ-27-SOC1,REQ-27-HIPAA,REQ-27,11.01q1System.3,A.05.17,A.08.05a,REQ-27-SOC1,REQ-27-HIPAA,REQ-27,11.01q1System.3,A.05.17,A.08.05a,REQ-27-SOC1,REQ-27-HIPAA,11.01q1System.4,11.01q1System.4</x:t>
        </x:is>
      </x:c>
      <x:c r="F41" s="5" t="inlineStr">
        <x:is>
          <x:t xml:space="preserve">SOC 2,HITRUST,ISO 27001/2 (2022),ISO 27001/2 (2022),HITRUST,SOC 1,HIPAA Security,SOC 2,HITRUST,ISO 27001/2 (2022),ISO 27001/2 (2022),HITRUST,SOC 1,HIPAA Security,SOC 2,HITRUST,ISO 27001/2 (2022),ISO 27001/2 (2022),SOC 1,HIPAA Security,SOC 2,HITRUST,ISO 27001/2 (2022),ISO 27001/2 (2022),SOC 1,HIPAA Security,HITRUST,HITRUST</x:t>
        </x:is>
      </x:c>
      <x:c r="G41" s="5" t="n">
        <x:v>85</x:v>
      </x:c>
      <x:c r="H41" s="5" t="n">
        <x:v>1</x:v>
      </x:c>
      <x:c r="I41" s="5" t="n">
        <x:v>1</x:v>
      </x:c>
      <x:c r="J41" s="5" t="inlineStr">
        <x:is>
          <x:t xml:space="preserve">Security</x:t>
        </x:is>
      </x:c>
      <x:c r="K41" s="5" t="n"/>
      <x:c r="L41" s="5" t="n">
        <x:v>28</x:v>
      </x:c>
      <x:c r="M41" s="5" t="n">
        <x:v>7</x:v>
      </x:c>
      <x:c r="N41" s="5" t="inlineStr">
        <x:is>
          <x:t xml:space="preserve">REQ-27</x:t>
        </x:is>
      </x:c>
      <x:c r="O41" s="5" t="inlineStr">
        <x:is>
          <x:t xml:space="preserve">11.01q1System.3</x:t>
        </x:is>
      </x:c>
      <x:c r="P41" s="5" t="inlineStr">
        <x:is>
          <x:t xml:space="preserve">A.05.17</x:t>
        </x:is>
      </x:c>
      <x:c r="Q41" s="5" t="inlineStr">
        <x:is>
          <x:t xml:space="preserve">A.08.05a</x:t>
        </x:is>
      </x:c>
      <x:c r="R41" s="5" t="inlineStr">
        <x:is>
          <x:t xml:space="preserve">11.01q1System.4</x:t>
        </x:is>
      </x:c>
      <x:c r="S41" s="5" t="inlineStr">
        <x:is>
          <x:t xml:space="preserve">REQ-27-SOC1</x:t>
        </x:is>
      </x:c>
      <x:c r="T41" s="5" t="inlineStr">
        <x:is>
          <x:t xml:space="preserve">REQ-27-HIPAA</x:t>
        </x:is>
      </x:c>
      <x:c r="U41" s="5" t="n"/>
      <x:c r="V41" s="5" t="n"/>
      <x:c r="W41" s="5" t="n"/>
      <x:c r="X41" s="5" t="n"/>
      <x:c r="Y41" s="5" t="n"/>
      <x:c r="Z41" s="5" t="n"/>
      <x:c r="AA41" s="5" t="n"/>
      <x:c r="AB41" s="5" t="n"/>
      <x:c r="AC41" s="5" t="n"/>
      <x:c r="AD41" s="5" t="n">
        <x:v>28</x:v>
      </x:c>
      <x:c r="AE41" s="5" t="n">
        <x:v>5</x:v>
      </x:c>
      <x:c r="AF41" s="5" t="inlineStr">
        <x:is>
          <x:t xml:space="preserve">SOC 2</x:t>
        </x:is>
      </x:c>
      <x:c r="AG41" s="5" t="inlineStr">
        <x:is>
          <x:t xml:space="preserve">HITRUST</x:t>
        </x:is>
      </x:c>
      <x:c r="AH41" s="5" t="inlineStr">
        <x:is>
          <x:t xml:space="preserve">ISO 27001/2 (2022)</x:t>
        </x:is>
      </x:c>
      <x:c r="AI41" s="5" t="inlineStr">
        <x:is>
          <x:t xml:space="preserve">SOC 1</x:t>
        </x:is>
      </x:c>
      <x:c r="AJ41" s="5" t="inlineStr">
        <x:is>
          <x:t xml:space="preserve">HIPAA Security</x:t>
        </x:is>
      </x:c>
      <x:c r="AK41" s="5" t="n"/>
      <x:c r="AL41" s="28" t="inlineStr">
        <x:is>
          <x:t xml:space="preserve">https://docs.google.com/document/d/1W5FC1d6oqcAnoxBiPHHQMdXo6_EqhnFeiMjXq4_dX9s/edit?usp=sharing</x:t>
        </x:is>
      </x:c>
      <x:c r="AM41" s="5" t="inlineStr">
        <x:is>
          <x:t xml:space="preserve">Local controls deduped from 28 exported tokens to 7 unique button tokens. Frameworks deduped from 28 exported tokens to 5 unique button tokens. Preserved "ISO 27001/2 (2022)" as a single framework token to reflect Thoropass notation that references ISO 27001 together with the related 27002 guidance set.</x:t>
        </x:is>
      </x:c>
      <x:c r="AN41" s="5" t="n"/>
      <x:c r="AO41" s="5" t="n"/>
      <x:c r="AP41" s="5" t="n"/>
      <x:c r="AQ41" s="5" t="n"/>
      <x:c r="AR41" s="5" t="n"/>
      <x:c r="AS41" s="5" t="n"/>
      <x:c r="AT41" s="5" t="n"/>
      <x:c r="AU41" s="5" t="n"/>
      <x:c r="AV41" s="5" t="n"/>
      <x:c r="AW41" s="5" t="n"/>
      <x:c r="AX41" s="5" t="n"/>
      <x:c r="AY41" s="5" t="n"/>
      <x:c r="AZ41" s="5" t="n"/>
      <x:c r="BA41" s="5" t="n"/>
      <x:c r="BB41" s="5" t="n"/>
      <x:c r="BC41" s="5" t="n"/>
      <x:c r="BD41" s="5" t="n"/>
      <x:c r="BE41" s="5" t="n"/>
      <x:c r="BF41" s="5" t="n"/>
      <x:c r="BG41" s="5" t="n"/>
      <x:c r="BH41" s="5" t="n"/>
      <x:c r="BI41" s="5" t="n"/>
      <x:c r="BJ41" s="5" t="n"/>
      <x:c r="BK41" s="5" t="n"/>
      <x:c r="BL41" s="5" t="n"/>
      <x:c r="BM41" s="5" t="n"/>
      <x:c r="BN41" s="5" t="n"/>
      <x:c r="BO41" s="5" t="n"/>
      <x:c r="BP41" s="5" t="n"/>
      <x:c r="BQ41" s="5" t="n"/>
      <x:c r="BR41" s="5" t="n"/>
      <x:c r="BS41" s="5" t="n"/>
      <x:c r="BT41" s="5" t="n"/>
      <x:c r="BU41" s="5" t="n"/>
      <x:c r="BV41" s="5" t="n"/>
      <x:c r="BW41" s="5" t="n"/>
      <x:c r="BX41" s="5" t="n"/>
      <x:c r="BY41" s="5" t="n"/>
      <x:c r="BZ41" s="5" t="n"/>
      <x:c r="CA41" s="5" t="n"/>
      <x:c r="CB41" s="5" t="n"/>
      <x:c r="CC41" s="5" t="n"/>
      <x:c r="CD41" s="5" t="n"/>
      <x:c r="CE41" s="5" t="n"/>
    </x:row>
    <x:row r="42" ht="30" customHeight="1">
      <x:c r="A42" s="5" t="inlineStr">
        <x:is>
          <x:t xml:space="preserve">ER-89</x:t>
        </x:is>
      </x:c>
      <x:c r="B42" s="5" t="inlineStr">
        <x:is>
          <x:t xml:space="preserve">Sample</x:t>
        </x:is>
      </x:c>
      <x:c r="C42" s="5" t="inlineStr">
        <x:is>
          <x:t xml:space="preserve">[Sample] New Hire Access Request Form</x:t>
        </x:is>
      </x:c>
      <x:c r="D42" s="5" t="inlineStr">
        <x:is>
          <x:t xml:space="preserve">Security,PCI DSS v4.0 - ROC - Merchant</x:t>
        </x:is>
      </x:c>
      <x:c r="E42" s="5" t="inlineStr">
        <x:is>
          <x:t xml:space="preserve">REQ-30,1143.01c1System.123,A.05.15,A.05.18a,A.08.03,A.08.05a,REQ-30-SOC1,REQ-30-HIPAA,A.05.16,8.2.4,REQ-30,1143.01c1System.123,A.05.15,A.05.18a,A.08.03,A.08.05a,REQ-30-SOC1,REQ-30-HIPAA,A.05.16,8.2.4,REQ-30,1143.01c1System.123,A.05.15,A.05.18a,A.08.03,A.08.05a,REQ-30-SOC1,REQ-30-HIPAA,A.05.16,8.2.4,REQ-30,1143.01c1System.123,A.05.15,A.05.18a,A.08.03,A.08.05a,REQ-30-SOC1,REQ-30-HIPAA,A.05.16,8.2.4,REQ-30,1143.01c1System.123,A.05.15,A.05.18a,A.08.03,A.08.05a,REQ-30-SOC1,REQ-30-HIPAA,A.05.16,8.2.4,REQ-30,1143.01c1System.123,A.05.15,A.05.18a,A.08.03,A.08.05a,REQ-30-SOC1,REQ-30-HIPAA,A.05.16,8.2.4,REQ-30,1143.01c1System.123,A.05.15,A.05.18a,A.08.03,A.08.05a,REQ-30-SOC1,REQ-30-HIPAA,A.05.16,8.2.4,REQ-30,1143.01c1System.123,A.05.15,A.05.18a,A.08.03,A.08.05a,REQ-30-SOC1,REQ-30-HIPAA,A.05.16,8.2.4</x:t>
        </x:is>
      </x:c>
      <x:c r="F42" s="5" t="inlineStr">
        <x:is>
          <x:t xml:space="preserve">SOC 2,HITRUST,ISO 27001/2 (2022),ISO 27001/2 (2022),ISO 27001/2 (2022),ISO 27001/2 (2022),SOC 1,HIPAA Security,ISO 27001/2 (2022),PCI DSS v4.0,SOC 2,HITRUST,ISO 27001/2 (2022),ISO 27001/2 (2022),ISO 27001/2 (2022),ISO 27001/2 (2022),SOC 1,HIPAA Security,ISO 27001/2 (2022),PCI DSS v4.0,SOC 2,HITRUST,ISO 27001/2 (2022),ISO 27001/2 (2022),ISO 27001/2 (2022),ISO 27001/2 (2022),SOC 1,HIPAA Security,ISO 27001/2 (2022),PCI DSS v4.0,SOC 2,HITRUST,ISO 27001/2 (2022),ISO 27001/2 (2022),ISO 27001/2 (2022),ISO 27001/2 (2022),SOC 1,HIPAA Security,ISO 27001/2 (2022),PCI DSS v4.0,SOC 2,HITRUST,ISO 27001/2 (2022),ISO 27001/2 (2022),ISO 27001/2 (2022),ISO 27001/2 (2022),SOC 1,HIPAA Security,ISO 27001/2 (2022),PCI DSS v4.0,SOC 2,HITRUST,ISO 27001/2 (2022),ISO 27001/2 (2022),ISO 27001/2 (2022),ISO 27001/2 (2022),SOC 1,HIPAA Security,ISO 27001/2 (2022),PCI DSS v4.0,SOC 2,HITRUST,ISO 27001/2 (2022),ISO 27001/2 (2022),ISO 27001/2 (2022),ISO 27001/2 (2022),SOC 1,HIPAA Security,ISO 27001/2 (2022),PCI DSS v4.0,SOC 2,HITRUST,ISO 27001/2 (2022),ISO 27001/2 (2022),ISO 27001/2 (2022),ISO 27001/2 (2022),SOC 1,HIPAA Security,ISO 27001/2 (2022),PCI DSS v4.0</x:t>
        </x:is>
      </x:c>
      <x:c r="G42" s="5" t="n">
        <x:v>86</x:v>
      </x:c>
      <x:c r="H42" s="5" t="n">
        <x:v>2</x:v>
      </x:c>
      <x:c r="I42" s="5" t="n">
        <x:v>2</x:v>
      </x:c>
      <x:c r="J42" s="5" t="inlineStr">
        <x:is>
          <x:t xml:space="preserve">Security</x:t>
        </x:is>
      </x:c>
      <x:c r="K42" s="5" t="inlineStr">
        <x:is>
          <x:t xml:space="preserve">PCI DSS v4.0 - ROC - Merchant</x:t>
        </x:is>
      </x:c>
      <x:c r="L42" s="5" t="n">
        <x:v>80</x:v>
      </x:c>
      <x:c r="M42" s="5" t="n">
        <x:v>10</x:v>
      </x:c>
      <x:c r="N42" s="5" t="inlineStr">
        <x:is>
          <x:t xml:space="preserve">REQ-30</x:t>
        </x:is>
      </x:c>
      <x:c r="O42" s="5" t="inlineStr">
        <x:is>
          <x:t xml:space="preserve">1143.01c1System.123</x:t>
        </x:is>
      </x:c>
      <x:c r="P42" s="5" t="inlineStr">
        <x:is>
          <x:t xml:space="preserve">A.05.15</x:t>
        </x:is>
      </x:c>
      <x:c r="Q42" s="5" t="inlineStr">
        <x:is>
          <x:t xml:space="preserve">A.05.18a</x:t>
        </x:is>
      </x:c>
      <x:c r="R42" s="5" t="inlineStr">
        <x:is>
          <x:t xml:space="preserve">A.08.03</x:t>
        </x:is>
      </x:c>
      <x:c r="S42" s="5" t="inlineStr">
        <x:is>
          <x:t xml:space="preserve">A.08.05a</x:t>
        </x:is>
      </x:c>
      <x:c r="T42" s="5" t="inlineStr">
        <x:is>
          <x:t xml:space="preserve">REQ-30-SOC1</x:t>
        </x:is>
      </x:c>
      <x:c r="U42" s="5" t="inlineStr">
        <x:is>
          <x:t xml:space="preserve">REQ-30-HIPAA</x:t>
        </x:is>
      </x:c>
      <x:c r="V42" s="5" t="inlineStr">
        <x:is>
          <x:t xml:space="preserve">A.05.16</x:t>
        </x:is>
      </x:c>
      <x:c r="W42" s="5" t="inlineStr">
        <x:is>
          <x:t xml:space="preserve">8.2.4</x:t>
        </x:is>
      </x:c>
      <x:c r="X42" s="5" t="n"/>
      <x:c r="Y42" s="5" t="n"/>
      <x:c r="Z42" s="5" t="n"/>
      <x:c r="AA42" s="5" t="n"/>
      <x:c r="AB42" s="5" t="n"/>
      <x:c r="AC42" s="5" t="n"/>
      <x:c r="AD42" s="5" t="n">
        <x:v>80</x:v>
      </x:c>
      <x:c r="AE42" s="5" t="n">
        <x:v>6</x:v>
      </x:c>
      <x:c r="AF42" s="5" t="inlineStr">
        <x:is>
          <x:t xml:space="preserve">SOC 2</x:t>
        </x:is>
      </x:c>
      <x:c r="AG42" s="5" t="inlineStr">
        <x:is>
          <x:t xml:space="preserve">HITRUST</x:t>
        </x:is>
      </x:c>
      <x:c r="AH42" s="5" t="inlineStr">
        <x:is>
          <x:t xml:space="preserve">ISO 27001/2 (2022)</x:t>
        </x:is>
      </x:c>
      <x:c r="AI42" s="5" t="inlineStr">
        <x:is>
          <x:t xml:space="preserve">SOC 1</x:t>
        </x:is>
      </x:c>
      <x:c r="AJ42" s="5" t="inlineStr">
        <x:is>
          <x:t xml:space="preserve">HIPAA Security</x:t>
        </x:is>
      </x:c>
      <x:c r="AK42" s="5" t="inlineStr">
        <x:is>
          <x:t xml:space="preserve">PCI DSS v4.0</x:t>
        </x:is>
      </x:c>
      <x:c r="AL42" s="28" t="inlineStr">
        <x:is>
          <x:t xml:space="preserve">https://docs.google.com/document/d/1W5FC1d6oqcAnoxBiPHHQMdXo6_EqhnFeiMjXq4_dX9s/edit?usp=sharing</x:t>
        </x:is>
      </x:c>
      <x:c r="AM42" s="5" t="inlineStr">
        <x:is>
          <x:t xml:space="preserve">Local controls deduped from 80 exported tokens to 10 unique button tokens. Frameworks deduped from 80 exported tokens to 6 unique button tokens. Preserved "ISO 27001/2 (2022)" as a single framework token to reflect Thoropass notation that references ISO 27001 together with the related 27002 guidance set.</x:t>
        </x:is>
      </x:c>
      <x:c r="AN42" s="5" t="n"/>
      <x:c r="AO42" s="5" t="n"/>
      <x:c r="AP42" s="5" t="n"/>
      <x:c r="AQ42" s="5" t="n"/>
      <x:c r="AR42" s="5" t="n"/>
      <x:c r="AS42" s="5" t="n"/>
      <x:c r="AT42" s="5" t="n"/>
      <x:c r="AU42" s="5" t="n"/>
      <x:c r="AV42" s="5" t="n"/>
      <x:c r="AW42" s="5" t="n"/>
      <x:c r="AX42" s="5" t="n"/>
      <x:c r="AY42" s="5" t="n"/>
      <x:c r="AZ42" s="5" t="n"/>
      <x:c r="BA42" s="5" t="n"/>
      <x:c r="BB42" s="5" t="n"/>
      <x:c r="BC42" s="5" t="n"/>
      <x:c r="BD42" s="5" t="n"/>
      <x:c r="BE42" s="5" t="n"/>
      <x:c r="BF42" s="5" t="n"/>
      <x:c r="BG42" s="5" t="n"/>
      <x:c r="BH42" s="5" t="n"/>
      <x:c r="BI42" s="5" t="n"/>
      <x:c r="BJ42" s="5" t="n"/>
      <x:c r="BK42" s="5" t="n"/>
      <x:c r="BL42" s="5" t="n"/>
      <x:c r="BM42" s="5" t="n"/>
      <x:c r="BN42" s="5" t="n"/>
      <x:c r="BO42" s="5" t="n"/>
      <x:c r="BP42" s="5" t="n"/>
      <x:c r="BQ42" s="5" t="n"/>
      <x:c r="BR42" s="5" t="n"/>
      <x:c r="BS42" s="5" t="n"/>
      <x:c r="BT42" s="5" t="n"/>
      <x:c r="BU42" s="5" t="n"/>
      <x:c r="BV42" s="5" t="n"/>
      <x:c r="BW42" s="5" t="n"/>
      <x:c r="BX42" s="5" t="n"/>
      <x:c r="BY42" s="5" t="n"/>
      <x:c r="BZ42" s="5" t="n"/>
      <x:c r="CA42" s="5" t="n"/>
      <x:c r="CB42" s="5" t="n"/>
      <x:c r="CC42" s="5" t="n"/>
      <x:c r="CD42" s="5" t="n"/>
      <x:c r="CE42" s="5" t="n"/>
    </x:row>
    <x:row r="43" ht="30" customHeight="1">
      <x:c r="A43" s="5" t="inlineStr">
        <x:is>
          <x:t xml:space="preserve">ER-91</x:t>
        </x:is>
      </x:c>
      <x:c r="B43" s="5" t="inlineStr">
        <x:is>
          <x:t xml:space="preserve">Configuration</x:t>
        </x:is>
      </x:c>
      <x:c r="C43" s="5" t="inlineStr">
        <x:is>
          <x:t xml:space="preserve">[Configuration] Firewall Rules/Security Groups</x:t>
        </x:is>
      </x:c>
      <x:c r="D43" s="5" t="inlineStr">
        <x:is>
          <x:t xml:space="preserve">Security,PCI DSS v4.0 - ROC - Merchant</x:t>
        </x:is>
      </x:c>
      <x:c r="E43" s="5" t="inlineStr">
        <x:is>
          <x:t xml:space="preserve">0265.09m1Organizational.2,0805.01m1Organizational.12,A.08.20,A.08.21,A.08.22,REQ-37,REQ-37-SOC1,REQ-37-HIPAA,1.4.3,0265.09m1Organizational.2,0805.01m1Organizational.12,A.08.20,A.08.21,A.08.22,REQ-37,REQ-37-SOC1,REQ-37-HIPAA,1.4.3,0265.09m1Organizational.2,0805.01m1Organizational.12,A.08.20,A.08.21,A.08.22,REQ-37,REQ-37-SOC1,REQ-37-HIPAA,0265.09m1Organizational.2,0805.01m1Organizational.12,A.08.20,A.08.21,A.08.22,REQ-37,REQ-37-SOC1,REQ-37-HIPAA,0265.09m1Organizational.2,0805.01m1Organizational.12,A.08.20,A.08.21,A.08.22,REQ-37,REQ-37-SOC1,REQ-37-HIPAA,0265.09m1Organizational.2,0805.01m1Organizational.12,A.08.20,A.08.21,A.08.22,REQ-37,REQ-37-SOC1,REQ-37-HIPAA,1.4.3,1.4.3</x:t>
        </x:is>
      </x:c>
      <x:c r="F43" s="5" t="inlineStr">
        <x:is>
          <x:t xml:space="preserve">HITRUST,HITRUST,ISO 27001/2 (2022),ISO 27001/2 (2022),ISO 27001/2 (2022),SOC 2,SOC 1,HIPAA Security,PCI DSS v4.0,HITRUST,HITRUST,ISO 27001/2 (2022),ISO 27001/2 (2022),ISO 27001/2 (2022),SOC 2,SOC 1,HIPAA Security,PCI DSS v4.0,HITRUST,HITRUST,ISO 27001/2 (2022),ISO 27001/2 (2022),ISO 27001/2 (2022),SOC 2,SOC 1,HIPAA Security,HITRUST,HITRUST,ISO 27001/2 (2022),ISO 27001/2 (2022),ISO 27001/2 (2022),SOC 2,SOC 1,HIPAA Security,HITRUST,HITRUST,ISO 27001/2 (2022),ISO 27001/2 (2022),ISO 27001/2 (2022),SOC 2,SOC 1,HIPAA Security,HITRUST,HITRUST,ISO 27001/2 (2022),ISO 27001/2 (2022),ISO 27001/2 (2022),SOC 2,SOC 1,HIPAA Security,PCI DSS v4.0,PCI DSS v4.0</x:t>
        </x:is>
      </x:c>
      <x:c r="G43" s="5" t="n">
        <x:v>88</x:v>
      </x:c>
      <x:c r="H43" s="5" t="n">
        <x:v>2</x:v>
      </x:c>
      <x:c r="I43" s="5" t="n">
        <x:v>2</x:v>
      </x:c>
      <x:c r="J43" s="5" t="inlineStr">
        <x:is>
          <x:t xml:space="preserve">Security</x:t>
        </x:is>
      </x:c>
      <x:c r="K43" s="5" t="inlineStr">
        <x:is>
          <x:t xml:space="preserve">PCI DSS v4.0 - ROC - Merchant</x:t>
        </x:is>
      </x:c>
      <x:c r="L43" s="5" t="n">
        <x:v>52</x:v>
      </x:c>
      <x:c r="M43" s="5" t="n">
        <x:v>9</x:v>
      </x:c>
      <x:c r="N43" s="5" t="inlineStr">
        <x:is>
          <x:t xml:space="preserve">0265.09m1Organizational.2</x:t>
        </x:is>
      </x:c>
      <x:c r="O43" s="5" t="inlineStr">
        <x:is>
          <x:t xml:space="preserve">0805.01m1Organizational.12</x:t>
        </x:is>
      </x:c>
      <x:c r="P43" s="5" t="inlineStr">
        <x:is>
          <x:t xml:space="preserve">A.08.20</x:t>
        </x:is>
      </x:c>
      <x:c r="Q43" s="5" t="inlineStr">
        <x:is>
          <x:t xml:space="preserve">A.08.21</x:t>
        </x:is>
      </x:c>
      <x:c r="R43" s="5" t="inlineStr">
        <x:is>
          <x:t xml:space="preserve">A.08.22</x:t>
        </x:is>
      </x:c>
      <x:c r="S43" s="5" t="inlineStr">
        <x:is>
          <x:t xml:space="preserve">REQ-37</x:t>
        </x:is>
      </x:c>
      <x:c r="T43" s="5" t="inlineStr">
        <x:is>
          <x:t xml:space="preserve">REQ-37-SOC1</x:t>
        </x:is>
      </x:c>
      <x:c r="U43" s="5" t="inlineStr">
        <x:is>
          <x:t xml:space="preserve">REQ-37-HIPAA</x:t>
        </x:is>
      </x:c>
      <x:c r="V43" s="5" t="inlineStr">
        <x:is>
          <x:t xml:space="preserve">1.4.3</x:t>
        </x:is>
      </x:c>
      <x:c r="W43" s="5" t="n"/>
      <x:c r="X43" s="5" t="n"/>
      <x:c r="Y43" s="5" t="n"/>
      <x:c r="Z43" s="5" t="n"/>
      <x:c r="AA43" s="5" t="n"/>
      <x:c r="AB43" s="5" t="n"/>
      <x:c r="AC43" s="5" t="n"/>
      <x:c r="AD43" s="5" t="n">
        <x:v>52</x:v>
      </x:c>
      <x:c r="AE43" s="5" t="n">
        <x:v>6</x:v>
      </x:c>
      <x:c r="AF43" s="5" t="inlineStr">
        <x:is>
          <x:t xml:space="preserve">HITRUST</x:t>
        </x:is>
      </x:c>
      <x:c r="AG43" s="5" t="inlineStr">
        <x:is>
          <x:t xml:space="preserve">ISO 27001/2 (2022)</x:t>
        </x:is>
      </x:c>
      <x:c r="AH43" s="5" t="inlineStr">
        <x:is>
          <x:t xml:space="preserve">SOC 2</x:t>
        </x:is>
      </x:c>
      <x:c r="AI43" s="5" t="inlineStr">
        <x:is>
          <x:t xml:space="preserve">SOC 1</x:t>
        </x:is>
      </x:c>
      <x:c r="AJ43" s="5" t="inlineStr">
        <x:is>
          <x:t xml:space="preserve">HIPAA Security</x:t>
        </x:is>
      </x:c>
      <x:c r="AK43" s="5" t="inlineStr">
        <x:is>
          <x:t xml:space="preserve">PCI DSS v4.0</x:t>
        </x:is>
      </x:c>
      <x:c r="AL43" s="28" t="inlineStr">
        <x:is>
          <x:t xml:space="preserve">https://docs.google.com/document/d/1W5FC1d6oqcAnoxBiPHHQMdXo6_EqhnFeiMjXq4_dX9s/edit?usp=sharing</x:t>
        </x:is>
      </x:c>
      <x:c r="AM43" s="5" t="inlineStr">
        <x:is>
          <x:t xml:space="preserve">Local controls deduped from 52 exported tokens to 9 unique button tokens. Frameworks deduped from 52 exported tokens to 6 unique button tokens. Preserved "ISO 27001/2 (2022)" as a single framework token to reflect Thoropass notation that references ISO 27001 together with the related 27002 guidance set.</x:t>
        </x:is>
      </x:c>
      <x:c r="AN43" s="5" t="n"/>
      <x:c r="AO43" s="5" t="n"/>
      <x:c r="AP43" s="5" t="n"/>
      <x:c r="AQ43" s="5" t="n"/>
      <x:c r="AR43" s="5" t="n"/>
      <x:c r="AS43" s="5" t="n"/>
      <x:c r="AT43" s="5" t="n"/>
      <x:c r="AU43" s="5" t="n"/>
      <x:c r="AV43" s="5" t="n"/>
      <x:c r="AW43" s="5" t="n"/>
      <x:c r="AX43" s="5" t="n"/>
      <x:c r="AY43" s="5" t="n"/>
      <x:c r="AZ43" s="5" t="n"/>
      <x:c r="BA43" s="5" t="n"/>
      <x:c r="BB43" s="5" t="n"/>
      <x:c r="BC43" s="5" t="n"/>
      <x:c r="BD43" s="5" t="n"/>
      <x:c r="BE43" s="5" t="n"/>
      <x:c r="BF43" s="5" t="n"/>
      <x:c r="BG43" s="5" t="n"/>
      <x:c r="BH43" s="5" t="n"/>
      <x:c r="BI43" s="5" t="n"/>
      <x:c r="BJ43" s="5" t="n"/>
      <x:c r="BK43" s="5" t="n"/>
      <x:c r="BL43" s="5" t="n"/>
      <x:c r="BM43" s="5" t="n"/>
      <x:c r="BN43" s="5" t="n"/>
      <x:c r="BO43" s="5" t="n"/>
      <x:c r="BP43" s="5" t="n"/>
      <x:c r="BQ43" s="5" t="n"/>
      <x:c r="BR43" s="5" t="n"/>
      <x:c r="BS43" s="5" t="n"/>
      <x:c r="BT43" s="5" t="n"/>
      <x:c r="BU43" s="5" t="n"/>
      <x:c r="BV43" s="5" t="n"/>
      <x:c r="BW43" s="5" t="n"/>
      <x:c r="BX43" s="5" t="n"/>
      <x:c r="BY43" s="5" t="n"/>
      <x:c r="BZ43" s="5" t="n"/>
      <x:c r="CA43" s="5" t="n"/>
      <x:c r="CB43" s="5" t="n"/>
      <x:c r="CC43" s="5" t="n"/>
      <x:c r="CD43" s="5" t="n"/>
      <x:c r="CE43" s="5" t="n"/>
    </x:row>
    <x:row r="44" ht="30" customHeight="1">
      <x:c r="A44" s="5" t="inlineStr">
        <x:is>
          <x:t xml:space="preserve">ER-94</x:t>
        </x:is>
      </x:c>
      <x:c r="B44" s="5" t="inlineStr">
        <x:is>
          <x:t xml:space="preserve">Sample</x:t>
        </x:is>
      </x:c>
      <x:c r="C44" s="5" t="inlineStr">
        <x:is>
          <x:t xml:space="preserve">[Sample] Default-Deny Rule (Via Host-Based Firewall or Port Filtering Tool)</x:t>
        </x:is>
      </x:c>
      <x:c r="D44" s="5" t="n"/>
      <x:c r="E44" s="5" t="inlineStr">
        <x:is>
          <x:t xml:space="preserve">0265.09m1Organizational.2,0814.01n1Organizational.12.a,0265.09m1Organizational.2,0814.01n1Organizational.12.a,0265.09m1Organizational.2,0814.01n1Organizational.12.a</x:t>
        </x:is>
      </x:c>
      <x:c r="F44" s="5" t="inlineStr">
        <x:is>
          <x:t xml:space="preserve">HITRUST,HITRUST,HITRUST,HITRUST,HITRUST,HITRUST</x:t>
        </x:is>
      </x:c>
      <x:c r="G44" s="5" t="n">
        <x:v>91</x:v>
      </x:c>
      <x:c r="H44" s="5" t="n">
        <x:v>0</x:v>
      </x:c>
      <x:c r="I44" s="5" t="n">
        <x:v>0</x:v>
      </x:c>
      <x:c r="J44" s="5" t="n"/>
      <x:c r="K44" s="5" t="n"/>
      <x:c r="L44" s="5" t="n">
        <x:v>6</x:v>
      </x:c>
      <x:c r="M44" s="5" t="n">
        <x:v>2</x:v>
      </x:c>
      <x:c r="N44" s="5" t="inlineStr">
        <x:is>
          <x:t xml:space="preserve">0265.09m1Organizational.2</x:t>
        </x:is>
      </x:c>
      <x:c r="O44" s="5" t="inlineStr">
        <x:is>
          <x:t xml:space="preserve">0814.01n1Organizational.12.a</x:t>
        </x:is>
      </x:c>
      <x:c r="P44" s="5" t="n"/>
      <x:c r="Q44" s="5" t="n"/>
      <x:c r="R44" s="5" t="n"/>
      <x:c r="S44" s="5" t="n"/>
      <x:c r="T44" s="5" t="n"/>
      <x:c r="U44" s="5" t="n"/>
      <x:c r="V44" s="5" t="n"/>
      <x:c r="W44" s="5" t="n"/>
      <x:c r="X44" s="5" t="n"/>
      <x:c r="Y44" s="5" t="n"/>
      <x:c r="Z44" s="5" t="n"/>
      <x:c r="AA44" s="5" t="n"/>
      <x:c r="AB44" s="5" t="n"/>
      <x:c r="AC44" s="5" t="n"/>
      <x:c r="AD44" s="5" t="n">
        <x:v>6</x:v>
      </x:c>
      <x:c r="AE44" s="5" t="n">
        <x:v>1</x:v>
      </x:c>
      <x:c r="AF44" s="5" t="inlineStr">
        <x:is>
          <x:t xml:space="preserve">HITRUST</x:t>
        </x:is>
      </x:c>
      <x:c r="AG44" s="5" t="n"/>
      <x:c r="AH44" s="5" t="n"/>
      <x:c r="AI44" s="5" t="n"/>
      <x:c r="AJ44" s="5" t="n"/>
      <x:c r="AK44" s="5" t="n"/>
      <x:c r="AL44" s="28" t="inlineStr">
        <x:is>
          <x:t xml:space="preserve">https://docs.google.com/document/d/1W5FC1d6oqcAnoxBiPHHQMdXo6_EqhnFeiMjXq4_dX9s/edit?usp=sharing</x:t>
        </x:is>
      </x:c>
      <x:c r="AM44" s="5" t="inlineStr">
        <x:is>
          <x:t xml:space="preserve">Local controls deduped from 6 exported tokens to 2 unique button tokens. Frameworks deduped from 6 exported tokens to 1 unique button tokens.</x:t>
        </x:is>
      </x:c>
      <x:c r="AN44" s="5" t="n"/>
      <x:c r="AO44" s="5" t="n"/>
      <x:c r="AP44" s="5" t="n"/>
      <x:c r="AQ44" s="5" t="n"/>
      <x:c r="AR44" s="5" t="n"/>
      <x:c r="AS44" s="5" t="n"/>
      <x:c r="AT44" s="5" t="n"/>
      <x:c r="AU44" s="5" t="n"/>
      <x:c r="AV44" s="5" t="n"/>
      <x:c r="AW44" s="5" t="n"/>
      <x:c r="AX44" s="5" t="n"/>
      <x:c r="AY44" s="5" t="n"/>
      <x:c r="AZ44" s="5" t="n"/>
      <x:c r="BA44" s="5" t="n"/>
      <x:c r="BB44" s="5" t="n"/>
      <x:c r="BC44" s="5" t="n"/>
      <x:c r="BD44" s="5" t="n"/>
      <x:c r="BE44" s="5" t="n"/>
      <x:c r="BF44" s="5" t="n"/>
      <x:c r="BG44" s="5" t="n"/>
      <x:c r="BH44" s="5" t="n"/>
      <x:c r="BI44" s="5" t="n"/>
      <x:c r="BJ44" s="5" t="n"/>
      <x:c r="BK44" s="5" t="n"/>
      <x:c r="BL44" s="5" t="n"/>
      <x:c r="BM44" s="5" t="n"/>
      <x:c r="BN44" s="5" t="n"/>
      <x:c r="BO44" s="5" t="n"/>
      <x:c r="BP44" s="5" t="n"/>
      <x:c r="BQ44" s="5" t="n"/>
      <x:c r="BR44" s="5" t="n"/>
      <x:c r="BS44" s="5" t="n"/>
      <x:c r="BT44" s="5" t="n"/>
      <x:c r="BU44" s="5" t="n"/>
      <x:c r="BV44" s="5" t="n"/>
      <x:c r="BW44" s="5" t="n"/>
      <x:c r="BX44" s="5" t="n"/>
      <x:c r="BY44" s="5" t="n"/>
      <x:c r="BZ44" s="5" t="n"/>
      <x:c r="CA44" s="5" t="n"/>
      <x:c r="CB44" s="5" t="n"/>
      <x:c r="CC44" s="5" t="n"/>
      <x:c r="CD44" s="5" t="n"/>
      <x:c r="CE44" s="5" t="n"/>
    </x:row>
    <x:row r="45" ht="30" customHeight="1">
      <x:c r="A45" s="5" t="inlineStr">
        <x:is>
          <x:t xml:space="preserve">ER-102</x:t>
        </x:is>
      </x:c>
      <x:c r="B45" s="5" t="inlineStr">
        <x:is>
          <x:t xml:space="preserve">Configuration</x:t>
        </x:is>
      </x:c>
      <x:c r="C45" s="5" t="inlineStr">
        <x:is>
          <x:t xml:space="preserve">[Configuration] Audit Record Content</x:t>
        </x:is>
      </x:c>
      <x:c r="D45" s="5" t="n"/>
      <x:c r="E45" s="5" t="inlineStr">
        <x:is>
          <x:t xml:space="preserve">1203.09aa1System.2,1203.09aa1System.2,1203.09aa1System.2,1203.09aa1System.2</x:t>
        </x:is>
      </x:c>
      <x:c r="F45" s="5" t="inlineStr">
        <x:is>
          <x:t xml:space="preserve">HITRUST,HITRUST,HITRUST,HITRUST</x:t>
        </x:is>
      </x:c>
      <x:c r="G45" s="5" t="n">
        <x:v>98</x:v>
      </x:c>
      <x:c r="H45" s="5" t="n">
        <x:v>0</x:v>
      </x:c>
      <x:c r="I45" s="5" t="n">
        <x:v>0</x:v>
      </x:c>
      <x:c r="J45" s="5" t="n"/>
      <x:c r="K45" s="5" t="n"/>
      <x:c r="L45" s="5" t="n">
        <x:v>4</x:v>
      </x:c>
      <x:c r="M45" s="5" t="n">
        <x:v>1</x:v>
      </x:c>
      <x:c r="N45" s="5" t="inlineStr">
        <x:is>
          <x:t xml:space="preserve">1203.09aa1System.2</x:t>
        </x:is>
      </x:c>
      <x:c r="O45" s="5" t="n"/>
      <x:c r="P45" s="5" t="n"/>
      <x:c r="Q45" s="5" t="n"/>
      <x:c r="R45" s="5" t="n"/>
      <x:c r="S45" s="5" t="n"/>
      <x:c r="T45" s="5" t="n"/>
      <x:c r="U45" s="5" t="n"/>
      <x:c r="V45" s="5" t="n"/>
      <x:c r="W45" s="5" t="n"/>
      <x:c r="X45" s="5" t="n"/>
      <x:c r="Y45" s="5" t="n"/>
      <x:c r="Z45" s="5" t="n"/>
      <x:c r="AA45" s="5" t="n"/>
      <x:c r="AB45" s="5" t="n"/>
      <x:c r="AC45" s="5" t="n"/>
      <x:c r="AD45" s="5" t="n">
        <x:v>4</x:v>
      </x:c>
      <x:c r="AE45" s="5" t="n">
        <x:v>1</x:v>
      </x:c>
      <x:c r="AF45" s="5" t="inlineStr">
        <x:is>
          <x:t xml:space="preserve">HITRUST</x:t>
        </x:is>
      </x:c>
      <x:c r="AG45" s="5" t="n"/>
      <x:c r="AH45" s="5" t="n"/>
      <x:c r="AI45" s="5" t="n"/>
      <x:c r="AJ45" s="5" t="n"/>
      <x:c r="AK45" s="5" t="n"/>
      <x:c r="AL45" s="28" t="inlineStr">
        <x:is>
          <x:t xml:space="preserve">https://docs.google.com/document/d/1W5FC1d6oqcAnoxBiPHHQMdXo6_EqhnFeiMjXq4_dX9s/edit?usp=sharing</x:t>
        </x:is>
      </x:c>
      <x:c r="AM45" s="5" t="inlineStr">
        <x:is>
          <x:t xml:space="preserve">Local controls deduped from 4 exported tokens to 1 unique button tokens. Frameworks deduped from 4 exported tokens to 1 unique button tokens.</x:t>
        </x:is>
      </x:c>
      <x:c r="AN45" s="5" t="n"/>
      <x:c r="AO45" s="5" t="n"/>
      <x:c r="AP45" s="5" t="n"/>
      <x:c r="AQ45" s="5" t="n"/>
      <x:c r="AR45" s="5" t="n"/>
      <x:c r="AS45" s="5" t="n"/>
      <x:c r="AT45" s="5" t="n"/>
      <x:c r="AU45" s="5" t="n"/>
      <x:c r="AV45" s="5" t="n"/>
      <x:c r="AW45" s="5" t="n"/>
      <x:c r="AX45" s="5" t="n"/>
      <x:c r="AY45" s="5" t="n"/>
      <x:c r="AZ45" s="5" t="n"/>
      <x:c r="BA45" s="5" t="n"/>
      <x:c r="BB45" s="5" t="n"/>
      <x:c r="BC45" s="5" t="n"/>
      <x:c r="BD45" s="5" t="n"/>
      <x:c r="BE45" s="5" t="n"/>
      <x:c r="BF45" s="5" t="n"/>
      <x:c r="BG45" s="5" t="n"/>
      <x:c r="BH45" s="5" t="n"/>
      <x:c r="BI45" s="5" t="n"/>
      <x:c r="BJ45" s="5" t="n"/>
      <x:c r="BK45" s="5" t="n"/>
      <x:c r="BL45" s="5" t="n"/>
      <x:c r="BM45" s="5" t="n"/>
      <x:c r="BN45" s="5" t="n"/>
      <x:c r="BO45" s="5" t="n"/>
      <x:c r="BP45" s="5" t="n"/>
      <x:c r="BQ45" s="5" t="n"/>
      <x:c r="BR45" s="5" t="n"/>
      <x:c r="BS45" s="5" t="n"/>
      <x:c r="BT45" s="5" t="n"/>
      <x:c r="BU45" s="5" t="n"/>
      <x:c r="BV45" s="5" t="n"/>
      <x:c r="BW45" s="5" t="n"/>
      <x:c r="BX45" s="5" t="n"/>
      <x:c r="BY45" s="5" t="n"/>
      <x:c r="BZ45" s="5" t="n"/>
      <x:c r="CA45" s="5" t="n"/>
      <x:c r="CB45" s="5" t="n"/>
      <x:c r="CC45" s="5" t="n"/>
      <x:c r="CD45" s="5" t="n"/>
      <x:c r="CE45" s="5" t="n"/>
    </x:row>
    <x:row r="46" ht="30" customHeight="1">
      <x:c r="A46" s="5" t="inlineStr">
        <x:is>
          <x:t xml:space="preserve">ER-105</x:t>
        </x:is>
      </x:c>
      <x:c r="B46" s="5" t="inlineStr">
        <x:is>
          <x:t xml:space="preserve">Operational</x:t>
        </x:is>
      </x:c>
      <x:c r="C46" s="5" t="inlineStr">
        <x:is>
          <x:t xml:space="preserve">[Operational] Risk Assessment</x:t>
        </x:is>
      </x:c>
      <x:c r="D46" s="5" t="inlineStr">
        <x:is>
          <x:t xml:space="preserve">Security</x:t>
        </x:is>
      </x:c>
      <x:c r="E46" s="5" t="inlineStr">
        <x:is>
          <x:t xml:space="preserve">REQ-17,REQ-18,REQ-19,REQ-20,1704.03b1Organizational.12,06.01.01,08.02,08.03,REQ-17-SOC1,REQ-18-SOC1,REQ-19-SOC1,REQ-20-SOC1,REQ-17-HIPAA,REQ-20-HIPAA,06.01.02,06.01.03,REQ-110-HIPAA,REQ-17,REQ-18,REQ-19,REQ-20,1704.03b1Organizational.12,06.01.01,08.02,08.03,REQ-17-SOC1,REQ-18-SOC1,REQ-19-SOC1,REQ-20-SOC1,REQ-17-HIPAA,REQ-20-HIPAA,REQ-110-HIPAA,06.01.02,06.01.03,REQ-17,REQ-18,REQ-19,REQ-20,06.01.01,08.02,REQ-17-SOC1,REQ-18-SOC1,REQ-19-SOC1,REQ-20-SOC1,REQ-17-HIPAA,REQ-20-HIPAA,REQ-110-HIPAA,06.01.02,06.01.03,08.03,1704.03b1Organizational.12,REQ-17,REQ-18,REQ-19,REQ-20,1704.03b1Organizational.12,06.01.01,08.02,REQ-17-SOC1,REQ-18-SOC1,REQ-19-SOC1,REQ-20-SOC1,REQ-17-HIPAA,REQ-20-HIPAA,REQ-110-HIPAA,06.01.02,06.01.03,08.03,REQ-17,REQ-18,REQ-19,REQ-20,1704.03b1Organizational.12,06.01.01,08.02,08.03,REQ-17-SOC1,REQ-18-SOC1,REQ-19-SOC1,REQ-20-SOC1,REQ-17-HIPAA,REQ-20-HIPAA,REQ-110-HIPAA,06.01.02,06.01.03,REQ-17,REQ-18,REQ-19,REQ-20,1704.03b1Organizational.12,06.01.01,08.01,08.02,REQ-17-SOC1,REQ-18-SOC1,REQ-19-SOC1,REQ-20-SOC1,REQ-17-HIPAA,REQ-20-HIPAA,REQ-110-HIPAA,06.01.02,06.01.03,08.03,08.02,08.03,REQ-17,REQ-18,REQ-19,REQ-20,1704.03b1Organizational.12,06.01.01,08.02,REQ-17-SOC1,REQ-18-SOC1,REQ-19-SOC1,REQ-20-SOC1,REQ-17-HIPAA,REQ-20-HIPAA,REQ-110-HIPAA,06.01.02,06.01.03,08.03,REQ-17,REQ-18,REQ-19,REQ-20,1704.03b1Organizational.12,06.01.01,08.02,REQ-17-SOC1,REQ-18-SOC1,REQ-19-SOC1,REQ-20-SOC1,REQ-17-HIPAA,REQ-20-HIPAA,REQ-110-HIPAA,06.01.02,06.01.03,08.03,08.02,08.03,08.02,08.03,08.02,08.03,08.02,08.03</x:t>
        </x:is>
      </x:c>
      <x:c r="F46" s="5" t="inlineStr">
        <x:is>
          <x:t xml:space="preserve">SOC 2,SOC 2,SOC 2,SOC 2,HITRUST,ISO 27001/2 (2022),ISO 27001/2 (2022),ISO 27001/2 (2022),SOC 1,SOC 1,SOC 1,SOC 1,HIPAA Security,HIPAA Security,ISO 27001/2 (2022),ISO 27001/2 (2022),HIPAA Security,SOC 2,SOC 2,SOC 2,SOC 2,HITRUST,ISO 27001/2 (2022),ISO 27001/2 (2022),ISO 27001/2 (2022),SOC 1,SOC 1,SOC 1,SOC 1,HIPAA Security,HIPAA Security,HIPAA Security,ISO 27001/2 (2022),ISO 27001/2 (2022),SOC 2,SOC 2,SOC 2,SOC 2,ISO 27001/2 (2022),ISO 27001/2 (2022),SOC 1,SOC 1,SOC 1,SOC 1,HIPAA Security,HIPAA Security,HIPAA Security,ISO 27001/2 (2022),ISO 27001/2 (2022),ISO 27001/2 (2022),HITRUST,SOC 2,SOC 2,SOC 2,SOC 2,HITRUST,ISO 27001/2 (2022),ISO 27001/2 (2022),SOC 1,SOC 1,SOC 1,SOC 1,HIPAA Security,HIPAA Security,HIPAA Security,ISO 27001/2 (2022),ISO 27001/2 (2022),ISO 27001/2 (2022),SOC 2,SOC 2,SOC 2,SOC 2,HITRUST,ISO 27001/2 (2022),ISO 27001/2 (2022),ISO 27001/2 (2022),SOC 1,SOC 1,SOC 1,SOC 1,HIPAA Security,HIPAA Security,HIPAA Security,ISO 27001/2 (2022),ISO 27001/2 (2022),SOC 2,SOC 2,SOC 2,SOC 2,HITRUST,ISO 27001/2 (2022),ISO 27001/2 (2022),ISO 27001/2 (2022),SOC 1,SOC 1,SOC 1,SOC 1,HIPAA Security,HIPAA Security,HIPAA Security,ISO 27001/2 (2022),ISO 27001/2 (2022),ISO 27001/2 (2022),ISO 27001/2 (2022),ISO 27001/2 (2022),SOC 2,SOC 2,SOC 2,SOC 2,HITRUST,ISO 27001/2 (2022),ISO 27001/2 (2022),SOC 1,SOC 1,SOC 1,SOC 1,HIPAA Security,HIPAA Security,HIPAA Security,ISO 27001/2 (2022),ISO 27001/2 (2022),ISO 27001/2 (2022),SOC 2,SOC 2,SOC 2,SOC 2,HITRUST,ISO 27001/2 (2022),ISO 27001/2 (2022),SOC 1,SOC 1,SOC 1,SOC 1,HIPAA Security,HIPAA Security,HIPAA Security,ISO 27001/2 (2022),ISO 27001/2 (2022),ISO 27001/2 (2022),ISO 27001/2 (2022),ISO 27001/2 (2022),ISO 27001/2 (2022),ISO 27001/2 (2022),ISO 27001/2 (2022),ISO 27001/2 (2022),ISO 27001/2 (2022),ISO 27001/2 (2022)</x:t>
        </x:is>
      </x:c>
      <x:c r="G46" s="5" t="n">
        <x:v>101</x:v>
      </x:c>
      <x:c r="H46" s="5" t="n">
        <x:v>1</x:v>
      </x:c>
      <x:c r="I46" s="5" t="n">
        <x:v>1</x:v>
      </x:c>
      <x:c r="J46" s="5" t="inlineStr">
        <x:is>
          <x:t xml:space="preserve">Security</x:t>
        </x:is>
      </x:c>
      <x:c r="K46" s="5" t="n"/>
      <x:c r="L46" s="5" t="n">
        <x:v>147</x:v>
      </x:c>
      <x:c r="M46" s="5" t="n">
        <x:v>18</x:v>
      </x:c>
      <x:c r="N46" s="5" t="inlineStr">
        <x:is>
          <x:t xml:space="preserve">REQ-17</x:t>
        </x:is>
      </x:c>
      <x:c r="O46" s="5" t="inlineStr">
        <x:is>
          <x:t xml:space="preserve">REQ-18</x:t>
        </x:is>
      </x:c>
      <x:c r="P46" s="5" t="inlineStr">
        <x:is>
          <x:t xml:space="preserve">REQ-19</x:t>
        </x:is>
      </x:c>
      <x:c r="Q46" s="5" t="inlineStr">
        <x:is>
          <x:t xml:space="preserve">REQ-20</x:t>
        </x:is>
      </x:c>
      <x:c r="R46" s="5" t="inlineStr">
        <x:is>
          <x:t xml:space="preserve">1704.03b1Organizational.12</x:t>
        </x:is>
      </x:c>
      <x:c r="S46" s="5" t="inlineStr">
        <x:is>
          <x:t xml:space="preserve">06.01.01</x:t>
        </x:is>
      </x:c>
      <x:c r="T46" s="5" t="inlineStr">
        <x:is>
          <x:t xml:space="preserve">08.02</x:t>
        </x:is>
      </x:c>
      <x:c r="U46" s="5" t="inlineStr">
        <x:is>
          <x:t xml:space="preserve">08.03</x:t>
        </x:is>
      </x:c>
      <x:c r="V46" s="5" t="inlineStr">
        <x:is>
          <x:t xml:space="preserve">REQ-17-SOC1</x:t>
        </x:is>
      </x:c>
      <x:c r="W46" s="5" t="inlineStr">
        <x:is>
          <x:t xml:space="preserve">REQ-18-SOC1</x:t>
        </x:is>
      </x:c>
      <x:c r="X46" s="5" t="inlineStr">
        <x:is>
          <x:t xml:space="preserve">REQ-19-SOC1</x:t>
        </x:is>
      </x:c>
      <x:c r="Y46" s="5" t="inlineStr">
        <x:is>
          <x:t xml:space="preserve">REQ-20-SOC1</x:t>
        </x:is>
      </x:c>
      <x:c r="Z46" s="5" t="inlineStr">
        <x:is>
          <x:t xml:space="preserve">REQ-17-HIPAA</x:t>
        </x:is>
      </x:c>
      <x:c r="AA46" s="5" t="inlineStr">
        <x:is>
          <x:t xml:space="preserve">REQ-20-HIPAA</x:t>
        </x:is>
      </x:c>
      <x:c r="AB46" s="5" t="inlineStr">
        <x:is>
          <x:t xml:space="preserve">06.01.02</x:t>
        </x:is>
      </x:c>
      <x:c r="AC46" s="5" t="inlineStr">
        <x:is>
          <x:t xml:space="preserve">06.01.03</x:t>
        </x:is>
      </x:c>
      <x:c r="AD46" s="5" t="n">
        <x:v>147</x:v>
      </x:c>
      <x:c r="AE46" s="5" t="n">
        <x:v>5</x:v>
      </x:c>
      <x:c r="AF46" s="5" t="inlineStr">
        <x:is>
          <x:t xml:space="preserve">SOC 2</x:t>
        </x:is>
      </x:c>
      <x:c r="AG46" s="5" t="inlineStr">
        <x:is>
          <x:t xml:space="preserve">HITRUST</x:t>
        </x:is>
      </x:c>
      <x:c r="AH46" s="5" t="inlineStr">
        <x:is>
          <x:t xml:space="preserve">ISO 27001/2 (2022)</x:t>
        </x:is>
      </x:c>
      <x:c r="AI46" s="5" t="inlineStr">
        <x:is>
          <x:t xml:space="preserve">SOC 1</x:t>
        </x:is>
      </x:c>
      <x:c r="AJ46" s="5" t="inlineStr">
        <x:is>
          <x:t xml:space="preserve">HIPAA Security</x:t>
        </x:is>
      </x:c>
      <x:c r="AK46" s="5" t="n"/>
      <x:c r="AL46" s="28" t="inlineStr">
        <x:is>
          <x:t xml:space="preserve">https://docs.google.com/document/d/1W5FC1d6oqcAnoxBiPHHQMdXo6_EqhnFeiMjXq4_dX9s/edit?usp=sharing</x:t>
        </x:is>
      </x:c>
      <x:c r="AM46" s="5" t="inlineStr">
        <x:is>
          <x:t xml:space="preserve">Local controls deduped from 147 exported tokens to 18 unique button tokens. Frameworks deduped from 147 exported tokens to 5 unique button tokens. Preserved "ISO 27001/2 (2022)" as a single framework token to reflect Thoropass notation that references ISO 27001 together with the related 27002 guidance set.</x:t>
        </x:is>
      </x:c>
      <x:c r="AN46" s="5" t="inlineStr">
        <x:is>
          <x:t xml:space="preserve">REQ-110-HIPAA</x:t>
        </x:is>
      </x:c>
      <x:c r="AO46" s="5" t="inlineStr">
        <x:is>
          <x:t xml:space="preserve">08.01</x:t>
        </x:is>
      </x:c>
      <x:c r="AP46" s="5" t="n"/>
      <x:c r="AQ46" s="5" t="n"/>
      <x:c r="AR46" s="5" t="n"/>
      <x:c r="AS46" s="5" t="n"/>
      <x:c r="AT46" s="5" t="n"/>
      <x:c r="AU46" s="5" t="n"/>
      <x:c r="AV46" s="5" t="n"/>
      <x:c r="AW46" s="5" t="n"/>
      <x:c r="AX46" s="5" t="n"/>
      <x:c r="AY46" s="5" t="n"/>
      <x:c r="AZ46" s="5" t="n"/>
      <x:c r="BA46" s="5" t="n"/>
      <x:c r="BB46" s="5" t="n"/>
      <x:c r="BC46" s="5" t="n"/>
      <x:c r="BD46" s="5" t="n"/>
      <x:c r="BE46" s="5" t="n"/>
      <x:c r="BF46" s="5" t="n"/>
      <x:c r="BG46" s="5" t="n"/>
      <x:c r="BH46" s="5" t="n"/>
      <x:c r="BI46" s="5" t="n"/>
      <x:c r="BJ46" s="5" t="n"/>
      <x:c r="BK46" s="5" t="n"/>
      <x:c r="BL46" s="5" t="n"/>
      <x:c r="BM46" s="5" t="n"/>
      <x:c r="BN46" s="5" t="n"/>
      <x:c r="BO46" s="5" t="n"/>
      <x:c r="BP46" s="5" t="n"/>
      <x:c r="BQ46" s="5" t="n"/>
      <x:c r="BR46" s="5" t="n"/>
      <x:c r="BS46" s="5" t="n"/>
      <x:c r="BT46" s="5" t="n"/>
      <x:c r="BU46" s="5" t="n"/>
      <x:c r="BV46" s="5" t="n"/>
      <x:c r="BW46" s="5" t="n"/>
      <x:c r="BX46" s="5" t="n"/>
      <x:c r="BY46" s="5" t="n"/>
      <x:c r="BZ46" s="5" t="n"/>
      <x:c r="CA46" s="5" t="n"/>
      <x:c r="CB46" s="5" t="n"/>
      <x:c r="CC46" s="5" t="n"/>
      <x:c r="CD46" s="5" t="n"/>
      <x:c r="CE46" s="5" t="n"/>
    </x:row>
    <x:row r="47" ht="30" customHeight="1">
      <x:c r="A47" s="5" t="inlineStr">
        <x:is>
          <x:t xml:space="preserve">ER-107</x:t>
        </x:is>
      </x:c>
      <x:c r="B47" s="5" t="inlineStr">
        <x:is>
          <x:t xml:space="preserve">Sample</x:t>
        </x:is>
      </x:c>
      <x:c r="C47" s="5" t="inlineStr">
        <x:is>
          <x:t xml:space="preserve">[Sample] Major Change Risk Assessments</x:t>
        </x:is>
      </x:c>
      <x:c r="D47" s="5" t="n"/>
      <x:c r="E47" s="5" t="inlineStr">
        <x:is>
          <x:t xml:space="preserve">1704.03b1Organizational.12,1704.03b1Organizational.12</x:t>
        </x:is>
      </x:c>
      <x:c r="F47" s="5" t="inlineStr">
        <x:is>
          <x:t xml:space="preserve">HITRUST,HITRUST</x:t>
        </x:is>
      </x:c>
      <x:c r="G47" s="5" t="n">
        <x:v>103</x:v>
      </x:c>
      <x:c r="H47" s="5" t="n">
        <x:v>0</x:v>
      </x:c>
      <x:c r="I47" s="5" t="n">
        <x:v>0</x:v>
      </x:c>
      <x:c r="J47" s="5" t="n"/>
      <x:c r="K47" s="5" t="n"/>
      <x:c r="L47" s="5" t="n">
        <x:v>2</x:v>
      </x:c>
      <x:c r="M47" s="5" t="n">
        <x:v>1</x:v>
      </x:c>
      <x:c r="N47" s="5" t="inlineStr">
        <x:is>
          <x:t xml:space="preserve">1704.03b1Organizational.12</x:t>
        </x:is>
      </x:c>
      <x:c r="O47" s="5" t="n"/>
      <x:c r="P47" s="5" t="n"/>
      <x:c r="Q47" s="5" t="n"/>
      <x:c r="R47" s="5" t="n"/>
      <x:c r="S47" s="5" t="n"/>
      <x:c r="T47" s="5" t="n"/>
      <x:c r="U47" s="5" t="n"/>
      <x:c r="V47" s="5" t="n"/>
      <x:c r="W47" s="5" t="n"/>
      <x:c r="X47" s="5" t="n"/>
      <x:c r="Y47" s="5" t="n"/>
      <x:c r="Z47" s="5" t="n"/>
      <x:c r="AA47" s="5" t="n"/>
      <x:c r="AB47" s="5" t="n"/>
      <x:c r="AC47" s="5" t="n"/>
      <x:c r="AD47" s="5" t="n">
        <x:v>2</x:v>
      </x:c>
      <x:c r="AE47" s="5" t="n">
        <x:v>1</x:v>
      </x:c>
      <x:c r="AF47" s="5" t="inlineStr">
        <x:is>
          <x:t xml:space="preserve">HITRUST</x:t>
        </x:is>
      </x:c>
      <x:c r="AG47" s="5" t="n"/>
      <x:c r="AH47" s="5" t="n"/>
      <x:c r="AI47" s="5" t="n"/>
      <x:c r="AJ47" s="5" t="n"/>
      <x:c r="AK47" s="5" t="n"/>
      <x:c r="AL47" s="28" t="inlineStr">
        <x:is>
          <x:t xml:space="preserve">https://docs.google.com/document/d/1W5FC1d6oqcAnoxBiPHHQMdXo6_EqhnFeiMjXq4_dX9s/edit?usp=sharing</x:t>
        </x:is>
      </x:c>
      <x:c r="AM47" s="5" t="inlineStr">
        <x:is>
          <x:t xml:space="preserve">Local controls deduped from 2 exported tokens to 1 unique button tokens. Frameworks deduped from 2 exported tokens to 1 unique button tokens.</x:t>
        </x:is>
      </x:c>
      <x:c r="AN47" s="5" t="n"/>
      <x:c r="AO47" s="5" t="n"/>
      <x:c r="AP47" s="5" t="n"/>
      <x:c r="AQ47" s="5" t="n"/>
      <x:c r="AR47" s="5" t="n"/>
      <x:c r="AS47" s="5" t="n"/>
      <x:c r="AT47" s="5" t="n"/>
      <x:c r="AU47" s="5" t="n"/>
      <x:c r="AV47" s="5" t="n"/>
      <x:c r="AW47" s="5" t="n"/>
      <x:c r="AX47" s="5" t="n"/>
      <x:c r="AY47" s="5" t="n"/>
      <x:c r="AZ47" s="5" t="n"/>
      <x:c r="BA47" s="5" t="n"/>
      <x:c r="BB47" s="5" t="n"/>
      <x:c r="BC47" s="5" t="n"/>
      <x:c r="BD47" s="5" t="n"/>
      <x:c r="BE47" s="5" t="n"/>
      <x:c r="BF47" s="5" t="n"/>
      <x:c r="BG47" s="5" t="n"/>
      <x:c r="BH47" s="5" t="n"/>
      <x:c r="BI47" s="5" t="n"/>
      <x:c r="BJ47" s="5" t="n"/>
      <x:c r="BK47" s="5" t="n"/>
      <x:c r="BL47" s="5" t="n"/>
      <x:c r="BM47" s="5" t="n"/>
      <x:c r="BN47" s="5" t="n"/>
      <x:c r="BO47" s="5" t="n"/>
      <x:c r="BP47" s="5" t="n"/>
      <x:c r="BQ47" s="5" t="n"/>
      <x:c r="BR47" s="5" t="n"/>
      <x:c r="BS47" s="5" t="n"/>
      <x:c r="BT47" s="5" t="n"/>
      <x:c r="BU47" s="5" t="n"/>
      <x:c r="BV47" s="5" t="n"/>
      <x:c r="BW47" s="5" t="n"/>
      <x:c r="BX47" s="5" t="n"/>
      <x:c r="BY47" s="5" t="n"/>
      <x:c r="BZ47" s="5" t="n"/>
      <x:c r="CA47" s="5" t="n"/>
      <x:c r="CB47" s="5" t="n"/>
      <x:c r="CC47" s="5" t="n"/>
      <x:c r="CD47" s="5" t="n"/>
      <x:c r="CE47" s="5" t="n"/>
    </x:row>
    <x:row r="48" ht="30" customHeight="1">
      <x:c r="A48" s="5" t="inlineStr">
        <x:is>
          <x:t xml:space="preserve">ER-108</x:t>
        </x:is>
      </x:c>
      <x:c r="B48" s="5" t="inlineStr">
        <x:is>
          <x:t xml:space="preserve">Policy</x:t>
        </x:is>
      </x:c>
      <x:c r="C48" s="5" t="inlineStr">
        <x:is>
          <x:t xml:space="preserve">[Policy] Data Classification, Retention and Disposal</x:t>
        </x:is>
      </x:c>
      <x:c r="D48" s="5" t="inlineStr">
        <x:is>
          <x:t xml:space="preserve">Security,PCI DSS v4.0 - SAQ-A,PCI DSS v4.0 - ROC - Merchant</x:t>
        </x:is>
      </x:c>
      <x:c r="E48" s="5" t="inlineStr">
        <x:is>
          <x:t xml:space="preserve">REQ-32,REQ-65,REQ-67,1239.09aa1System.4,1616.09l1Organizational.16,A.05.09,A.05.11,A.05.12,A.05.13,A.05.14,A.07.09,A.07.10a,A.08.10,REQ-32-HIPAA,REQ-67-HIPAA,REQ-66,REQ-66-HIPAA,A.05.15,A.05.18a,A.08.02,A.08.03,A.08.20,A.08.21,A.08.22,1767.07d1Organizational.2,0305.09q1Organizational.12,19142.06c1Organizational.8,A.07.14,A.05.10,A.05.33,9.4.2,9.4.6,3.1.1,3.2.1,3.3.1,3.3.1.1,3.4.1,REQ-66,A.05.15,A.05.18a,A.08.02,A.08.03,A.08.20,A.08.21,A.08.22,REQ-66-HIPAA,1767.07d1Organizational.2,0305.09q1Organizational.12,19142.06c1Organizational.8,9.4.2,9.4.6,3.1.1,3.2.1,3.3.1,3.4.1,0305.09q1Organizational.12,19142.06c1Organizational.8,3.1.1,3.2.1,REQ-66,A.05.15,A.05.18a,A.08.03,A.08.20,A.08.21,A.08.22,REQ-66-HIPAA,3.1.1,3.2.1,1767.07d1Organizational.2,19142.06c1Organizational.8,9.4.2,3.1.1,3.2.1,REQ-66,A.05.15,A.05.18a,A.08.02,A.08.03,A.08.20,A.08.21,A.08.22,REQ-66-HIPAA,19142.06c1Organizational.8,3.1.1,3.2.1,1767.07d1Organizational.2,19142.06c1Organizational.8,3.1.1,3.2.1,19142.06c1Organizational.8,9.4.6,3.1.1,3.2.1,19142.06c1Organizational.8,3.1.1,3.2.1,19142.06c1Organizational.8,3.1.1,3.2.1,19142.06c1Organizational.8,19142.06c1Organizational.8,19142.06c1Organizational.8,3.1.1,3.2.1,3.3.1,9.4.6,3.4.1</x:t>
        </x:is>
      </x:c>
      <x:c r="F48" s="5" t="inlineStr">
        <x:is>
          <x:t xml:space="preserve">SOC 2,SOC 2,SOC 2,HITRUST,HITRUST,ISO 27001/2 (2022),ISO 27001/2 (2022),ISO 27001/2 (2022),ISO 27001/2 (2022),ISO 27001/2 (2022),ISO 27001/2 (2022),ISO 27001/2 (2022),ISO 27001/2 (2022),HIPAA Security,HIPAA Security,SOC 2,HIPAA Security,ISO 27001/2 (2022),ISO 27001/2 (2022),ISO 27001/2 (2022),ISO 27001/2 (2022),ISO 27001/2 (2022),ISO 27001/2 (2022),ISO 27001/2 (2022),HITRUST,HITRUST,HITRUST,ISO 27001/2 (2022),ISO 27001/2 (2022),ISO 27001/2 (2022),PCI DSS v4.0,PCI DSS v4.0,PCI DSS v4.0,PCI DSS v4.0,PCI DSS v4.0,PCI DSS v4.0,PCI DSS v4.0,SOC 2,ISO 27001/2 (2022),ISO 27001/2 (2022),ISO 27001/2 (2022),ISO 27001/2 (2022),ISO 27001/2 (2022),ISO 27001/2 (2022),ISO 27001/2 (2022),HIPAA Security,HITRUST,HITRUST,HITRUST,PCI DSS v4.0,PCI DSS v4.0,PCI DSS v4.0,PCI DSS v4.0,PCI DSS v4.0,PCI DSS v4.0,HITRUST,HITRUST,PCI DSS v4.0,PCI DSS v4.0,SOC 2,ISO 27001/2 (2022),ISO 27001/2 (2022),ISO 27001/2 (2022),ISO 27001/2 (2022),ISO 27001/2 (2022),ISO 27001/2 (2022),HIPAA Security,PCI DSS v4.0,PCI DSS v4.0,HITRUST,HITRUST,PCI DSS v4.0,PCI DSS v4.0,PCI DSS v4.0,SOC 2,ISO 27001/2 (2022),ISO 27001/2 (2022),ISO 27001/2 (2022),ISO 27001/2 (2022),ISO 27001/2 (2022),ISO 27001/2 (2022),ISO 27001/2 (2022),HIPAA Security,HITRUST,PCI DSS v4.0,PCI DSS v4.0,HITRUST,HITRUST,PCI DSS v4.0,PCI DSS v4.0,HITRUST,PCI DSS v4.0,PCI DSS v4.0,PCI DSS v4.0,HITRUST,PCI DSS v4.0,PCI DSS v4.0,HITRUST,PCI DSS v4.0,PCI DSS v4.0,HITRUST,HITRUST,HITRUST,PCI DSS v4.0,PCI DSS v4.0,PCI DSS v4.0,PCI DSS v4.0,PCI DSS v4.0</x:t>
        </x:is>
      </x:c>
      <x:c r="G48" s="5" t="n">
        <x:v>104</x:v>
      </x:c>
      <x:c r="H48" s="5" t="n">
        <x:v>3</x:v>
      </x:c>
      <x:c r="I48" s="5" t="n">
        <x:v>3</x:v>
      </x:c>
      <x:c r="J48" s="5" t="inlineStr">
        <x:is>
          <x:t xml:space="preserve">Security</x:t>
        </x:is>
      </x:c>
      <x:c r="K48" s="5" t="inlineStr">
        <x:is>
          <x:t xml:space="preserve">PCI DSS v4.0 - SAQ-A</x:t>
        </x:is>
      </x:c>
      <x:c r="L48" s="5" t="n">
        <x:v>108</x:v>
      </x:c>
      <x:c r="M48" s="5" t="n">
        <x:v>37</x:v>
      </x:c>
      <x:c r="N48" s="5" t="inlineStr">
        <x:is>
          <x:t xml:space="preserve">REQ-32</x:t>
        </x:is>
      </x:c>
      <x:c r="O48" s="5" t="inlineStr">
        <x:is>
          <x:t xml:space="preserve">REQ-65</x:t>
        </x:is>
      </x:c>
      <x:c r="P48" s="5" t="inlineStr">
        <x:is>
          <x:t xml:space="preserve">REQ-67</x:t>
        </x:is>
      </x:c>
      <x:c r="Q48" s="5" t="inlineStr">
        <x:is>
          <x:t xml:space="preserve">1239.09aa1System.4</x:t>
        </x:is>
      </x:c>
      <x:c r="R48" s="5" t="inlineStr">
        <x:is>
          <x:t xml:space="preserve">1616.09l1Organizational.16</x:t>
        </x:is>
      </x:c>
      <x:c r="S48" s="5" t="inlineStr">
        <x:is>
          <x:t xml:space="preserve">A.05.09</x:t>
        </x:is>
      </x:c>
      <x:c r="T48" s="5" t="inlineStr">
        <x:is>
          <x:t xml:space="preserve">A.05.11</x:t>
        </x:is>
      </x:c>
      <x:c r="U48" s="5" t="inlineStr">
        <x:is>
          <x:t xml:space="preserve">A.05.12</x:t>
        </x:is>
      </x:c>
      <x:c r="V48" s="5" t="inlineStr">
        <x:is>
          <x:t xml:space="preserve">A.05.13</x:t>
        </x:is>
      </x:c>
      <x:c r="W48" s="5" t="inlineStr">
        <x:is>
          <x:t xml:space="preserve">A.05.14</x:t>
        </x:is>
      </x:c>
      <x:c r="X48" s="5" t="inlineStr">
        <x:is>
          <x:t xml:space="preserve">A.07.09</x:t>
        </x:is>
      </x:c>
      <x:c r="Y48" s="5" t="inlineStr">
        <x:is>
          <x:t xml:space="preserve">A.07.10a</x:t>
        </x:is>
      </x:c>
      <x:c r="Z48" s="5" t="inlineStr">
        <x:is>
          <x:t xml:space="preserve">A.08.10</x:t>
        </x:is>
      </x:c>
      <x:c r="AA48" s="5" t="inlineStr">
        <x:is>
          <x:t xml:space="preserve">REQ-32-HIPAA</x:t>
        </x:is>
      </x:c>
      <x:c r="AB48" s="5" t="inlineStr">
        <x:is>
          <x:t xml:space="preserve">REQ-67-HIPAA</x:t>
        </x:is>
      </x:c>
      <x:c r="AC48" s="5" t="inlineStr">
        <x:is>
          <x:t xml:space="preserve">REQ-66</x:t>
        </x:is>
      </x:c>
      <x:c r="AD48" s="5" t="n">
        <x:v>108</x:v>
      </x:c>
      <x:c r="AE48" s="5" t="n">
        <x:v>5</x:v>
      </x:c>
      <x:c r="AF48" s="5" t="inlineStr">
        <x:is>
          <x:t xml:space="preserve">SOC 2</x:t>
        </x:is>
      </x:c>
      <x:c r="AG48" s="5" t="inlineStr">
        <x:is>
          <x:t xml:space="preserve">HITRUST</x:t>
        </x:is>
      </x:c>
      <x:c r="AH48" s="5" t="inlineStr">
        <x:is>
          <x:t xml:space="preserve">ISO 27001/2 (2022)</x:t>
        </x:is>
      </x:c>
      <x:c r="AI48" s="5" t="inlineStr">
        <x:is>
          <x:t xml:space="preserve">HIPAA Security</x:t>
        </x:is>
      </x:c>
      <x:c r="AJ48" s="5" t="inlineStr">
        <x:is>
          <x:t xml:space="preserve">PCI DSS v4.0</x:t>
        </x:is>
      </x:c>
      <x:c r="AK48" s="5" t="n"/>
      <x:c r="AL48" s="28" t="inlineStr">
        <x:is>
          <x:t xml:space="preserve">https://docs.google.com/document/d/1W5FC1d6oqcAnoxBiPHHQMdXo6_EqhnFeiMjXq4_dX9s/edit?usp=sharing</x:t>
        </x:is>
      </x:c>
      <x:c r="AM48" s="5" t="inlineStr">
        <x:is>
          <x:t xml:space="preserve">Local controls deduped from 108 exported tokens to 37 unique button tokens. Frameworks deduped from 108 exported tokens to 5 unique button tokens. Preserved "ISO 27001/2 (2022)" as a single framework token to reflect Thoropass notation that references ISO 27001 together with the related 27002 guidance set.</x:t>
        </x:is>
      </x:c>
      <x:c r="AN48" s="5" t="inlineStr">
        <x:is>
          <x:t xml:space="preserve">REQ-66-HIPAA</x:t>
        </x:is>
      </x:c>
      <x:c r="AO48" s="5" t="inlineStr">
        <x:is>
          <x:t xml:space="preserve">A.05.15</x:t>
        </x:is>
      </x:c>
      <x:c r="AP48" s="5" t="inlineStr">
        <x:is>
          <x:t xml:space="preserve">A.05.18a</x:t>
        </x:is>
      </x:c>
      <x:c r="AQ48" s="5" t="inlineStr">
        <x:is>
          <x:t xml:space="preserve">A.08.02</x:t>
        </x:is>
      </x:c>
      <x:c r="AR48" s="5" t="inlineStr">
        <x:is>
          <x:t xml:space="preserve">A.08.03</x:t>
        </x:is>
      </x:c>
      <x:c r="AS48" s="5" t="inlineStr">
        <x:is>
          <x:t xml:space="preserve">A.08.20</x:t>
        </x:is>
      </x:c>
      <x:c r="AT48" s="5" t="inlineStr">
        <x:is>
          <x:t xml:space="preserve">A.08.21</x:t>
        </x:is>
      </x:c>
      <x:c r="AU48" s="5" t="inlineStr">
        <x:is>
          <x:t xml:space="preserve">A.08.22</x:t>
        </x:is>
      </x:c>
      <x:c r="AV48" s="5" t="inlineStr">
        <x:is>
          <x:t xml:space="preserve">1767.07d1Organizational.2</x:t>
        </x:is>
      </x:c>
      <x:c r="AW48" s="5" t="inlineStr">
        <x:is>
          <x:t xml:space="preserve">PCI DSS v4.0 - ROC - Merchant</x:t>
        </x:is>
      </x:c>
      <x:c r="AX48" s="5" t="inlineStr">
        <x:is>
          <x:t xml:space="preserve">0305.09q1Organizational.12</x:t>
        </x:is>
      </x:c>
      <x:c r="AY48" s="5" t="inlineStr">
        <x:is>
          <x:t xml:space="preserve">19142.06c1Organizational.8</x:t>
        </x:is>
      </x:c>
      <x:c r="AZ48" s="5" t="inlineStr">
        <x:is>
          <x:t xml:space="preserve">A.07.14</x:t>
        </x:is>
      </x:c>
      <x:c r="BA48" s="5" t="inlineStr">
        <x:is>
          <x:t xml:space="preserve">A.05.10</x:t>
        </x:is>
      </x:c>
      <x:c r="BB48" s="5" t="inlineStr">
        <x:is>
          <x:t xml:space="preserve">A.05.33</x:t>
        </x:is>
      </x:c>
      <x:c r="BC48" s="5" t="inlineStr">
        <x:is>
          <x:t xml:space="preserve">9.4.2</x:t>
        </x:is>
      </x:c>
      <x:c r="BD48" s="5" t="inlineStr">
        <x:is>
          <x:t xml:space="preserve">9.4.6</x:t>
        </x:is>
      </x:c>
      <x:c r="BE48" s="5" t="inlineStr">
        <x:is>
          <x:t xml:space="preserve">3.1.1</x:t>
        </x:is>
      </x:c>
      <x:c r="BF48" s="5" t="inlineStr">
        <x:is>
          <x:t xml:space="preserve">3.2.1</x:t>
        </x:is>
      </x:c>
      <x:c r="BG48" s="5" t="inlineStr">
        <x:is>
          <x:t xml:space="preserve">3.3.1</x:t>
        </x:is>
      </x:c>
      <x:c r="BH48" s="5" t="inlineStr">
        <x:is>
          <x:t xml:space="preserve">3.3.1.1</x:t>
        </x:is>
      </x:c>
      <x:c r="BI48" s="5" t="inlineStr">
        <x:is>
          <x:t xml:space="preserve">3.4.1</x:t>
        </x:is>
      </x:c>
      <x:c r="BJ48" s="5" t="n"/>
      <x:c r="BK48" s="5" t="n"/>
      <x:c r="BL48" s="5" t="n"/>
      <x:c r="BM48" s="5" t="n"/>
      <x:c r="BN48" s="5" t="n"/>
      <x:c r="BO48" s="5" t="n"/>
      <x:c r="BP48" s="5" t="n"/>
      <x:c r="BQ48" s="5" t="n"/>
      <x:c r="BR48" s="5" t="n"/>
      <x:c r="BS48" s="5" t="n"/>
      <x:c r="BT48" s="5" t="n"/>
      <x:c r="BU48" s="5" t="n"/>
      <x:c r="BV48" s="5" t="n"/>
      <x:c r="BW48" s="5" t="n"/>
      <x:c r="BX48" s="5" t="n"/>
      <x:c r="BY48" s="5" t="n"/>
      <x:c r="BZ48" s="5" t="n"/>
      <x:c r="CA48" s="5" t="n"/>
      <x:c r="CB48" s="5" t="n"/>
      <x:c r="CC48" s="5" t="n"/>
      <x:c r="CD48" s="5" t="n"/>
      <x:c r="CE48" s="5" t="n"/>
    </x:row>
    <x:row r="49" ht="30" customHeight="1">
      <x:c r="A49" s="5" t="inlineStr">
        <x:is>
          <x:t xml:space="preserve">ER-112</x:t>
        </x:is>
      </x:c>
      <x:c r="B49" s="5" t="inlineStr">
        <x:is>
          <x:t xml:space="preserve">Policy</x:t>
        </x:is>
      </x:c>
      <x:c r="C49" s="5" t="inlineStr">
        <x:is>
          <x:t xml:space="preserve">[Policy] Audit Log Retention</x:t>
        </x:is>
      </x:c>
      <x:c r="D49" s="5" t="n"/>
      <x:c r="E49" s="5" t="inlineStr">
        <x:is>
          <x:t xml:space="preserve">1239.09aa1System.4,1239.09aa1System.4,1239.09aa1System.4</x:t>
        </x:is>
      </x:c>
      <x:c r="F49" s="5" t="inlineStr">
        <x:is>
          <x:t xml:space="preserve">HITRUST,HITRUST,HITRUST</x:t>
        </x:is>
      </x:c>
      <x:c r="G49" s="5" t="n">
        <x:v>107</x:v>
      </x:c>
      <x:c r="H49" s="5" t="n">
        <x:v>0</x:v>
      </x:c>
      <x:c r="I49" s="5" t="n">
        <x:v>0</x:v>
      </x:c>
      <x:c r="J49" s="5" t="n"/>
      <x:c r="K49" s="5" t="n"/>
      <x:c r="L49" s="5" t="n">
        <x:v>3</x:v>
      </x:c>
      <x:c r="M49" s="5" t="n">
        <x:v>1</x:v>
      </x:c>
      <x:c r="N49" s="5" t="inlineStr">
        <x:is>
          <x:t xml:space="preserve">1239.09aa1System.4</x:t>
        </x:is>
      </x:c>
      <x:c r="O49" s="5" t="n"/>
      <x:c r="P49" s="5" t="n"/>
      <x:c r="Q49" s="5" t="n"/>
      <x:c r="R49" s="5" t="n"/>
      <x:c r="S49" s="5" t="n"/>
      <x:c r="T49" s="5" t="n"/>
      <x:c r="U49" s="5" t="n"/>
      <x:c r="V49" s="5" t="n"/>
      <x:c r="W49" s="5" t="n"/>
      <x:c r="X49" s="5" t="n"/>
      <x:c r="Y49" s="5" t="n"/>
      <x:c r="Z49" s="5" t="n"/>
      <x:c r="AA49" s="5" t="n"/>
      <x:c r="AB49" s="5" t="n"/>
      <x:c r="AC49" s="5" t="n"/>
      <x:c r="AD49" s="5" t="n">
        <x:v>3</x:v>
      </x:c>
      <x:c r="AE49" s="5" t="n">
        <x:v>1</x:v>
      </x:c>
      <x:c r="AF49" s="5" t="inlineStr">
        <x:is>
          <x:t xml:space="preserve">HITRUST</x:t>
        </x:is>
      </x:c>
      <x:c r="AG49" s="5" t="n"/>
      <x:c r="AH49" s="5" t="n"/>
      <x:c r="AI49" s="5" t="n"/>
      <x:c r="AJ49" s="5" t="n"/>
      <x:c r="AK49" s="5" t="n"/>
      <x:c r="AL49" s="28" t="inlineStr">
        <x:is>
          <x:t xml:space="preserve">https://docs.google.com/document/d/1W5FC1d6oqcAnoxBiPHHQMdXo6_EqhnFeiMjXq4_dX9s/edit?usp=sharing</x:t>
        </x:is>
      </x:c>
      <x:c r="AM49" s="5" t="inlineStr">
        <x:is>
          <x:t xml:space="preserve">Local controls deduped from 3 exported tokens to 1 unique button tokens. Frameworks deduped from 3 exported tokens to 1 unique button tokens.</x:t>
        </x:is>
      </x:c>
      <x:c r="AN49" s="5" t="n"/>
      <x:c r="AO49" s="5" t="n"/>
      <x:c r="AP49" s="5" t="n"/>
      <x:c r="AQ49" s="5" t="n"/>
      <x:c r="AR49" s="5" t="n"/>
      <x:c r="AS49" s="5" t="n"/>
      <x:c r="AT49" s="5" t="n"/>
      <x:c r="AU49" s="5" t="n"/>
      <x:c r="AV49" s="5" t="n"/>
      <x:c r="AW49" s="5" t="n"/>
      <x:c r="AX49" s="5" t="n"/>
      <x:c r="AY49" s="5" t="n"/>
      <x:c r="AZ49" s="5" t="n"/>
      <x:c r="BA49" s="5" t="n"/>
      <x:c r="BB49" s="5" t="n"/>
      <x:c r="BC49" s="5" t="n"/>
      <x:c r="BD49" s="5" t="n"/>
      <x:c r="BE49" s="5" t="n"/>
      <x:c r="BF49" s="5" t="n"/>
      <x:c r="BG49" s="5" t="n"/>
      <x:c r="BH49" s="5" t="n"/>
      <x:c r="BI49" s="5" t="n"/>
      <x:c r="BJ49" s="5" t="n"/>
      <x:c r="BK49" s="5" t="n"/>
      <x:c r="BL49" s="5" t="n"/>
      <x:c r="BM49" s="5" t="n"/>
      <x:c r="BN49" s="5" t="n"/>
      <x:c r="BO49" s="5" t="n"/>
      <x:c r="BP49" s="5" t="n"/>
      <x:c r="BQ49" s="5" t="n"/>
      <x:c r="BR49" s="5" t="n"/>
      <x:c r="BS49" s="5" t="n"/>
      <x:c r="BT49" s="5" t="n"/>
      <x:c r="BU49" s="5" t="n"/>
      <x:c r="BV49" s="5" t="n"/>
      <x:c r="BW49" s="5" t="n"/>
      <x:c r="BX49" s="5" t="n"/>
      <x:c r="BY49" s="5" t="n"/>
      <x:c r="BZ49" s="5" t="n"/>
      <x:c r="CA49" s="5" t="n"/>
      <x:c r="CB49" s="5" t="n"/>
      <x:c r="CC49" s="5" t="n"/>
      <x:c r="CD49" s="5" t="n"/>
      <x:c r="CE49" s="5" t="n"/>
    </x:row>
    <x:row r="50" ht="30" customHeight="1">
      <x:c r="A50" s="5" t="inlineStr">
        <x:is>
          <x:t xml:space="preserve">ER-114</x:t>
        </x:is>
      </x:c>
      <x:c r="B50" s="5" t="inlineStr">
        <x:is>
          <x:t xml:space="preserve">Configuration</x:t>
        </x:is>
      </x:c>
      <x:c r="C50" s="5" t="inlineStr">
        <x:is>
          <x:t xml:space="preserve">[Configuration] Backups and Schedules</x:t>
        </x:is>
      </x:c>
      <x:c r="D50" s="5" t="inlineStr">
        <x:is>
          <x:t xml:space="preserve">Availability</x:t>
        </x:is>
      </x:c>
      <x:c r="E50" s="5" t="inlineStr">
        <x:is>
          <x:t xml:space="preserve">REQ-62,REQ-63,1616.09l1Organizational.16,A.05.29,A.05.30a,A.08.13a,A.08.14,16.09l1Organizational.4,1618.09l1Organizational.45,REQ-62-SOC1,REQ-63-SOC1,REQ-62-HIPAA,REQ-63-HIPAA,REQ-62,REQ-63,1616.09l1Organizational.16,A.05.29,A.05.30a,A.08.13a,A.08.14,16.09l1Organizational.4,1618.09l1Organizational.45,REQ-62-SOC1,REQ-63-SOC1,REQ-62-HIPAA,REQ-63-HIPAA,REQ-62,REQ-63,1616.09l1Organizational.16,A.05.29,A.05.30a,A.08.13a,A.08.14,REQ-62-SOC1,REQ-63-SOC1,REQ-62-HIPAA,REQ-63-HIPAA,REQ-62,REQ-63,1616.09l1Organizational.16,A.05.29,A.05.30a,A.08.13a,A.08.14,REQ-62-SOC1,REQ-63-SOC1,REQ-62-HIPAA,REQ-63-HIPAA,REQ-62,REQ-63,1616.09l1Organizational.16,A.05.29,A.05.30a,A.08.13a,A.08.14,REQ-62-SOC1,REQ-63-SOC1,REQ-62-HIPAA,REQ-63-HIPAA,REQ-62,REQ-63,1616.09l1Organizational.16,A.05.29,A.05.30a,A.08.13a,A.08.14,REQ-62-SOC1,REQ-63-SOC1,REQ-62-HIPAA,REQ-63-HIPAA,16.09l1Organizational.4,1618.09l1Organizational.45,1618.09l1Organizational.45,16.09l1Organizational.4,1618.09l1Organizational.45</x:t>
        </x:is>
      </x:c>
      <x:c r="F50" s="5" t="inlineStr">
        <x:is>
          <x:t xml:space="preserve">SOC 2,SOC 2,HITRUST,ISO 27001/2 (2022),ISO 27001/2 (2022),ISO 27001/2 (2022),ISO 27001/2 (2022),HITRUST,HITRUST,SOC 1,SOC 1,HIPAA Security,HIPAA Security,SOC 2,SOC 2,HITRUST,ISO 27001/2 (2022),ISO 27001/2 (2022),ISO 27001/2 (2022),ISO 27001/2 (2022),HITRUST,HITRUST,SOC 1,SOC 1,HIPAA Security,HIPAA Security,SOC 2,SOC 2,HITRUST,ISO 27001/2 (2022),ISO 27001/2 (2022),ISO 27001/2 (2022),ISO 27001/2 (2022),SOC 1,SOC 1,HIPAA Security,HIPAA Security,SOC 2,SOC 2,HITRUST,ISO 27001/2 (2022),ISO 27001/2 (2022),ISO 27001/2 (2022),ISO 27001/2 (2022),SOC 1,SOC 1,HIPAA Security,HIPAA Security,SOC 2,SOC 2,HITRUST,ISO 27001/2 (2022),ISO 27001/2 (2022),ISO 27001/2 (2022),ISO 27001/2 (2022),SOC 1,SOC 1,HIPAA Security,HIPAA Security,SOC 2,SOC 2,HITRUST,ISO 27001/2 (2022),ISO 27001/2 (2022),ISO 27001/2 (2022),ISO 27001/2 (2022),SOC 1,SOC 1,HIPAA Security,HIPAA Security,HITRUST,HITRUST,HITRUST,HITRUST,HITRUST</x:t>
        </x:is>
      </x:c>
      <x:c r="G50" s="5" t="n">
        <x:v>109</x:v>
      </x:c>
      <x:c r="H50" s="5" t="n">
        <x:v>1</x:v>
      </x:c>
      <x:c r="I50" s="5" t="n">
        <x:v>1</x:v>
      </x:c>
      <x:c r="J50" s="5" t="inlineStr">
        <x:is>
          <x:t xml:space="preserve">Availability</x:t>
        </x:is>
      </x:c>
      <x:c r="K50" s="5" t="n"/>
      <x:c r="L50" s="5" t="n">
        <x:v>75</x:v>
      </x:c>
      <x:c r="M50" s="5" t="n">
        <x:v>13</x:v>
      </x:c>
      <x:c r="N50" s="5" t="inlineStr">
        <x:is>
          <x:t xml:space="preserve">REQ-62</x:t>
        </x:is>
      </x:c>
      <x:c r="O50" s="5" t="inlineStr">
        <x:is>
          <x:t xml:space="preserve">REQ-63</x:t>
        </x:is>
      </x:c>
      <x:c r="P50" s="5" t="inlineStr">
        <x:is>
          <x:t xml:space="preserve">1616.09l1Organizational.16</x:t>
        </x:is>
      </x:c>
      <x:c r="Q50" s="5" t="inlineStr">
        <x:is>
          <x:t xml:space="preserve">A.05.29</x:t>
        </x:is>
      </x:c>
      <x:c r="R50" s="5" t="inlineStr">
        <x:is>
          <x:t xml:space="preserve">A.05.30a</x:t>
        </x:is>
      </x:c>
      <x:c r="S50" s="5" t="inlineStr">
        <x:is>
          <x:t xml:space="preserve">A.08.13a</x:t>
        </x:is>
      </x:c>
      <x:c r="T50" s="5" t="inlineStr">
        <x:is>
          <x:t xml:space="preserve">A.08.14</x:t>
        </x:is>
      </x:c>
      <x:c r="U50" s="5" t="inlineStr">
        <x:is>
          <x:t xml:space="preserve">16.09l1Organizational.4</x:t>
        </x:is>
      </x:c>
      <x:c r="V50" s="5" t="inlineStr">
        <x:is>
          <x:t xml:space="preserve">1618.09l1Organizational.45</x:t>
        </x:is>
      </x:c>
      <x:c r="W50" s="5" t="inlineStr">
        <x:is>
          <x:t xml:space="preserve">REQ-62-SOC1</x:t>
        </x:is>
      </x:c>
      <x:c r="X50" s="5" t="inlineStr">
        <x:is>
          <x:t xml:space="preserve">REQ-63-SOC1</x:t>
        </x:is>
      </x:c>
      <x:c r="Y50" s="5" t="inlineStr">
        <x:is>
          <x:t xml:space="preserve">REQ-62-HIPAA</x:t>
        </x:is>
      </x:c>
      <x:c r="Z50" s="5" t="inlineStr">
        <x:is>
          <x:t xml:space="preserve">REQ-63-HIPAA</x:t>
        </x:is>
      </x:c>
      <x:c r="AA50" s="5" t="n"/>
      <x:c r="AB50" s="5" t="n"/>
      <x:c r="AC50" s="5" t="n"/>
      <x:c r="AD50" s="5" t="n">
        <x:v>75</x:v>
      </x:c>
      <x:c r="AE50" s="5" t="n">
        <x:v>5</x:v>
      </x:c>
      <x:c r="AF50" s="5" t="inlineStr">
        <x:is>
          <x:t xml:space="preserve">SOC 2</x:t>
        </x:is>
      </x:c>
      <x:c r="AG50" s="5" t="inlineStr">
        <x:is>
          <x:t xml:space="preserve">HITRUST</x:t>
        </x:is>
      </x:c>
      <x:c r="AH50" s="5" t="inlineStr">
        <x:is>
          <x:t xml:space="preserve">ISO 27001/2 (2022)</x:t>
        </x:is>
      </x:c>
      <x:c r="AI50" s="5" t="inlineStr">
        <x:is>
          <x:t xml:space="preserve">SOC 1</x:t>
        </x:is>
      </x:c>
      <x:c r="AJ50" s="5" t="inlineStr">
        <x:is>
          <x:t xml:space="preserve">HIPAA Security</x:t>
        </x:is>
      </x:c>
      <x:c r="AK50" s="5" t="n"/>
      <x:c r="AL50" s="28" t="inlineStr">
        <x:is>
          <x:t xml:space="preserve">https://docs.google.com/document/d/1W5FC1d6oqcAnoxBiPHHQMdXo6_EqhnFeiMjXq4_dX9s/edit?usp=sharing</x:t>
        </x:is>
      </x:c>
      <x:c r="AM50" s="5" t="inlineStr">
        <x:is>
          <x:t xml:space="preserve">Local controls deduped from 75 exported tokens to 13 unique button tokens. Frameworks deduped from 75 exported tokens to 5 unique button tokens. Preserved "ISO 27001/2 (2022)" as a single framework token to reflect Thoropass notation that references ISO 27001 together with the related 27002 guidance set.</x:t>
        </x:is>
      </x:c>
      <x:c r="AN50" s="5" t="n"/>
      <x:c r="AO50" s="5" t="n"/>
      <x:c r="AP50" s="5" t="n"/>
      <x:c r="AQ50" s="5" t="n"/>
      <x:c r="AR50" s="5" t="n"/>
      <x:c r="AS50" s="5" t="n"/>
      <x:c r="AT50" s="5" t="n"/>
      <x:c r="AU50" s="5" t="n"/>
      <x:c r="AV50" s="5" t="n"/>
      <x:c r="AW50" s="5" t="n"/>
      <x:c r="AX50" s="5" t="n"/>
      <x:c r="AY50" s="5" t="n"/>
      <x:c r="AZ50" s="5" t="n"/>
      <x:c r="BA50" s="5" t="n"/>
      <x:c r="BB50" s="5" t="n"/>
      <x:c r="BC50" s="5" t="n"/>
      <x:c r="BD50" s="5" t="n"/>
      <x:c r="BE50" s="5" t="n"/>
      <x:c r="BF50" s="5" t="n"/>
      <x:c r="BG50" s="5" t="n"/>
      <x:c r="BH50" s="5" t="n"/>
      <x:c r="BI50" s="5" t="n"/>
      <x:c r="BJ50" s="5" t="n"/>
      <x:c r="BK50" s="5" t="n"/>
      <x:c r="BL50" s="5" t="n"/>
      <x:c r="BM50" s="5" t="n"/>
      <x:c r="BN50" s="5" t="n"/>
      <x:c r="BO50" s="5" t="n"/>
      <x:c r="BP50" s="5" t="n"/>
      <x:c r="BQ50" s="5" t="n"/>
      <x:c r="BR50" s="5" t="n"/>
      <x:c r="BS50" s="5" t="n"/>
      <x:c r="BT50" s="5" t="n"/>
      <x:c r="BU50" s="5" t="n"/>
      <x:c r="BV50" s="5" t="n"/>
      <x:c r="BW50" s="5" t="n"/>
      <x:c r="BX50" s="5" t="n"/>
      <x:c r="BY50" s="5" t="n"/>
      <x:c r="BZ50" s="5" t="n"/>
      <x:c r="CA50" s="5" t="n"/>
      <x:c r="CB50" s="5" t="n"/>
      <x:c r="CC50" s="5" t="n"/>
      <x:c r="CD50" s="5" t="n"/>
      <x:c r="CE50" s="5" t="n"/>
    </x:row>
    <x:row r="51" ht="30" customHeight="1">
      <x:c r="A51" s="5" t="inlineStr">
        <x:is>
          <x:t xml:space="preserve">ER-115</x:t>
        </x:is>
      </x:c>
      <x:c r="B51" s="5" t="inlineStr">
        <x:is>
          <x:t xml:space="preserve">Policy</x:t>
        </x:is>
      </x:c>
      <x:c r="C51" s="5" t="inlineStr">
        <x:is>
          <x:t xml:space="preserve">[Policy] Backups</x:t>
        </x:is>
      </x:c>
      <x:c r="D51" s="5" t="inlineStr">
        <x:is>
          <x:t xml:space="preserve">Availability</x:t>
        </x:is>
      </x:c>
      <x:c r="E51" s="5" t="inlineStr">
        <x:is>
          <x:t xml:space="preserve">REQ-60,REQ-61,1616.09l1Organizational.16,A.05.29,A.08.13a,REQ-61-HIPAA,REQ-60-SOC1,REQ-61-SOC1,REQ-60-HIPAA,REQ-60,REQ-61,1616.09l1Organizational.16,A.05.29,A.08.13a,REQ-61-HIPAA,REQ-60-SOC1,REQ-61-SOC1,REQ-60-HIPAA,REQ-60,REQ-61,1616.09l1Organizational.16,A.05.29,A.08.13a,REQ-61-HIPAA,REQ-60-SOC1,REQ-61-SOC1,REQ-60-HIPAA,REQ-60,REQ-61,1616.09l1Organizational.16,A.05.29,A.08.13a,REQ-61-HIPAA,REQ-60-SOC1,REQ-61-SOC1,REQ-60-HIPAA,REQ-60,REQ-61,1616.09l1Organizational.16,A.05.29,A.08.13a,REQ-61-HIPAA,REQ-60-SOC1,REQ-61-SOC1,REQ-60-HIPAA</x:t>
        </x:is>
      </x:c>
      <x:c r="F51" s="5" t="inlineStr">
        <x:is>
          <x:t xml:space="preserve">SOC 2,SOC 2,HITRUST,ISO 27001/2 (2022),ISO 27001/2 (2022),HIPAA Security,SOC 1,SOC 1,HIPAA Security,SOC 2,SOC 2,HITRUST,ISO 27001/2 (2022),ISO 27001/2 (2022),HIPAA Security,SOC 1,SOC 1,HIPAA Security,SOC 2,SOC 2,HITRUST,ISO 27001/2 (2022),ISO 27001/2 (2022),HIPAA Security,SOC 1,SOC 1,HIPAA Security,SOC 2,SOC 2,HITRUST,ISO 27001/2 (2022),ISO 27001/2 (2022),HIPAA Security,SOC 1,SOC 1,HIPAA Security,SOC 2,SOC 2,HITRUST,ISO 27001/2 (2022),ISO 27001/2 (2022),HIPAA Security,SOC 1,SOC 1,HIPAA Security</x:t>
        </x:is>
      </x:c>
      <x:c r="G51" s="5" t="n">
        <x:v>110</x:v>
      </x:c>
      <x:c r="H51" s="5" t="n">
        <x:v>1</x:v>
      </x:c>
      <x:c r="I51" s="5" t="n">
        <x:v>1</x:v>
      </x:c>
      <x:c r="J51" s="5" t="inlineStr">
        <x:is>
          <x:t xml:space="preserve">Availability</x:t>
        </x:is>
      </x:c>
      <x:c r="K51" s="5" t="n"/>
      <x:c r="L51" s="5" t="n">
        <x:v>45</x:v>
      </x:c>
      <x:c r="M51" s="5" t="n">
        <x:v>9</x:v>
      </x:c>
      <x:c r="N51" s="5" t="inlineStr">
        <x:is>
          <x:t xml:space="preserve">REQ-60</x:t>
        </x:is>
      </x:c>
      <x:c r="O51" s="5" t="inlineStr">
        <x:is>
          <x:t xml:space="preserve">REQ-61</x:t>
        </x:is>
      </x:c>
      <x:c r="P51" s="5" t="inlineStr">
        <x:is>
          <x:t xml:space="preserve">1616.09l1Organizational.16</x:t>
        </x:is>
      </x:c>
      <x:c r="Q51" s="5" t="inlineStr">
        <x:is>
          <x:t xml:space="preserve">A.05.29</x:t>
        </x:is>
      </x:c>
      <x:c r="R51" s="5" t="inlineStr">
        <x:is>
          <x:t xml:space="preserve">A.08.13a</x:t>
        </x:is>
      </x:c>
      <x:c r="S51" s="5" t="inlineStr">
        <x:is>
          <x:t xml:space="preserve">REQ-61-HIPAA</x:t>
        </x:is>
      </x:c>
      <x:c r="T51" s="5" t="inlineStr">
        <x:is>
          <x:t xml:space="preserve">REQ-60-SOC1</x:t>
        </x:is>
      </x:c>
      <x:c r="U51" s="5" t="inlineStr">
        <x:is>
          <x:t xml:space="preserve">REQ-61-SOC1</x:t>
        </x:is>
      </x:c>
      <x:c r="V51" s="5" t="inlineStr">
        <x:is>
          <x:t xml:space="preserve">REQ-60-HIPAA</x:t>
        </x:is>
      </x:c>
      <x:c r="W51" s="5" t="n"/>
      <x:c r="X51" s="5" t="n"/>
      <x:c r="Y51" s="5" t="n"/>
      <x:c r="Z51" s="5" t="n"/>
      <x:c r="AA51" s="5" t="n"/>
      <x:c r="AB51" s="5" t="n"/>
      <x:c r="AC51" s="5" t="n"/>
      <x:c r="AD51" s="5" t="n">
        <x:v>45</x:v>
      </x:c>
      <x:c r="AE51" s="5" t="n">
        <x:v>5</x:v>
      </x:c>
      <x:c r="AF51" s="5" t="inlineStr">
        <x:is>
          <x:t xml:space="preserve">SOC 2</x:t>
        </x:is>
      </x:c>
      <x:c r="AG51" s="5" t="inlineStr">
        <x:is>
          <x:t xml:space="preserve">HITRUST</x:t>
        </x:is>
      </x:c>
      <x:c r="AH51" s="5" t="inlineStr">
        <x:is>
          <x:t xml:space="preserve">ISO 27001/2 (2022)</x:t>
        </x:is>
      </x:c>
      <x:c r="AI51" s="5" t="inlineStr">
        <x:is>
          <x:t xml:space="preserve">HIPAA Security</x:t>
        </x:is>
      </x:c>
      <x:c r="AJ51" s="5" t="inlineStr">
        <x:is>
          <x:t xml:space="preserve">SOC 1</x:t>
        </x:is>
      </x:c>
      <x:c r="AK51" s="5" t="n"/>
      <x:c r="AL51" s="28" t="inlineStr">
        <x:is>
          <x:t xml:space="preserve">https://docs.google.com/document/d/1W5FC1d6oqcAnoxBiPHHQMdXo6_EqhnFeiMjXq4_dX9s/edit?usp=sharing</x:t>
        </x:is>
      </x:c>
      <x:c r="AM51" s="5" t="inlineStr">
        <x:is>
          <x:t xml:space="preserve">Local controls deduped from 45 exported tokens to 9 unique button tokens. Frameworks deduped from 45 exported tokens to 5 unique button tokens. Preserved "ISO 27001/2 (2022)" as a single framework token to reflect Thoropass notation that references ISO 27001 together with the related 27002 guidance set.</x:t>
        </x:is>
      </x:c>
      <x:c r="AN51" s="5" t="n"/>
      <x:c r="AO51" s="5" t="n"/>
      <x:c r="AP51" s="5" t="n"/>
      <x:c r="AQ51" s="5" t="n"/>
      <x:c r="AR51" s="5" t="n"/>
      <x:c r="AS51" s="5" t="n"/>
      <x:c r="AT51" s="5" t="n"/>
      <x:c r="AU51" s="5" t="n"/>
      <x:c r="AV51" s="5" t="n"/>
      <x:c r="AW51" s="5" t="n"/>
      <x:c r="AX51" s="5" t="n"/>
      <x:c r="AY51" s="5" t="n"/>
      <x:c r="AZ51" s="5" t="n"/>
      <x:c r="BA51" s="5" t="n"/>
      <x:c r="BB51" s="5" t="n"/>
      <x:c r="BC51" s="5" t="n"/>
      <x:c r="BD51" s="5" t="n"/>
      <x:c r="BE51" s="5" t="n"/>
      <x:c r="BF51" s="5" t="n"/>
      <x:c r="BG51" s="5" t="n"/>
      <x:c r="BH51" s="5" t="n"/>
      <x:c r="BI51" s="5" t="n"/>
      <x:c r="BJ51" s="5" t="n"/>
      <x:c r="BK51" s="5" t="n"/>
      <x:c r="BL51" s="5" t="n"/>
      <x:c r="BM51" s="5" t="n"/>
      <x:c r="BN51" s="5" t="n"/>
      <x:c r="BO51" s="5" t="n"/>
      <x:c r="BP51" s="5" t="n"/>
      <x:c r="BQ51" s="5" t="n"/>
      <x:c r="BR51" s="5" t="n"/>
      <x:c r="BS51" s="5" t="n"/>
      <x:c r="BT51" s="5" t="n"/>
      <x:c r="BU51" s="5" t="n"/>
      <x:c r="BV51" s="5" t="n"/>
      <x:c r="BW51" s="5" t="n"/>
      <x:c r="BX51" s="5" t="n"/>
      <x:c r="BY51" s="5" t="n"/>
      <x:c r="BZ51" s="5" t="n"/>
      <x:c r="CA51" s="5" t="n"/>
      <x:c r="CB51" s="5" t="n"/>
      <x:c r="CC51" s="5" t="n"/>
      <x:c r="CD51" s="5" t="n"/>
      <x:c r="CE51" s="5" t="n"/>
    </x:row>
    <x:row r="52" ht="30" customHeight="1">
      <x:c r="A52" s="5" t="inlineStr">
        <x:is>
          <x:t xml:space="preserve">ER-116</x:t>
        </x:is>
      </x:c>
      <x:c r="B52" s="5" t="inlineStr">
        <x:is>
          <x:t xml:space="preserve">Sample</x:t>
        </x:is>
      </x:c>
      <x:c r="C52" s="5" t="inlineStr">
        <x:is>
          <x:t xml:space="preserve">[Sample] Backup Records</x:t>
        </x:is>
      </x:c>
      <x:c r="D52" s="5" t="n"/>
      <x:c r="E52" s="5" t="inlineStr">
        <x:is>
          <x:t xml:space="preserve">1616.09l1Organizational.16,1616.09l1Organizational.16,1616.09l1Organizational.16,1616.09l1Organizational.16</x:t>
        </x:is>
      </x:c>
      <x:c r="F52" s="5" t="inlineStr">
        <x:is>
          <x:t xml:space="preserve">HITRUST,HITRUST,HITRUST,HITRUST</x:t>
        </x:is>
      </x:c>
      <x:c r="G52" s="5" t="n">
        <x:v>111</x:v>
      </x:c>
      <x:c r="H52" s="5" t="n">
        <x:v>0</x:v>
      </x:c>
      <x:c r="I52" s="5" t="n">
        <x:v>0</x:v>
      </x:c>
      <x:c r="J52" s="5" t="n"/>
      <x:c r="K52" s="5" t="n"/>
      <x:c r="L52" s="5" t="n">
        <x:v>4</x:v>
      </x:c>
      <x:c r="M52" s="5" t="n">
        <x:v>1</x:v>
      </x:c>
      <x:c r="N52" s="5" t="inlineStr">
        <x:is>
          <x:t xml:space="preserve">1616.09l1Organizational.16</x:t>
        </x:is>
      </x:c>
      <x:c r="O52" s="5" t="n"/>
      <x:c r="P52" s="5" t="n"/>
      <x:c r="Q52" s="5" t="n"/>
      <x:c r="R52" s="5" t="n"/>
      <x:c r="S52" s="5" t="n"/>
      <x:c r="T52" s="5" t="n"/>
      <x:c r="U52" s="5" t="n"/>
      <x:c r="V52" s="5" t="n"/>
      <x:c r="W52" s="5" t="n"/>
      <x:c r="X52" s="5" t="n"/>
      <x:c r="Y52" s="5" t="n"/>
      <x:c r="Z52" s="5" t="n"/>
      <x:c r="AA52" s="5" t="n"/>
      <x:c r="AB52" s="5" t="n"/>
      <x:c r="AC52" s="5" t="n"/>
      <x:c r="AD52" s="5" t="n">
        <x:v>4</x:v>
      </x:c>
      <x:c r="AE52" s="5" t="n">
        <x:v>1</x:v>
      </x:c>
      <x:c r="AF52" s="5" t="inlineStr">
        <x:is>
          <x:t xml:space="preserve">HITRUST</x:t>
        </x:is>
      </x:c>
      <x:c r="AG52" s="5" t="n"/>
      <x:c r="AH52" s="5" t="n"/>
      <x:c r="AI52" s="5" t="n"/>
      <x:c r="AJ52" s="5" t="n"/>
      <x:c r="AK52" s="5" t="n"/>
      <x:c r="AL52" s="28" t="inlineStr">
        <x:is>
          <x:t xml:space="preserve">https://docs.google.com/document/d/1W5FC1d6oqcAnoxBiPHHQMdXo6_EqhnFeiMjXq4_dX9s/edit?usp=sharing</x:t>
        </x:is>
      </x:c>
      <x:c r="AM52" s="5" t="inlineStr">
        <x:is>
          <x:t xml:space="preserve">Local controls deduped from 4 exported tokens to 1 unique button tokens. Frameworks deduped from 4 exported tokens to 1 unique button tokens.</x:t>
        </x:is>
      </x:c>
      <x:c r="AN52" s="5" t="n"/>
      <x:c r="AO52" s="5" t="n"/>
      <x:c r="AP52" s="5" t="n"/>
      <x:c r="AQ52" s="5" t="n"/>
      <x:c r="AR52" s="5" t="n"/>
      <x:c r="AS52" s="5" t="n"/>
      <x:c r="AT52" s="5" t="n"/>
      <x:c r="AU52" s="5" t="n"/>
      <x:c r="AV52" s="5" t="n"/>
      <x:c r="AW52" s="5" t="n"/>
      <x:c r="AX52" s="5" t="n"/>
      <x:c r="AY52" s="5" t="n"/>
      <x:c r="AZ52" s="5" t="n"/>
      <x:c r="BA52" s="5" t="n"/>
      <x:c r="BB52" s="5" t="n"/>
      <x:c r="BC52" s="5" t="n"/>
      <x:c r="BD52" s="5" t="n"/>
      <x:c r="BE52" s="5" t="n"/>
      <x:c r="BF52" s="5" t="n"/>
      <x:c r="BG52" s="5" t="n"/>
      <x:c r="BH52" s="5" t="n"/>
      <x:c r="BI52" s="5" t="n"/>
      <x:c r="BJ52" s="5" t="n"/>
      <x:c r="BK52" s="5" t="n"/>
      <x:c r="BL52" s="5" t="n"/>
      <x:c r="BM52" s="5" t="n"/>
      <x:c r="BN52" s="5" t="n"/>
      <x:c r="BO52" s="5" t="n"/>
      <x:c r="BP52" s="5" t="n"/>
      <x:c r="BQ52" s="5" t="n"/>
      <x:c r="BR52" s="5" t="n"/>
      <x:c r="BS52" s="5" t="n"/>
      <x:c r="BT52" s="5" t="n"/>
      <x:c r="BU52" s="5" t="n"/>
      <x:c r="BV52" s="5" t="n"/>
      <x:c r="BW52" s="5" t="n"/>
      <x:c r="BX52" s="5" t="n"/>
      <x:c r="BY52" s="5" t="n"/>
      <x:c r="BZ52" s="5" t="n"/>
      <x:c r="CA52" s="5" t="n"/>
      <x:c r="CB52" s="5" t="n"/>
      <x:c r="CC52" s="5" t="n"/>
      <x:c r="CD52" s="5" t="n"/>
      <x:c r="CE52" s="5" t="n"/>
    </x:row>
    <x:row r="53" ht="30" customHeight="1">
      <x:c r="A53" s="5" t="inlineStr">
        <x:is>
          <x:t xml:space="preserve">ER-117</x:t>
        </x:is>
      </x:c>
      <x:c r="B53" s="5" t="inlineStr">
        <x:is>
          <x:t xml:space="preserve">Sample</x:t>
        </x:is>
      </x:c>
      <x:c r="C53" s="5" t="inlineStr">
        <x:is>
          <x:t xml:space="preserve">[Sample] Restorations</x:t>
        </x:is>
      </x:c>
      <x:c r="D53" s="5" t="n"/>
      <x:c r="E53" s="5" t="inlineStr">
        <x:is>
          <x:t xml:space="preserve">1616.09l1Organizational.16,1616.09l1Organizational.16,1616.09l1Organizational.16,1616.09l1Organizational.16</x:t>
        </x:is>
      </x:c>
      <x:c r="F53" s="5" t="inlineStr">
        <x:is>
          <x:t xml:space="preserve">HITRUST,HITRUST,HITRUST,HITRUST</x:t>
        </x:is>
      </x:c>
      <x:c r="G53" s="5" t="n">
        <x:v>112</x:v>
      </x:c>
      <x:c r="H53" s="5" t="n">
        <x:v>0</x:v>
      </x:c>
      <x:c r="I53" s="5" t="n">
        <x:v>0</x:v>
      </x:c>
      <x:c r="J53" s="5" t="n"/>
      <x:c r="K53" s="5" t="n"/>
      <x:c r="L53" s="5" t="n">
        <x:v>4</x:v>
      </x:c>
      <x:c r="M53" s="5" t="n">
        <x:v>1</x:v>
      </x:c>
      <x:c r="N53" s="5" t="inlineStr">
        <x:is>
          <x:t xml:space="preserve">1616.09l1Organizational.16</x:t>
        </x:is>
      </x:c>
      <x:c r="O53" s="5" t="n"/>
      <x:c r="P53" s="5" t="n"/>
      <x:c r="Q53" s="5" t="n"/>
      <x:c r="R53" s="5" t="n"/>
      <x:c r="S53" s="5" t="n"/>
      <x:c r="T53" s="5" t="n"/>
      <x:c r="U53" s="5" t="n"/>
      <x:c r="V53" s="5" t="n"/>
      <x:c r="W53" s="5" t="n"/>
      <x:c r="X53" s="5" t="n"/>
      <x:c r="Y53" s="5" t="n"/>
      <x:c r="Z53" s="5" t="n"/>
      <x:c r="AA53" s="5" t="n"/>
      <x:c r="AB53" s="5" t="n"/>
      <x:c r="AC53" s="5" t="n"/>
      <x:c r="AD53" s="5" t="n">
        <x:v>4</x:v>
      </x:c>
      <x:c r="AE53" s="5" t="n">
        <x:v>1</x:v>
      </x:c>
      <x:c r="AF53" s="5" t="inlineStr">
        <x:is>
          <x:t xml:space="preserve">HITRUST</x:t>
        </x:is>
      </x:c>
      <x:c r="AG53" s="5" t="n"/>
      <x:c r="AH53" s="5" t="n"/>
      <x:c r="AI53" s="5" t="n"/>
      <x:c r="AJ53" s="5" t="n"/>
      <x:c r="AK53" s="5" t="n"/>
      <x:c r="AL53" s="28" t="inlineStr">
        <x:is>
          <x:t xml:space="preserve">https://docs.google.com/document/d/1W5FC1d6oqcAnoxBiPHHQMdXo6_EqhnFeiMjXq4_dX9s/edit?usp=sharing</x:t>
        </x:is>
      </x:c>
      <x:c r="AM53" s="5" t="inlineStr">
        <x:is>
          <x:t xml:space="preserve">Local controls deduped from 4 exported tokens to 1 unique button tokens. Frameworks deduped from 4 exported tokens to 1 unique button tokens.</x:t>
        </x:is>
      </x:c>
      <x:c r="AN53" s="5" t="n"/>
      <x:c r="AO53" s="5" t="n"/>
      <x:c r="AP53" s="5" t="n"/>
      <x:c r="AQ53" s="5" t="n"/>
      <x:c r="AR53" s="5" t="n"/>
      <x:c r="AS53" s="5" t="n"/>
      <x:c r="AT53" s="5" t="n"/>
      <x:c r="AU53" s="5" t="n"/>
      <x:c r="AV53" s="5" t="n"/>
      <x:c r="AW53" s="5" t="n"/>
      <x:c r="AX53" s="5" t="n"/>
      <x:c r="AY53" s="5" t="n"/>
      <x:c r="AZ53" s="5" t="n"/>
      <x:c r="BA53" s="5" t="n"/>
      <x:c r="BB53" s="5" t="n"/>
      <x:c r="BC53" s="5" t="n"/>
      <x:c r="BD53" s="5" t="n"/>
      <x:c r="BE53" s="5" t="n"/>
      <x:c r="BF53" s="5" t="n"/>
      <x:c r="BG53" s="5" t="n"/>
      <x:c r="BH53" s="5" t="n"/>
      <x:c r="BI53" s="5" t="n"/>
      <x:c r="BJ53" s="5" t="n"/>
      <x:c r="BK53" s="5" t="n"/>
      <x:c r="BL53" s="5" t="n"/>
      <x:c r="BM53" s="5" t="n"/>
      <x:c r="BN53" s="5" t="n"/>
      <x:c r="BO53" s="5" t="n"/>
      <x:c r="BP53" s="5" t="n"/>
      <x:c r="BQ53" s="5" t="n"/>
      <x:c r="BR53" s="5" t="n"/>
      <x:c r="BS53" s="5" t="n"/>
      <x:c r="BT53" s="5" t="n"/>
      <x:c r="BU53" s="5" t="n"/>
      <x:c r="BV53" s="5" t="n"/>
      <x:c r="BW53" s="5" t="n"/>
      <x:c r="BX53" s="5" t="n"/>
      <x:c r="BY53" s="5" t="n"/>
      <x:c r="BZ53" s="5" t="n"/>
      <x:c r="CA53" s="5" t="n"/>
      <x:c r="CB53" s="5" t="n"/>
      <x:c r="CC53" s="5" t="n"/>
      <x:c r="CD53" s="5" t="n"/>
      <x:c r="CE53" s="5" t="n"/>
    </x:row>
    <x:row r="54" ht="30" customHeight="1">
      <x:c r="A54" s="5" t="inlineStr">
        <x:is>
          <x:t xml:space="preserve">ER-118</x:t>
        </x:is>
      </x:c>
      <x:c r="B54" s="5" t="inlineStr">
        <x:is>
          <x:t xml:space="preserve">Sample</x:t>
        </x:is>
      </x:c>
      <x:c r="C54" s="5" t="inlineStr">
        <x:is>
          <x:t xml:space="preserve">[Sample] Equipment Moves</x:t>
        </x:is>
      </x:c>
      <x:c r="D54" s="5" t="n"/>
      <x:c r="E54" s="5" t="inlineStr">
        <x:is>
          <x:t xml:space="preserve">1616.09l1Organizational.16,1616.09l1Organizational.16,1616.09l1Organizational.16,1616.09l1Organizational.16</x:t>
        </x:is>
      </x:c>
      <x:c r="F54" s="5" t="inlineStr">
        <x:is>
          <x:t xml:space="preserve">HITRUST,HITRUST,HITRUST,HITRUST</x:t>
        </x:is>
      </x:c>
      <x:c r="G54" s="5" t="n">
        <x:v>113</x:v>
      </x:c>
      <x:c r="H54" s="5" t="n">
        <x:v>0</x:v>
      </x:c>
      <x:c r="I54" s="5" t="n">
        <x:v>0</x:v>
      </x:c>
      <x:c r="J54" s="5" t="n"/>
      <x:c r="K54" s="5" t="n"/>
      <x:c r="L54" s="5" t="n">
        <x:v>4</x:v>
      </x:c>
      <x:c r="M54" s="5" t="n">
        <x:v>1</x:v>
      </x:c>
      <x:c r="N54" s="5" t="inlineStr">
        <x:is>
          <x:t xml:space="preserve">1616.09l1Organizational.16</x:t>
        </x:is>
      </x:c>
      <x:c r="O54" s="5" t="n"/>
      <x:c r="P54" s="5" t="n"/>
      <x:c r="Q54" s="5" t="n"/>
      <x:c r="R54" s="5" t="n"/>
      <x:c r="S54" s="5" t="n"/>
      <x:c r="T54" s="5" t="n"/>
      <x:c r="U54" s="5" t="n"/>
      <x:c r="V54" s="5" t="n"/>
      <x:c r="W54" s="5" t="n"/>
      <x:c r="X54" s="5" t="n"/>
      <x:c r="Y54" s="5" t="n"/>
      <x:c r="Z54" s="5" t="n"/>
      <x:c r="AA54" s="5" t="n"/>
      <x:c r="AB54" s="5" t="n"/>
      <x:c r="AC54" s="5" t="n"/>
      <x:c r="AD54" s="5" t="n">
        <x:v>4</x:v>
      </x:c>
      <x:c r="AE54" s="5" t="n">
        <x:v>1</x:v>
      </x:c>
      <x:c r="AF54" s="5" t="inlineStr">
        <x:is>
          <x:t xml:space="preserve">HITRUST</x:t>
        </x:is>
      </x:c>
      <x:c r="AG54" s="5" t="n"/>
      <x:c r="AH54" s="5" t="n"/>
      <x:c r="AI54" s="5" t="n"/>
      <x:c r="AJ54" s="5" t="n"/>
      <x:c r="AK54" s="5" t="n"/>
      <x:c r="AL54" s="28" t="inlineStr">
        <x:is>
          <x:t xml:space="preserve">https://docs.google.com/document/d/1W5FC1d6oqcAnoxBiPHHQMdXo6_EqhnFeiMjXq4_dX9s/edit?usp=sharing</x:t>
        </x:is>
      </x:c>
      <x:c r="AM54" s="5" t="inlineStr">
        <x:is>
          <x:t xml:space="preserve">Local controls deduped from 4 exported tokens to 1 unique button tokens. Frameworks deduped from 4 exported tokens to 1 unique button tokens.</x:t>
        </x:is>
      </x:c>
      <x:c r="AN54" s="5" t="n"/>
      <x:c r="AO54" s="5" t="n"/>
      <x:c r="AP54" s="5" t="n"/>
      <x:c r="AQ54" s="5" t="n"/>
      <x:c r="AR54" s="5" t="n"/>
      <x:c r="AS54" s="5" t="n"/>
      <x:c r="AT54" s="5" t="n"/>
      <x:c r="AU54" s="5" t="n"/>
      <x:c r="AV54" s="5" t="n"/>
      <x:c r="AW54" s="5" t="n"/>
      <x:c r="AX54" s="5" t="n"/>
      <x:c r="AY54" s="5" t="n"/>
      <x:c r="AZ54" s="5" t="n"/>
      <x:c r="BA54" s="5" t="n"/>
      <x:c r="BB54" s="5" t="n"/>
      <x:c r="BC54" s="5" t="n"/>
      <x:c r="BD54" s="5" t="n"/>
      <x:c r="BE54" s="5" t="n"/>
      <x:c r="BF54" s="5" t="n"/>
      <x:c r="BG54" s="5" t="n"/>
      <x:c r="BH54" s="5" t="n"/>
      <x:c r="BI54" s="5" t="n"/>
      <x:c r="BJ54" s="5" t="n"/>
      <x:c r="BK54" s="5" t="n"/>
      <x:c r="BL54" s="5" t="n"/>
      <x:c r="BM54" s="5" t="n"/>
      <x:c r="BN54" s="5" t="n"/>
      <x:c r="BO54" s="5" t="n"/>
      <x:c r="BP54" s="5" t="n"/>
      <x:c r="BQ54" s="5" t="n"/>
      <x:c r="BR54" s="5" t="n"/>
      <x:c r="BS54" s="5" t="n"/>
      <x:c r="BT54" s="5" t="n"/>
      <x:c r="BU54" s="5" t="n"/>
      <x:c r="BV54" s="5" t="n"/>
      <x:c r="BW54" s="5" t="n"/>
      <x:c r="BX54" s="5" t="n"/>
      <x:c r="BY54" s="5" t="n"/>
      <x:c r="BZ54" s="5" t="n"/>
      <x:c r="CA54" s="5" t="n"/>
      <x:c r="CB54" s="5" t="n"/>
      <x:c r="CC54" s="5" t="n"/>
      <x:c r="CD54" s="5" t="n"/>
      <x:c r="CE54" s="5" t="n"/>
    </x:row>
    <x:row r="55" ht="30" customHeight="1">
      <x:c r="A55" s="5" t="inlineStr">
        <x:is>
          <x:t xml:space="preserve">ER-123</x:t>
        </x:is>
      </x:c>
      <x:c r="B55" s="5" t="inlineStr">
        <x:is>
          <x:t xml:space="preserve">Operational</x:t>
        </x:is>
      </x:c>
      <x:c r="C55" s="5" t="inlineStr">
        <x:is>
          <x:t xml:space="preserve">[Operational] Completed Production Data Backup Test</x:t>
        </x:is>
      </x:c>
      <x:c r="D55" s="5" t="inlineStr">
        <x:is>
          <x:t xml:space="preserve">Availability</x:t>
        </x:is>
      </x:c>
      <x:c r="E55" s="5" t="inlineStr">
        <x:is>
          <x:t xml:space="preserve">REQ-61,1616.09l1Organizational.16,A.05.29,A.08.13a,REQ-61-SOC1,REQ-61-HIPAA,REQ-61,1616.09l1Organizational.16,A.05.29,A.08.13a,REQ-61-SOC1,REQ-61-HIPAA,REQ-61,1616.09l1Organizational.16,A.05.29,A.08.13a,REQ-61-SOC1,REQ-61-HIPAA,REQ-61,1616.09l1Organizational.16,A.05.29,A.08.13a,REQ-61-SOC1,REQ-61-HIPAA,REQ-61,1616.09l1Organizational.16,A.05.29,A.08.13a,REQ-61-SOC1,REQ-61-HIPAA,REQ-61,1616.09l1Organizational.16,A.05.29,A.08.13a,REQ-61-SOC1,REQ-61-HIPAA,REQ-61,1616.09l1Organizational.16,A.05.29,A.08.13a,REQ-61-SOC1,REQ-61-HIPAA</x:t>
        </x:is>
      </x:c>
      <x:c r="F55" s="5" t="inlineStr">
        <x:is>
          <x:t xml:space="preserve">SOC 2,HITRUST,ISO 27001/2 (2022),ISO 27001/2 (2022),SOC 1,HIPAA Security,SOC 2,HITRUST,ISO 27001/2 (2022),ISO 27001/2 (2022),SOC 1,HIPAA Security,SOC 2,HITRUST,ISO 27001/2 (2022),ISO 27001/2 (2022),SOC 1,HIPAA Security,SOC 2,HITRUST,ISO 27001/2 (2022),ISO 27001/2 (2022),SOC 1,HIPAA Security,SOC 2,HITRUST,ISO 27001/2 (2022),ISO 27001/2 (2022),SOC 1,HIPAA Security,SOC 2,HITRUST,ISO 27001/2 (2022),ISO 27001/2 (2022),SOC 1,HIPAA Security,SOC 2,HITRUST,ISO 27001/2 (2022),ISO 27001/2 (2022),SOC 1,HIPAA Security</x:t>
        </x:is>
      </x:c>
      <x:c r="G55" s="5" t="n">
        <x:v>118</x:v>
      </x:c>
      <x:c r="H55" s="5" t="n">
        <x:v>1</x:v>
      </x:c>
      <x:c r="I55" s="5" t="n">
        <x:v>1</x:v>
      </x:c>
      <x:c r="J55" s="5" t="inlineStr">
        <x:is>
          <x:t xml:space="preserve">Availability</x:t>
        </x:is>
      </x:c>
      <x:c r="K55" s="5" t="n"/>
      <x:c r="L55" s="5" t="n">
        <x:v>42</x:v>
      </x:c>
      <x:c r="M55" s="5" t="n">
        <x:v>6</x:v>
      </x:c>
      <x:c r="N55" s="5" t="inlineStr">
        <x:is>
          <x:t xml:space="preserve">REQ-61</x:t>
        </x:is>
      </x:c>
      <x:c r="O55" s="5" t="inlineStr">
        <x:is>
          <x:t xml:space="preserve">1616.09l1Organizational.16</x:t>
        </x:is>
      </x:c>
      <x:c r="P55" s="5" t="inlineStr">
        <x:is>
          <x:t xml:space="preserve">A.05.29</x:t>
        </x:is>
      </x:c>
      <x:c r="Q55" s="5" t="inlineStr">
        <x:is>
          <x:t xml:space="preserve">A.08.13a</x:t>
        </x:is>
      </x:c>
      <x:c r="R55" s="5" t="inlineStr">
        <x:is>
          <x:t xml:space="preserve">REQ-61-SOC1</x:t>
        </x:is>
      </x:c>
      <x:c r="S55" s="5" t="inlineStr">
        <x:is>
          <x:t xml:space="preserve">REQ-61-HIPAA</x:t>
        </x:is>
      </x:c>
      <x:c r="T55" s="5" t="n"/>
      <x:c r="U55" s="5" t="n"/>
      <x:c r="V55" s="5" t="n"/>
      <x:c r="W55" s="5" t="n"/>
      <x:c r="X55" s="5" t="n"/>
      <x:c r="Y55" s="5" t="n"/>
      <x:c r="Z55" s="5" t="n"/>
      <x:c r="AA55" s="5" t="n"/>
      <x:c r="AB55" s="5" t="n"/>
      <x:c r="AC55" s="5" t="n"/>
      <x:c r="AD55" s="5" t="n">
        <x:v>42</x:v>
      </x:c>
      <x:c r="AE55" s="5" t="n">
        <x:v>5</x:v>
      </x:c>
      <x:c r="AF55" s="5" t="inlineStr">
        <x:is>
          <x:t xml:space="preserve">SOC 2</x:t>
        </x:is>
      </x:c>
      <x:c r="AG55" s="5" t="inlineStr">
        <x:is>
          <x:t xml:space="preserve">HITRUST</x:t>
        </x:is>
      </x:c>
      <x:c r="AH55" s="5" t="inlineStr">
        <x:is>
          <x:t xml:space="preserve">ISO 27001/2 (2022)</x:t>
        </x:is>
      </x:c>
      <x:c r="AI55" s="5" t="inlineStr">
        <x:is>
          <x:t xml:space="preserve">SOC 1</x:t>
        </x:is>
      </x:c>
      <x:c r="AJ55" s="5" t="inlineStr">
        <x:is>
          <x:t xml:space="preserve">HIPAA Security</x:t>
        </x:is>
      </x:c>
      <x:c r="AK55" s="5" t="n"/>
      <x:c r="AL55" s="28" t="inlineStr">
        <x:is>
          <x:t xml:space="preserve">https://docs.google.com/document/d/1W5FC1d6oqcAnoxBiPHHQMdXo6_EqhnFeiMjXq4_dX9s/edit?usp=sharing</x:t>
        </x:is>
      </x:c>
      <x:c r="AM55" s="5" t="inlineStr">
        <x:is>
          <x:t xml:space="preserve">Local controls deduped from 42 exported tokens to 6 unique button tokens. Frameworks deduped from 42 exported tokens to 5 unique button tokens. Preserved "ISO 27001/2 (2022)" as a single framework token to reflect Thoropass notation that references ISO 27001 together with the related 27002 guidance set.</x:t>
        </x:is>
      </x:c>
      <x:c r="AN55" s="5" t="n"/>
      <x:c r="AO55" s="5" t="n"/>
      <x:c r="AP55" s="5" t="n"/>
      <x:c r="AQ55" s="5" t="n"/>
      <x:c r="AR55" s="5" t="n"/>
      <x:c r="AS55" s="5" t="n"/>
      <x:c r="AT55" s="5" t="n"/>
      <x:c r="AU55" s="5" t="n"/>
      <x:c r="AV55" s="5" t="n"/>
      <x:c r="AW55" s="5" t="n"/>
      <x:c r="AX55" s="5" t="n"/>
      <x:c r="AY55" s="5" t="n"/>
      <x:c r="AZ55" s="5" t="n"/>
      <x:c r="BA55" s="5" t="n"/>
      <x:c r="BB55" s="5" t="n"/>
      <x:c r="BC55" s="5" t="n"/>
      <x:c r="BD55" s="5" t="n"/>
      <x:c r="BE55" s="5" t="n"/>
      <x:c r="BF55" s="5" t="n"/>
      <x:c r="BG55" s="5" t="n"/>
      <x:c r="BH55" s="5" t="n"/>
      <x:c r="BI55" s="5" t="n"/>
      <x:c r="BJ55" s="5" t="n"/>
      <x:c r="BK55" s="5" t="n"/>
      <x:c r="BL55" s="5" t="n"/>
      <x:c r="BM55" s="5" t="n"/>
      <x:c r="BN55" s="5" t="n"/>
      <x:c r="BO55" s="5" t="n"/>
      <x:c r="BP55" s="5" t="n"/>
      <x:c r="BQ55" s="5" t="n"/>
      <x:c r="BR55" s="5" t="n"/>
      <x:c r="BS55" s="5" t="n"/>
      <x:c r="BT55" s="5" t="n"/>
      <x:c r="BU55" s="5" t="n"/>
      <x:c r="BV55" s="5" t="n"/>
      <x:c r="BW55" s="5" t="n"/>
      <x:c r="BX55" s="5" t="n"/>
      <x:c r="BY55" s="5" t="n"/>
      <x:c r="BZ55" s="5" t="n"/>
      <x:c r="CA55" s="5" t="n"/>
      <x:c r="CB55" s="5" t="n"/>
      <x:c r="CC55" s="5" t="n"/>
      <x:c r="CD55" s="5" t="n"/>
      <x:c r="CE55" s="5" t="n"/>
    </x:row>
    <x:row r="56" ht="30" customHeight="1">
      <x:c r="A56" s="5" t="inlineStr">
        <x:is>
          <x:t xml:space="preserve">ER-131</x:t>
        </x:is>
      </x:c>
      <x:c r="B56" s="5" t="inlineStr">
        <x:is>
          <x:t xml:space="preserve">Sample</x:t>
        </x:is>
      </x:c>
      <x:c r="C56" s="5" t="inlineStr">
        <x:is>
          <x:t xml:space="preserve">[Sample] BYOD and Company-Owned Mobile Devices Automatic Lockout</x:t>
        </x:is>
      </x:c>
      <x:c r="D56" s="5" t="n"/>
      <x:c r="E56" s="5" t="inlineStr">
        <x:is>
          <x:t xml:space="preserve">11190.01t1System.2,11190.01t1System.2,11190.01t1System.2</x:t>
        </x:is>
      </x:c>
      <x:c r="F56" s="5" t="inlineStr">
        <x:is>
          <x:t xml:space="preserve">HITRUST,HITRUST,HITRUST</x:t>
        </x:is>
      </x:c>
      <x:c r="G56" s="5" t="n">
        <x:v>126</x:v>
      </x:c>
      <x:c r="H56" s="5" t="n">
        <x:v>0</x:v>
      </x:c>
      <x:c r="I56" s="5" t="n">
        <x:v>0</x:v>
      </x:c>
      <x:c r="J56" s="5" t="n"/>
      <x:c r="K56" s="5" t="n"/>
      <x:c r="L56" s="5" t="n">
        <x:v>3</x:v>
      </x:c>
      <x:c r="M56" s="5" t="n">
        <x:v>1</x:v>
      </x:c>
      <x:c r="N56" s="5" t="inlineStr">
        <x:is>
          <x:t xml:space="preserve">11190.01t1System.2</x:t>
        </x:is>
      </x:c>
      <x:c r="O56" s="5" t="n"/>
      <x:c r="P56" s="5" t="n"/>
      <x:c r="Q56" s="5" t="n"/>
      <x:c r="R56" s="5" t="n"/>
      <x:c r="S56" s="5" t="n"/>
      <x:c r="T56" s="5" t="n"/>
      <x:c r="U56" s="5" t="n"/>
      <x:c r="V56" s="5" t="n"/>
      <x:c r="W56" s="5" t="n"/>
      <x:c r="X56" s="5" t="n"/>
      <x:c r="Y56" s="5" t="n"/>
      <x:c r="Z56" s="5" t="n"/>
      <x:c r="AA56" s="5" t="n"/>
      <x:c r="AB56" s="5" t="n"/>
      <x:c r="AC56" s="5" t="n"/>
      <x:c r="AD56" s="5" t="n">
        <x:v>3</x:v>
      </x:c>
      <x:c r="AE56" s="5" t="n">
        <x:v>1</x:v>
      </x:c>
      <x:c r="AF56" s="5" t="inlineStr">
        <x:is>
          <x:t xml:space="preserve">HITRUST</x:t>
        </x:is>
      </x:c>
      <x:c r="AG56" s="5" t="n"/>
      <x:c r="AH56" s="5" t="n"/>
      <x:c r="AI56" s="5" t="n"/>
      <x:c r="AJ56" s="5" t="n"/>
      <x:c r="AK56" s="5" t="n"/>
      <x:c r="AL56" s="28" t="inlineStr">
        <x:is>
          <x:t xml:space="preserve">https://docs.google.com/document/d/1W5FC1d6oqcAnoxBiPHHQMdXo6_EqhnFeiMjXq4_dX9s/edit?usp=sharing</x:t>
        </x:is>
      </x:c>
      <x:c r="AM56" s="5" t="inlineStr">
        <x:is>
          <x:t xml:space="preserve">Local controls deduped from 3 exported tokens to 1 unique button tokens. Frameworks deduped from 3 exported tokens to 1 unique button tokens.</x:t>
        </x:is>
      </x:c>
      <x:c r="AN56" s="5" t="n"/>
      <x:c r="AO56" s="5" t="n"/>
      <x:c r="AP56" s="5" t="n"/>
      <x:c r="AQ56" s="5" t="n"/>
      <x:c r="AR56" s="5" t="n"/>
      <x:c r="AS56" s="5" t="n"/>
      <x:c r="AT56" s="5" t="n"/>
      <x:c r="AU56" s="5" t="n"/>
      <x:c r="AV56" s="5" t="n"/>
      <x:c r="AW56" s="5" t="n"/>
      <x:c r="AX56" s="5" t="n"/>
      <x:c r="AY56" s="5" t="n"/>
      <x:c r="AZ56" s="5" t="n"/>
      <x:c r="BA56" s="5" t="n"/>
      <x:c r="BB56" s="5" t="n"/>
      <x:c r="BC56" s="5" t="n"/>
      <x:c r="BD56" s="5" t="n"/>
      <x:c r="BE56" s="5" t="n"/>
      <x:c r="BF56" s="5" t="n"/>
      <x:c r="BG56" s="5" t="n"/>
      <x:c r="BH56" s="5" t="n"/>
      <x:c r="BI56" s="5" t="n"/>
      <x:c r="BJ56" s="5" t="n"/>
      <x:c r="BK56" s="5" t="n"/>
      <x:c r="BL56" s="5" t="n"/>
      <x:c r="BM56" s="5" t="n"/>
      <x:c r="BN56" s="5" t="n"/>
      <x:c r="BO56" s="5" t="n"/>
      <x:c r="BP56" s="5" t="n"/>
      <x:c r="BQ56" s="5" t="n"/>
      <x:c r="BR56" s="5" t="n"/>
      <x:c r="BS56" s="5" t="n"/>
      <x:c r="BT56" s="5" t="n"/>
      <x:c r="BU56" s="5" t="n"/>
      <x:c r="BV56" s="5" t="n"/>
      <x:c r="BW56" s="5" t="n"/>
      <x:c r="BX56" s="5" t="n"/>
      <x:c r="BY56" s="5" t="n"/>
      <x:c r="BZ56" s="5" t="n"/>
      <x:c r="CA56" s="5" t="n"/>
      <x:c r="CB56" s="5" t="n"/>
      <x:c r="CC56" s="5" t="n"/>
      <x:c r="CD56" s="5" t="n"/>
      <x:c r="CE56" s="5" t="n"/>
    </x:row>
    <x:row r="57" ht="30" customHeight="1">
      <x:c r="A57" s="5" t="inlineStr">
        <x:is>
          <x:t xml:space="preserve">ER-136</x:t>
        </x:is>
      </x:c>
      <x:c r="B57" s="5" t="inlineStr">
        <x:is>
          <x:t xml:space="preserve">Population</x:t>
        </x:is>
      </x:c>
      <x:c r="C57" s="5" t="inlineStr">
        <x:is>
          <x:t xml:space="preserve">[Population] All Terminated Employees During the Review Period [INSERT EXAM PERIOD]</x:t>
        </x:is>
      </x:c>
      <x:c r="D57" s="5" t="inlineStr">
        <x:is>
          <x:t xml:space="preserve">Security</x:t>
        </x:is>
      </x:c>
      <x:c r="E57" s="5" t="inlineStr">
        <x:is>
          <x:t xml:space="preserve">REQ-31,REQ-31-SOC1,REQ-31-HIPAA,11143.02i1Organizational.3,REQ-995,REQ-995-HIPAA,REQ-995-SOC1,A.05.16,REQ-31,REQ-31-SOC1,REQ-31-HIPAA,REQ-995,REQ-995-HIPAA,REQ-995-SOC1,A.05.16,11143.02i1Organizational.3,REQ-31,REQ-31-SOC1,REQ-31-HIPAA,REQ-995,REQ-995-HIPAA,REQ-995-SOC1,A.05.16,REQ-31,REQ-31-SOC1,REQ-31-HIPAA,REQ-995,REQ-995-HIPAA,REQ-995-SOC1,A.05.16,REQ-31,REQ-31-SOC1,REQ-31-HIPAA,REQ-995,REQ-995-HIPAA,REQ-995-SOC1,A.05.16,REQ-31,REQ-31-SOC1,REQ-31-HIPAA,11143.02i1Organizational.3,REQ-995,REQ-995-HIPAA,REQ-995-SOC1,A.05.16,REQ-31,REQ-31-SOC1,REQ-31-HIPAA,REQ-995,REQ-995-HIPAA,REQ-995-SOC1,A.05.16,11143.02i1Organizational.3,11143.02i1Organizational.3</x:t>
        </x:is>
      </x:c>
      <x:c r="F57" s="5" t="inlineStr">
        <x:is>
          <x:t xml:space="preserve">SOC 2,SOC 1,HIPAA Security,HITRUST,SOC 2,HIPAA Security,SOC 1,ISO 27001/2 (2022),SOC 2,SOC 1,HIPAA Security,SOC 2,HIPAA Security,SOC 1,ISO 27001/2 (2022),HITRUST,SOC 2,SOC 1,HIPAA Security,SOC 2,HIPAA Security,SOC 1,ISO 27001/2 (2022),SOC 2,SOC 1,HIPAA Security,SOC 2,HIPAA Security,SOC 1,ISO 27001/2 (2022),SOC 2,SOC 1,HIPAA Security,SOC 2,HIPAA Security,SOC 1,ISO 27001/2 (2022),SOC 2,SOC 1,HIPAA Security,HITRUST,SOC 2,HIPAA Security,SOC 1,ISO 27001/2 (2022),SOC 2,SOC 1,HIPAA Security,SOC 2,HIPAA Security,SOC 1,ISO 27001/2 (2022),HITRUST,HITRUST</x:t>
        </x:is>
      </x:c>
      <x:c r="G57" s="5" t="n">
        <x:v>131</x:v>
      </x:c>
      <x:c r="H57" s="5" t="n">
        <x:v>1</x:v>
      </x:c>
      <x:c r="I57" s="5" t="n">
        <x:v>1</x:v>
      </x:c>
      <x:c r="J57" s="5" t="inlineStr">
        <x:is>
          <x:t xml:space="preserve">Security</x:t>
        </x:is>
      </x:c>
      <x:c r="K57" s="5" t="n"/>
      <x:c r="L57" s="5" t="n">
        <x:v>54</x:v>
      </x:c>
      <x:c r="M57" s="5" t="n">
        <x:v>8</x:v>
      </x:c>
      <x:c r="N57" s="5" t="inlineStr">
        <x:is>
          <x:t xml:space="preserve">REQ-31</x:t>
        </x:is>
      </x:c>
      <x:c r="O57" s="5" t="inlineStr">
        <x:is>
          <x:t xml:space="preserve">REQ-31-SOC1</x:t>
        </x:is>
      </x:c>
      <x:c r="P57" s="5" t="inlineStr">
        <x:is>
          <x:t xml:space="preserve">REQ-31-HIPAA</x:t>
        </x:is>
      </x:c>
      <x:c r="Q57" s="5" t="inlineStr">
        <x:is>
          <x:t xml:space="preserve">11143.02i1Organizational.3</x:t>
        </x:is>
      </x:c>
      <x:c r="R57" s="5" t="inlineStr">
        <x:is>
          <x:t xml:space="preserve">REQ-995</x:t>
        </x:is>
      </x:c>
      <x:c r="S57" s="5" t="inlineStr">
        <x:is>
          <x:t xml:space="preserve">REQ-995-HIPAA</x:t>
        </x:is>
      </x:c>
      <x:c r="T57" s="5" t="inlineStr">
        <x:is>
          <x:t xml:space="preserve">REQ-995-SOC1</x:t>
        </x:is>
      </x:c>
      <x:c r="U57" s="5" t="inlineStr">
        <x:is>
          <x:t xml:space="preserve">A.05.16</x:t>
        </x:is>
      </x:c>
      <x:c r="V57" s="5" t="n"/>
      <x:c r="W57" s="5" t="n"/>
      <x:c r="X57" s="5" t="n"/>
      <x:c r="Y57" s="5" t="n"/>
      <x:c r="Z57" s="5" t="n"/>
      <x:c r="AA57" s="5" t="n"/>
      <x:c r="AB57" s="5" t="n"/>
      <x:c r="AC57" s="5" t="n"/>
      <x:c r="AD57" s="5" t="n">
        <x:v>54</x:v>
      </x:c>
      <x:c r="AE57" s="5" t="n">
        <x:v>5</x:v>
      </x:c>
      <x:c r="AF57" s="5" t="inlineStr">
        <x:is>
          <x:t xml:space="preserve">SOC 2</x:t>
        </x:is>
      </x:c>
      <x:c r="AG57" s="5" t="inlineStr">
        <x:is>
          <x:t xml:space="preserve">SOC 1</x:t>
        </x:is>
      </x:c>
      <x:c r="AH57" s="5" t="inlineStr">
        <x:is>
          <x:t xml:space="preserve">HIPAA Security</x:t>
        </x:is>
      </x:c>
      <x:c r="AI57" s="5" t="inlineStr">
        <x:is>
          <x:t xml:space="preserve">HITRUST</x:t>
        </x:is>
      </x:c>
      <x:c r="AJ57" s="5" t="inlineStr">
        <x:is>
          <x:t xml:space="preserve">ISO 27001/2 (2022)</x:t>
        </x:is>
      </x:c>
      <x:c r="AK57" s="5" t="n"/>
      <x:c r="AL57" s="28" t="inlineStr">
        <x:is>
          <x:t xml:space="preserve">https://docs.google.com/document/d/1W5FC1d6oqcAnoxBiPHHQMdXo6_EqhnFeiMjXq4_dX9s/edit?usp=sharing</x:t>
        </x:is>
      </x:c>
      <x:c r="AM57" s="5" t="inlineStr">
        <x:is>
          <x:t xml:space="preserve">Local controls deduped from 54 exported tokens to 8 unique button tokens. Frameworks deduped from 54 exported tokens to 5 unique button tokens. Preserved "ISO 27001/2 (2022)" as a single framework token to reflect Thoropass notation that references ISO 27001 together with the related 27002 guidance set.</x:t>
        </x:is>
      </x:c>
      <x:c r="AN57" s="5" t="n"/>
      <x:c r="AO57" s="5" t="n"/>
      <x:c r="AP57" s="5" t="n"/>
      <x:c r="AQ57" s="5" t="n"/>
      <x:c r="AR57" s="5" t="n"/>
      <x:c r="AS57" s="5" t="n"/>
      <x:c r="AT57" s="5" t="n"/>
      <x:c r="AU57" s="5" t="n"/>
      <x:c r="AV57" s="5" t="n"/>
      <x:c r="AW57" s="5" t="n"/>
      <x:c r="AX57" s="5" t="n"/>
      <x:c r="AY57" s="5" t="n"/>
      <x:c r="AZ57" s="5" t="n"/>
      <x:c r="BA57" s="5" t="n"/>
      <x:c r="BB57" s="5" t="n"/>
      <x:c r="BC57" s="5" t="n"/>
      <x:c r="BD57" s="5" t="n"/>
      <x:c r="BE57" s="5" t="n"/>
      <x:c r="BF57" s="5" t="n"/>
      <x:c r="BG57" s="5" t="n"/>
      <x:c r="BH57" s="5" t="n"/>
      <x:c r="BI57" s="5" t="n"/>
      <x:c r="BJ57" s="5" t="n"/>
      <x:c r="BK57" s="5" t="n"/>
      <x:c r="BL57" s="5" t="n"/>
      <x:c r="BM57" s="5" t="n"/>
      <x:c r="BN57" s="5" t="n"/>
      <x:c r="BO57" s="5" t="n"/>
      <x:c r="BP57" s="5" t="n"/>
      <x:c r="BQ57" s="5" t="n"/>
      <x:c r="BR57" s="5" t="n"/>
      <x:c r="BS57" s="5" t="n"/>
      <x:c r="BT57" s="5" t="n"/>
      <x:c r="BU57" s="5" t="n"/>
      <x:c r="BV57" s="5" t="n"/>
      <x:c r="BW57" s="5" t="n"/>
      <x:c r="BX57" s="5" t="n"/>
      <x:c r="BY57" s="5" t="n"/>
      <x:c r="BZ57" s="5" t="n"/>
      <x:c r="CA57" s="5" t="n"/>
      <x:c r="CB57" s="5" t="n"/>
      <x:c r="CC57" s="5" t="n"/>
      <x:c r="CD57" s="5" t="n"/>
      <x:c r="CE57" s="5" t="n"/>
    </x:row>
    <x:row r="58" ht="30" customHeight="1">
      <x:c r="A58" s="5" t="inlineStr">
        <x:is>
          <x:t xml:space="preserve">ER-139</x:t>
        </x:is>
      </x:c>
      <x:c r="B58" s="5" t="inlineStr">
        <x:is>
          <x:t xml:space="preserve">Population</x:t>
        </x:is>
      </x:c>
      <x:c r="C58" s="5" t="inlineStr">
        <x:is>
          <x:t xml:space="preserve">[Population] All Software and Infrastructure Production Changes During the Review Period [INSERT EXAM PERIOD]</x:t>
        </x:is>
      </x:c>
      <x:c r="D58" s="5" t="inlineStr">
        <x:is>
          <x:t xml:space="preserve">Security,PCI DSS v4.0 - ROC - Merchant</x:t>
        </x:is>
      </x:c>
      <x:c r="E58" s="5" t="inlineStr">
        <x:is>
          <x:t xml:space="preserve">REQ-56,REQ-55,06.09b1System.2,1704.03b1Organizational.12,REQ-55-SOC1,REQ-56-SOC1,REQ-55-HIPAA,REQ-995,REQ-995-HIPAA,REQ-995-SOC1,1.2.2,6.5.1,6.5.2,REQ-56,REQ-55,06.09b1System.2,1704.03b1Organizational.12,REQ-55-SOC1,REQ-56-SOC1,REQ-55-HIPAA,REQ-995,REQ-995-HIPAA,REQ-995-SOC1,1.2.2,6.5.1,6.5.2,REQ-56,REQ-55,06.09b1System.2,1704.03b1Organizational.12,REQ-55-SOC1,REQ-56-SOC1,REQ-55-HIPAA,REQ-995,REQ-995-HIPAA,REQ-995-SOC1,1.2.2,6.5.1,6.5.2,REQ-56,REQ-55,06.09b1System.2,1704.03b1Organizational.12,REQ-55-SOC1,REQ-56-SOC1,REQ-55-HIPAA,REQ-995,REQ-995-HIPAA,REQ-995-SOC1,1.2.2,6.5.1,6.5.2,REQ-56,REQ-55,06.09b1System.2,1704.03b1Organizational.12,REQ-55-SOC1,REQ-56-SOC1,REQ-55-HIPAA,REQ-995,REQ-995-HIPAA,REQ-995-SOC1,1.2.2,6.5.1,6.5.2,REQ-56,REQ-55,06.09b1System.2,1704.03b1Organizational.12,REQ-55-SOC1,REQ-56-SOC1,REQ-55-HIPAA,REQ-995,REQ-995-HIPAA,REQ-995-SOC1,1.2.2,6.5.1,6.5.2,1.2.2,6.5.1</x:t>
        </x:is>
      </x:c>
      <x:c r="F58" s="5" t="inlineStr">
        <x:is>
          <x:t xml:space="preserve">SOC 2,SOC 2,HITRUST,HITRUST,SOC 1,SOC 1,HIPAA Security,SOC 2,HIPAA Security,SOC 1,PCI DSS v4.0,PCI DSS v4.0,PCI DSS v4.0,SOC 2,SOC 2,HITRUST,HITRUST,SOC 1,SOC 1,HIPAA Security,SOC 2,HIPAA Security,SOC 1,PCI DSS v4.0,PCI DSS v4.0,PCI DSS v4.0,SOC 2,SOC 2,HITRUST,HITRUST,SOC 1,SOC 1,HIPAA Security,SOC 2,HIPAA Security,SOC 1,PCI DSS v4.0,PCI DSS v4.0,PCI DSS v4.0,SOC 2,SOC 2,HITRUST,HITRUST,SOC 1,SOC 1,HIPAA Security,SOC 2,HIPAA Security,SOC 1,PCI DSS v4.0,PCI DSS v4.0,PCI DSS v4.0,SOC 2,SOC 2,HITRUST,HITRUST,SOC 1,SOC 1,HIPAA Security,SOC 2,HIPAA Security,SOC 1,PCI DSS v4.0,PCI DSS v4.0,PCI DSS v4.0,SOC 2,SOC 2,HITRUST,HITRUST,SOC 1,SOC 1,HIPAA Security,SOC 2,HIPAA Security,SOC 1,PCI DSS v4.0,PCI DSS v4.0,PCI DSS v4.0,PCI DSS v4.0,PCI DSS v4.0</x:t>
        </x:is>
      </x:c>
      <x:c r="G58" s="5" t="n">
        <x:v>134</x:v>
      </x:c>
      <x:c r="H58" s="5" t="n">
        <x:v>2</x:v>
      </x:c>
      <x:c r="I58" s="5" t="n">
        <x:v>2</x:v>
      </x:c>
      <x:c r="J58" s="5" t="inlineStr">
        <x:is>
          <x:t xml:space="preserve">Security</x:t>
        </x:is>
      </x:c>
      <x:c r="K58" s="5" t="inlineStr">
        <x:is>
          <x:t xml:space="preserve">PCI DSS v4.0 - ROC - Merchant</x:t>
        </x:is>
      </x:c>
      <x:c r="L58" s="5" t="n">
        <x:v>80</x:v>
      </x:c>
      <x:c r="M58" s="5" t="n">
        <x:v>13</x:v>
      </x:c>
      <x:c r="N58" s="5" t="inlineStr">
        <x:is>
          <x:t xml:space="preserve">REQ-56</x:t>
        </x:is>
      </x:c>
      <x:c r="O58" s="5" t="inlineStr">
        <x:is>
          <x:t xml:space="preserve">REQ-55</x:t>
        </x:is>
      </x:c>
      <x:c r="P58" s="5" t="inlineStr">
        <x:is>
          <x:t xml:space="preserve">06.09b1System.2</x:t>
        </x:is>
      </x:c>
      <x:c r="Q58" s="5" t="inlineStr">
        <x:is>
          <x:t xml:space="preserve">1704.03b1Organizational.12</x:t>
        </x:is>
      </x:c>
      <x:c r="R58" s="5" t="inlineStr">
        <x:is>
          <x:t xml:space="preserve">REQ-55-SOC1</x:t>
        </x:is>
      </x:c>
      <x:c r="S58" s="5" t="inlineStr">
        <x:is>
          <x:t xml:space="preserve">REQ-56-SOC1</x:t>
        </x:is>
      </x:c>
      <x:c r="T58" s="5" t="inlineStr">
        <x:is>
          <x:t xml:space="preserve">REQ-55-HIPAA</x:t>
        </x:is>
      </x:c>
      <x:c r="U58" s="5" t="inlineStr">
        <x:is>
          <x:t xml:space="preserve">REQ-995</x:t>
        </x:is>
      </x:c>
      <x:c r="V58" s="5" t="inlineStr">
        <x:is>
          <x:t xml:space="preserve">REQ-995-HIPAA</x:t>
        </x:is>
      </x:c>
      <x:c r="W58" s="5" t="inlineStr">
        <x:is>
          <x:t xml:space="preserve">REQ-995-SOC1</x:t>
        </x:is>
      </x:c>
      <x:c r="X58" s="5" t="inlineStr">
        <x:is>
          <x:t xml:space="preserve">1.2.2</x:t>
        </x:is>
      </x:c>
      <x:c r="Y58" s="5" t="inlineStr">
        <x:is>
          <x:t xml:space="preserve">6.5.1</x:t>
        </x:is>
      </x:c>
      <x:c r="Z58" s="5" t="inlineStr">
        <x:is>
          <x:t xml:space="preserve">6.5.2</x:t>
        </x:is>
      </x:c>
      <x:c r="AA58" s="5" t="n"/>
      <x:c r="AB58" s="5" t="n"/>
      <x:c r="AC58" s="5" t="n"/>
      <x:c r="AD58" s="5" t="n">
        <x:v>80</x:v>
      </x:c>
      <x:c r="AE58" s="5" t="n">
        <x:v>5</x:v>
      </x:c>
      <x:c r="AF58" s="5" t="inlineStr">
        <x:is>
          <x:t xml:space="preserve">SOC 2</x:t>
        </x:is>
      </x:c>
      <x:c r="AG58" s="5" t="inlineStr">
        <x:is>
          <x:t xml:space="preserve">HITRUST</x:t>
        </x:is>
      </x:c>
      <x:c r="AH58" s="5" t="inlineStr">
        <x:is>
          <x:t xml:space="preserve">SOC 1</x:t>
        </x:is>
      </x:c>
      <x:c r="AI58" s="5" t="inlineStr">
        <x:is>
          <x:t xml:space="preserve">HIPAA Security</x:t>
        </x:is>
      </x:c>
      <x:c r="AJ58" s="5" t="inlineStr">
        <x:is>
          <x:t xml:space="preserve">PCI DSS v4.0</x:t>
        </x:is>
      </x:c>
      <x:c r="AK58" s="5" t="n"/>
      <x:c r="AL58" s="28" t="inlineStr">
        <x:is>
          <x:t xml:space="preserve">https://docs.google.com/document/d/1W5FC1d6oqcAnoxBiPHHQMdXo6_EqhnFeiMjXq4_dX9s/edit?usp=sharing</x:t>
        </x:is>
      </x:c>
      <x:c r="AM58" s="5" t="inlineStr">
        <x:is>
          <x:t xml:space="preserve">Local controls deduped from 80 exported tokens to 13 unique button tokens. Frameworks deduped from 80 exported tokens to 5 unique button tokens.</x:t>
        </x:is>
      </x:c>
      <x:c r="AN58" s="5" t="n"/>
      <x:c r="AO58" s="5" t="n"/>
      <x:c r="AP58" s="5" t="n"/>
      <x:c r="AQ58" s="5" t="n"/>
      <x:c r="AR58" s="5" t="n"/>
      <x:c r="AS58" s="5" t="n"/>
      <x:c r="AT58" s="5" t="n"/>
      <x:c r="AU58" s="5" t="n"/>
      <x:c r="AV58" s="5" t="n"/>
      <x:c r="AW58" s="5" t="n"/>
      <x:c r="AX58" s="5" t="n"/>
      <x:c r="AY58" s="5" t="n"/>
      <x:c r="AZ58" s="5" t="n"/>
      <x:c r="BA58" s="5" t="n"/>
      <x:c r="BB58" s="5" t="n"/>
      <x:c r="BC58" s="5" t="n"/>
      <x:c r="BD58" s="5" t="n"/>
      <x:c r="BE58" s="5" t="n"/>
      <x:c r="BF58" s="5" t="n"/>
      <x:c r="BG58" s="5" t="n"/>
      <x:c r="BH58" s="5" t="n"/>
      <x:c r="BI58" s="5" t="n"/>
      <x:c r="BJ58" s="5" t="n"/>
      <x:c r="BK58" s="5" t="n"/>
      <x:c r="BL58" s="5" t="n"/>
      <x:c r="BM58" s="5" t="n"/>
      <x:c r="BN58" s="5" t="n"/>
      <x:c r="BO58" s="5" t="n"/>
      <x:c r="BP58" s="5" t="n"/>
      <x:c r="BQ58" s="5" t="n"/>
      <x:c r="BR58" s="5" t="n"/>
      <x:c r="BS58" s="5" t="n"/>
      <x:c r="BT58" s="5" t="n"/>
      <x:c r="BU58" s="5" t="n"/>
      <x:c r="BV58" s="5" t="n"/>
      <x:c r="BW58" s="5" t="n"/>
      <x:c r="BX58" s="5" t="n"/>
      <x:c r="BY58" s="5" t="n"/>
      <x:c r="BZ58" s="5" t="n"/>
      <x:c r="CA58" s="5" t="n"/>
      <x:c r="CB58" s="5" t="n"/>
      <x:c r="CC58" s="5" t="n"/>
      <x:c r="CD58" s="5" t="n"/>
      <x:c r="CE58" s="5" t="n"/>
    </x:row>
    <x:row r="59" ht="30" customHeight="1">
      <x:c r="A59" s="5" t="inlineStr">
        <x:is>
          <x:t xml:space="preserve">ER-141</x:t>
        </x:is>
      </x:c>
      <x:c r="B59" s="5" t="inlineStr">
        <x:is>
          <x:t xml:space="preserve">Population</x:t>
        </x:is>
      </x:c>
      <x:c r="C59" s="5" t="inlineStr">
        <x:is>
          <x:t xml:space="preserve">[Population] All Incidents Identified During the Review Period [INSERT EXAM PERIOD]</x:t>
        </x:is>
      </x:c>
      <x:c r="D59" s="5" t="inlineStr">
        <x:is>
          <x:t xml:space="preserve">Security</x:t>
        </x:is>
      </x:c>
      <x:c r="E59" s="5" t="inlineStr">
        <x:is>
          <x:t xml:space="preserve">REQ-50,1561.11c1Organizational.4,REQ-50-SOC1,REQ-50-HIPAA,REQ-995,REQ-995-HIPAA,REQ-995-SOC1,REQ-50,REQ-50-SOC1,REQ-50-HIPAA,REQ-995,REQ-995-HIPAA,REQ-995-SOC1,REQ-50,REQ-50-SOC1,REQ-50-HIPAA,REQ-995,REQ-995-HIPAA,REQ-995-SOC1,REQ-50,REQ-50-SOC1,REQ-50-HIPAA,REQ-995,REQ-995-HIPAA,REQ-995-SOC1,REQ-50,REQ-50-SOC1,REQ-50-HIPAA,REQ-995,REQ-995-HIPAA,REQ-995-SOC1,REQ-50,REQ-50-SOC1,REQ-50-HIPAA,REQ-995,REQ-995-HIPAA,REQ-995-SOC1,REQ-50,1561.11c1Organizational.4,REQ-50-SOC1,REQ-50-HIPAA,REQ-995,REQ-995-HIPAA,REQ-995-SOC1,REQ-50,REQ-50-SOC1,REQ-50-HIPAA,REQ-995,REQ-995-HIPAA,REQ-995-SOC1,REQ-50,REQ-50-SOC1,REQ-50-HIPAA,REQ-995,REQ-995-HIPAA,REQ-995-SOC1</x:t>
        </x:is>
      </x:c>
      <x:c r="F59" s="5" t="inlineStr">
        <x:is>
          <x:t xml:space="preserve">SOC 2,HITRUST,SOC 1,HIPAA Security,SOC 2,HIPAA Security,SOC 1,SOC 2,SOC 1,HIPAA Security,SOC 2,HIPAA Security,SOC 1,SOC 2,SOC 1,HIPAA Security,SOC 2,HIPAA Security,SOC 1,SOC 2,SOC 1,HIPAA Security,SOC 2,HIPAA Security,SOC 1,SOC 2,SOC 1,HIPAA Security,SOC 2,HIPAA Security,SOC 1,SOC 2,SOC 1,HIPAA Security,SOC 2,HIPAA Security,SOC 1,SOC 2,HITRUST,SOC 1,HIPAA Security,SOC 2,HIPAA Security,SOC 1,SOC 2,SOC 1,HIPAA Security,SOC 2,HIPAA Security,SOC 1,SOC 2,SOC 1,HIPAA Security,SOC 2,HIPAA Security,SOC 1</x:t>
        </x:is>
      </x:c>
      <x:c r="G59" s="5" t="n">
        <x:v>136</x:v>
      </x:c>
      <x:c r="H59" s="5" t="n">
        <x:v>1</x:v>
      </x:c>
      <x:c r="I59" s="5" t="n">
        <x:v>1</x:v>
      </x:c>
      <x:c r="J59" s="5" t="inlineStr">
        <x:is>
          <x:t xml:space="preserve">Security</x:t>
        </x:is>
      </x:c>
      <x:c r="K59" s="5" t="n"/>
      <x:c r="L59" s="5" t="n">
        <x:v>56</x:v>
      </x:c>
      <x:c r="M59" s="5" t="n">
        <x:v>7</x:v>
      </x:c>
      <x:c r="N59" s="5" t="inlineStr">
        <x:is>
          <x:t xml:space="preserve">REQ-50</x:t>
        </x:is>
      </x:c>
      <x:c r="O59" s="5" t="inlineStr">
        <x:is>
          <x:t xml:space="preserve">1561.11c1Organizational.4</x:t>
        </x:is>
      </x:c>
      <x:c r="P59" s="5" t="inlineStr">
        <x:is>
          <x:t xml:space="preserve">REQ-50-SOC1</x:t>
        </x:is>
      </x:c>
      <x:c r="Q59" s="5" t="inlineStr">
        <x:is>
          <x:t xml:space="preserve">REQ-50-HIPAA</x:t>
        </x:is>
      </x:c>
      <x:c r="R59" s="5" t="inlineStr">
        <x:is>
          <x:t xml:space="preserve">REQ-995</x:t>
        </x:is>
      </x:c>
      <x:c r="S59" s="5" t="inlineStr">
        <x:is>
          <x:t xml:space="preserve">REQ-995-HIPAA</x:t>
        </x:is>
      </x:c>
      <x:c r="T59" s="5" t="inlineStr">
        <x:is>
          <x:t xml:space="preserve">REQ-995-SOC1</x:t>
        </x:is>
      </x:c>
      <x:c r="U59" s="5" t="n"/>
      <x:c r="V59" s="5" t="n"/>
      <x:c r="W59" s="5" t="n"/>
      <x:c r="X59" s="5" t="n"/>
      <x:c r="Y59" s="5" t="n"/>
      <x:c r="Z59" s="5" t="n"/>
      <x:c r="AA59" s="5" t="n"/>
      <x:c r="AB59" s="5" t="n"/>
      <x:c r="AC59" s="5" t="n"/>
      <x:c r="AD59" s="5" t="n">
        <x:v>56</x:v>
      </x:c>
      <x:c r="AE59" s="5" t="n">
        <x:v>4</x:v>
      </x:c>
      <x:c r="AF59" s="5" t="inlineStr">
        <x:is>
          <x:t xml:space="preserve">SOC 2</x:t>
        </x:is>
      </x:c>
      <x:c r="AG59" s="5" t="inlineStr">
        <x:is>
          <x:t xml:space="preserve">HITRUST</x:t>
        </x:is>
      </x:c>
      <x:c r="AH59" s="5" t="inlineStr">
        <x:is>
          <x:t xml:space="preserve">SOC 1</x:t>
        </x:is>
      </x:c>
      <x:c r="AI59" s="5" t="inlineStr">
        <x:is>
          <x:t xml:space="preserve">HIPAA Security</x:t>
        </x:is>
      </x:c>
      <x:c r="AJ59" s="5" t="n"/>
      <x:c r="AK59" s="5" t="n"/>
      <x:c r="AL59" s="28" t="inlineStr">
        <x:is>
          <x:t xml:space="preserve">https://docs.google.com/document/d/1W5FC1d6oqcAnoxBiPHHQMdXo6_EqhnFeiMjXq4_dX9s/edit?usp=sharing</x:t>
        </x:is>
      </x:c>
      <x:c r="AM59" s="5" t="inlineStr">
        <x:is>
          <x:t xml:space="preserve">Local controls deduped from 56 exported tokens to 7 unique button tokens. Frameworks deduped from 56 exported tokens to 4 unique button tokens.</x:t>
        </x:is>
      </x:c>
      <x:c r="AN59" s="5" t="n"/>
      <x:c r="AO59" s="5" t="n"/>
      <x:c r="AP59" s="5" t="n"/>
      <x:c r="AQ59" s="5" t="n"/>
      <x:c r="AR59" s="5" t="n"/>
      <x:c r="AS59" s="5" t="n"/>
      <x:c r="AT59" s="5" t="n"/>
      <x:c r="AU59" s="5" t="n"/>
      <x:c r="AV59" s="5" t="n"/>
      <x:c r="AW59" s="5" t="n"/>
      <x:c r="AX59" s="5" t="n"/>
      <x:c r="AY59" s="5" t="n"/>
      <x:c r="AZ59" s="5" t="n"/>
      <x:c r="BA59" s="5" t="n"/>
      <x:c r="BB59" s="5" t="n"/>
      <x:c r="BC59" s="5" t="n"/>
      <x:c r="BD59" s="5" t="n"/>
      <x:c r="BE59" s="5" t="n"/>
      <x:c r="BF59" s="5" t="n"/>
      <x:c r="BG59" s="5" t="n"/>
      <x:c r="BH59" s="5" t="n"/>
      <x:c r="BI59" s="5" t="n"/>
      <x:c r="BJ59" s="5" t="n"/>
      <x:c r="BK59" s="5" t="n"/>
      <x:c r="BL59" s="5" t="n"/>
      <x:c r="BM59" s="5" t="n"/>
      <x:c r="BN59" s="5" t="n"/>
      <x:c r="BO59" s="5" t="n"/>
      <x:c r="BP59" s="5" t="n"/>
      <x:c r="BQ59" s="5" t="n"/>
      <x:c r="BR59" s="5" t="n"/>
      <x:c r="BS59" s="5" t="n"/>
      <x:c r="BT59" s="5" t="n"/>
      <x:c r="BU59" s="5" t="n"/>
      <x:c r="BV59" s="5" t="n"/>
      <x:c r="BW59" s="5" t="n"/>
      <x:c r="BX59" s="5" t="n"/>
      <x:c r="BY59" s="5" t="n"/>
      <x:c r="BZ59" s="5" t="n"/>
      <x:c r="CA59" s="5" t="n"/>
      <x:c r="CB59" s="5" t="n"/>
      <x:c r="CC59" s="5" t="n"/>
      <x:c r="CD59" s="5" t="n"/>
      <x:c r="CE59" s="5" t="n"/>
    </x:row>
    <x:row r="60" ht="30" customHeight="1">
      <x:c r="A60" s="5" t="inlineStr">
        <x:is>
          <x:t xml:space="preserve">ER-142</x:t>
        </x:is>
      </x:c>
      <x:c r="B60" s="5" t="inlineStr">
        <x:is>
          <x:t xml:space="preserve">Population</x:t>
        </x:is>
      </x:c>
      <x:c r="C60" s="5" t="inlineStr">
        <x:is>
          <x:t xml:space="preserve">[Population] All Endpoints</x:t>
        </x:is>
      </x:c>
      <x:c r="D60" s="5" t="n"/>
      <x:c r="E60" s="5" t="inlineStr">
        <x:is>
          <x:t xml:space="preserve">0226.09k1Organizational.2,0265.09m1Organizational.2,0226.09k1Organizational.2,0265.09m1Organizational.2,0226.09k1Organizational.2,0265.09m1Organizational.2</x:t>
        </x:is>
      </x:c>
      <x:c r="F60" s="5" t="inlineStr">
        <x:is>
          <x:t xml:space="preserve">HITRUST,HITRUST,HITRUST,HITRUST,HITRUST,HITRUST</x:t>
        </x:is>
      </x:c>
      <x:c r="G60" s="5" t="n">
        <x:v>137</x:v>
      </x:c>
      <x:c r="H60" s="5" t="n">
        <x:v>0</x:v>
      </x:c>
      <x:c r="I60" s="5" t="n">
        <x:v>0</x:v>
      </x:c>
      <x:c r="J60" s="5" t="n"/>
      <x:c r="K60" s="5" t="n"/>
      <x:c r="L60" s="5" t="n">
        <x:v>6</x:v>
      </x:c>
      <x:c r="M60" s="5" t="n">
        <x:v>2</x:v>
      </x:c>
      <x:c r="N60" s="5" t="inlineStr">
        <x:is>
          <x:t xml:space="preserve">0226.09k1Organizational.2</x:t>
        </x:is>
      </x:c>
      <x:c r="O60" s="5" t="inlineStr">
        <x:is>
          <x:t xml:space="preserve">0265.09m1Organizational.2</x:t>
        </x:is>
      </x:c>
      <x:c r="P60" s="5" t="n"/>
      <x:c r="Q60" s="5" t="n"/>
      <x:c r="R60" s="5" t="n"/>
      <x:c r="S60" s="5" t="n"/>
      <x:c r="T60" s="5" t="n"/>
      <x:c r="U60" s="5" t="n"/>
      <x:c r="V60" s="5" t="n"/>
      <x:c r="W60" s="5" t="n"/>
      <x:c r="X60" s="5" t="n"/>
      <x:c r="Y60" s="5" t="n"/>
      <x:c r="Z60" s="5" t="n"/>
      <x:c r="AA60" s="5" t="n"/>
      <x:c r="AB60" s="5" t="n"/>
      <x:c r="AC60" s="5" t="n"/>
      <x:c r="AD60" s="5" t="n">
        <x:v>6</x:v>
      </x:c>
      <x:c r="AE60" s="5" t="n">
        <x:v>1</x:v>
      </x:c>
      <x:c r="AF60" s="5" t="inlineStr">
        <x:is>
          <x:t xml:space="preserve">HITRUST</x:t>
        </x:is>
      </x:c>
      <x:c r="AG60" s="5" t="n"/>
      <x:c r="AH60" s="5" t="n"/>
      <x:c r="AI60" s="5" t="n"/>
      <x:c r="AJ60" s="5" t="n"/>
      <x:c r="AK60" s="5" t="n"/>
      <x:c r="AL60" s="28" t="inlineStr">
        <x:is>
          <x:t xml:space="preserve">https://docs.google.com/document/d/1W5FC1d6oqcAnoxBiPHHQMdXo6_EqhnFeiMjXq4_dX9s/edit?usp=sharing</x:t>
        </x:is>
      </x:c>
      <x:c r="AM60" s="5" t="inlineStr">
        <x:is>
          <x:t xml:space="preserve">Local controls deduped from 6 exported tokens to 2 unique button tokens. Frameworks deduped from 6 exported tokens to 1 unique button tokens.</x:t>
        </x:is>
      </x:c>
      <x:c r="AN60" s="5" t="n"/>
      <x:c r="AO60" s="5" t="n"/>
      <x:c r="AP60" s="5" t="n"/>
      <x:c r="AQ60" s="5" t="n"/>
      <x:c r="AR60" s="5" t="n"/>
      <x:c r="AS60" s="5" t="n"/>
      <x:c r="AT60" s="5" t="n"/>
      <x:c r="AU60" s="5" t="n"/>
      <x:c r="AV60" s="5" t="n"/>
      <x:c r="AW60" s="5" t="n"/>
      <x:c r="AX60" s="5" t="n"/>
      <x:c r="AY60" s="5" t="n"/>
      <x:c r="AZ60" s="5" t="n"/>
      <x:c r="BA60" s="5" t="n"/>
      <x:c r="BB60" s="5" t="n"/>
      <x:c r="BC60" s="5" t="n"/>
      <x:c r="BD60" s="5" t="n"/>
      <x:c r="BE60" s="5" t="n"/>
      <x:c r="BF60" s="5" t="n"/>
      <x:c r="BG60" s="5" t="n"/>
      <x:c r="BH60" s="5" t="n"/>
      <x:c r="BI60" s="5" t="n"/>
      <x:c r="BJ60" s="5" t="n"/>
      <x:c r="BK60" s="5" t="n"/>
      <x:c r="BL60" s="5" t="n"/>
      <x:c r="BM60" s="5" t="n"/>
      <x:c r="BN60" s="5" t="n"/>
      <x:c r="BO60" s="5" t="n"/>
      <x:c r="BP60" s="5" t="n"/>
      <x:c r="BQ60" s="5" t="n"/>
      <x:c r="BR60" s="5" t="n"/>
      <x:c r="BS60" s="5" t="n"/>
      <x:c r="BT60" s="5" t="n"/>
      <x:c r="BU60" s="5" t="n"/>
      <x:c r="BV60" s="5" t="n"/>
      <x:c r="BW60" s="5" t="n"/>
      <x:c r="BX60" s="5" t="n"/>
      <x:c r="BY60" s="5" t="n"/>
      <x:c r="BZ60" s="5" t="n"/>
      <x:c r="CA60" s="5" t="n"/>
      <x:c r="CB60" s="5" t="n"/>
      <x:c r="CC60" s="5" t="n"/>
      <x:c r="CD60" s="5" t="n"/>
      <x:c r="CE60" s="5" t="n"/>
    </x:row>
    <x:row r="61" ht="30" customHeight="1">
      <x:c r="A61" s="5" t="inlineStr">
        <x:is>
          <x:t xml:space="preserve">ER-143</x:t>
        </x:is>
      </x:c>
      <x:c r="B61" s="5" t="inlineStr">
        <x:is>
          <x:t xml:space="preserve">Population</x:t>
        </x:is>
      </x:c>
      <x:c r="C61" s="5" t="inlineStr">
        <x:is>
          <x:t xml:space="preserve">[Population] All Wireless Access Points</x:t>
        </x:is>
      </x:c>
      <x:c r="D61" s="5" t="n"/>
      <x:c r="E61" s="5" t="inlineStr">
        <x:is>
          <x:t xml:space="preserve">0502.09m1Organizational.5,0502.09m1Organizational.5,0502.09m1Organizational.5,0502.09m1Organizational.5</x:t>
        </x:is>
      </x:c>
      <x:c r="F61" s="5" t="inlineStr">
        <x:is>
          <x:t xml:space="preserve">HITRUST,HITRUST,HITRUST,HITRUST</x:t>
        </x:is>
      </x:c>
      <x:c r="G61" s="5" t="n">
        <x:v>138</x:v>
      </x:c>
      <x:c r="H61" s="5" t="n">
        <x:v>0</x:v>
      </x:c>
      <x:c r="I61" s="5" t="n">
        <x:v>0</x:v>
      </x:c>
      <x:c r="J61" s="5" t="n"/>
      <x:c r="K61" s="5" t="n"/>
      <x:c r="L61" s="5" t="n">
        <x:v>4</x:v>
      </x:c>
      <x:c r="M61" s="5" t="n">
        <x:v>1</x:v>
      </x:c>
      <x:c r="N61" s="5" t="inlineStr">
        <x:is>
          <x:t xml:space="preserve">0502.09m1Organizational.5</x:t>
        </x:is>
      </x:c>
      <x:c r="O61" s="5" t="n"/>
      <x:c r="P61" s="5" t="n"/>
      <x:c r="Q61" s="5" t="n"/>
      <x:c r="R61" s="5" t="n"/>
      <x:c r="S61" s="5" t="n"/>
      <x:c r="T61" s="5" t="n"/>
      <x:c r="U61" s="5" t="n"/>
      <x:c r="V61" s="5" t="n"/>
      <x:c r="W61" s="5" t="n"/>
      <x:c r="X61" s="5" t="n"/>
      <x:c r="Y61" s="5" t="n"/>
      <x:c r="Z61" s="5" t="n"/>
      <x:c r="AA61" s="5" t="n"/>
      <x:c r="AB61" s="5" t="n"/>
      <x:c r="AC61" s="5" t="n"/>
      <x:c r="AD61" s="5" t="n">
        <x:v>4</x:v>
      </x:c>
      <x:c r="AE61" s="5" t="n">
        <x:v>1</x:v>
      </x:c>
      <x:c r="AF61" s="5" t="inlineStr">
        <x:is>
          <x:t xml:space="preserve">HITRUST</x:t>
        </x:is>
      </x:c>
      <x:c r="AG61" s="5" t="n"/>
      <x:c r="AH61" s="5" t="n"/>
      <x:c r="AI61" s="5" t="n"/>
      <x:c r="AJ61" s="5" t="n"/>
      <x:c r="AK61" s="5" t="n"/>
      <x:c r="AL61" s="28" t="inlineStr">
        <x:is>
          <x:t xml:space="preserve">https://docs.google.com/document/d/1W5FC1d6oqcAnoxBiPHHQMdXo6_EqhnFeiMjXq4_dX9s/edit?usp=sharing</x:t>
        </x:is>
      </x:c>
      <x:c r="AM61" s="5" t="inlineStr">
        <x:is>
          <x:t xml:space="preserve">Local controls deduped from 4 exported tokens to 1 unique button tokens. Frameworks deduped from 4 exported tokens to 1 unique button tokens.</x:t>
        </x:is>
      </x:c>
      <x:c r="AN61" s="5" t="n"/>
      <x:c r="AO61" s="5" t="n"/>
      <x:c r="AP61" s="5" t="n"/>
      <x:c r="AQ61" s="5" t="n"/>
      <x:c r="AR61" s="5" t="n"/>
      <x:c r="AS61" s="5" t="n"/>
      <x:c r="AT61" s="5" t="n"/>
      <x:c r="AU61" s="5" t="n"/>
      <x:c r="AV61" s="5" t="n"/>
      <x:c r="AW61" s="5" t="n"/>
      <x:c r="AX61" s="5" t="n"/>
      <x:c r="AY61" s="5" t="n"/>
      <x:c r="AZ61" s="5" t="n"/>
      <x:c r="BA61" s="5" t="n"/>
      <x:c r="BB61" s="5" t="n"/>
      <x:c r="BC61" s="5" t="n"/>
      <x:c r="BD61" s="5" t="n"/>
      <x:c r="BE61" s="5" t="n"/>
      <x:c r="BF61" s="5" t="n"/>
      <x:c r="BG61" s="5" t="n"/>
      <x:c r="BH61" s="5" t="n"/>
      <x:c r="BI61" s="5" t="n"/>
      <x:c r="BJ61" s="5" t="n"/>
      <x:c r="BK61" s="5" t="n"/>
      <x:c r="BL61" s="5" t="n"/>
      <x:c r="BM61" s="5" t="n"/>
      <x:c r="BN61" s="5" t="n"/>
      <x:c r="BO61" s="5" t="n"/>
      <x:c r="BP61" s="5" t="n"/>
      <x:c r="BQ61" s="5" t="n"/>
      <x:c r="BR61" s="5" t="n"/>
      <x:c r="BS61" s="5" t="n"/>
      <x:c r="BT61" s="5" t="n"/>
      <x:c r="BU61" s="5" t="n"/>
      <x:c r="BV61" s="5" t="n"/>
      <x:c r="BW61" s="5" t="n"/>
      <x:c r="BX61" s="5" t="n"/>
      <x:c r="BY61" s="5" t="n"/>
      <x:c r="BZ61" s="5" t="n"/>
      <x:c r="CA61" s="5" t="n"/>
      <x:c r="CB61" s="5" t="n"/>
      <x:c r="CC61" s="5" t="n"/>
      <x:c r="CD61" s="5" t="n"/>
      <x:c r="CE61" s="5" t="n"/>
    </x:row>
    <x:row r="62" ht="30" customHeight="1">
      <x:c r="A62" s="5" t="inlineStr">
        <x:is>
          <x:t xml:space="preserve">ER-144</x:t>
        </x:is>
      </x:c>
      <x:c r="B62" s="5" t="inlineStr">
        <x:is>
          <x:t xml:space="preserve">Population</x:t>
        </x:is>
      </x:c>
      <x:c r="C62" s="5" t="inlineStr">
        <x:is>
          <x:t xml:space="preserve">[Population] All Information Systems</x:t>
        </x:is>
      </x:c>
      <x:c r="D62" s="5" t="n"/>
      <x:c r="E62" s="5" t="inlineStr">
        <x:is>
          <x:t xml:space="preserve">07.10m1Organizational.2,07.10m1Organizational.3,1023.01d1System.11,1143.01c1System.123,1151.01c1System.2,07.10m1Organizational.2,07.10m1Organizational.3,1023.01d1System.11,1143.01c1System.123,1151.01c1System.2,07.10m1Organizational.2,07.10m1Organizational.3,1023.01d1System.11,1143.01c1System.123,1151.01c1System.2,07.10m1Organizational.2,07.10m1Organizational.3,1023.01d1System.11,1143.01c1System.123,1151.01c1System.2</x:t>
        </x:is>
      </x:c>
      <x:c r="F62" s="5" t="inlineStr">
        <x:is>
          <x:t xml:space="preserve">HITRUST,HITRUST,HITRUST,HITRUST,HITRUST,HITRUST,HITRUST,HITRUST,HITRUST,HITRUST,HITRUST,HITRUST,HITRUST,HITRUST,HITRUST,HITRUST,HITRUST,HITRUST,HITRUST,HITRUST</x:t>
        </x:is>
      </x:c>
      <x:c r="G62" s="5" t="n">
        <x:v>139</x:v>
      </x:c>
      <x:c r="H62" s="5" t="n">
        <x:v>0</x:v>
      </x:c>
      <x:c r="I62" s="5" t="n">
        <x:v>0</x:v>
      </x:c>
      <x:c r="J62" s="5" t="n"/>
      <x:c r="K62" s="5" t="n"/>
      <x:c r="L62" s="5" t="n">
        <x:v>20</x:v>
      </x:c>
      <x:c r="M62" s="5" t="n">
        <x:v>5</x:v>
      </x:c>
      <x:c r="N62" s="5" t="inlineStr">
        <x:is>
          <x:t xml:space="preserve">07.10m1Organizational.2</x:t>
        </x:is>
      </x:c>
      <x:c r="O62" s="5" t="inlineStr">
        <x:is>
          <x:t xml:space="preserve">07.10m1Organizational.3</x:t>
        </x:is>
      </x:c>
      <x:c r="P62" s="5" t="inlineStr">
        <x:is>
          <x:t xml:space="preserve">1023.01d1System.11</x:t>
        </x:is>
      </x:c>
      <x:c r="Q62" s="5" t="inlineStr">
        <x:is>
          <x:t xml:space="preserve">1143.01c1System.123</x:t>
        </x:is>
      </x:c>
      <x:c r="R62" s="5" t="inlineStr">
        <x:is>
          <x:t xml:space="preserve">1151.01c1System.2</x:t>
        </x:is>
      </x:c>
      <x:c r="S62" s="5" t="n"/>
      <x:c r="T62" s="5" t="n"/>
      <x:c r="U62" s="5" t="n"/>
      <x:c r="V62" s="5" t="n"/>
      <x:c r="W62" s="5" t="n"/>
      <x:c r="X62" s="5" t="n"/>
      <x:c r="Y62" s="5" t="n"/>
      <x:c r="Z62" s="5" t="n"/>
      <x:c r="AA62" s="5" t="n"/>
      <x:c r="AB62" s="5" t="n"/>
      <x:c r="AC62" s="5" t="n"/>
      <x:c r="AD62" s="5" t="n">
        <x:v>20</x:v>
      </x:c>
      <x:c r="AE62" s="5" t="n">
        <x:v>1</x:v>
      </x:c>
      <x:c r="AF62" s="5" t="inlineStr">
        <x:is>
          <x:t xml:space="preserve">HITRUST</x:t>
        </x:is>
      </x:c>
      <x:c r="AG62" s="5" t="n"/>
      <x:c r="AH62" s="5" t="n"/>
      <x:c r="AI62" s="5" t="n"/>
      <x:c r="AJ62" s="5" t="n"/>
      <x:c r="AK62" s="5" t="n"/>
      <x:c r="AL62" s="28" t="inlineStr">
        <x:is>
          <x:t xml:space="preserve">https://docs.google.com/document/d/1W5FC1d6oqcAnoxBiPHHQMdXo6_EqhnFeiMjXq4_dX9s/edit?usp=sharing</x:t>
        </x:is>
      </x:c>
      <x:c r="AM62" s="5" t="inlineStr">
        <x:is>
          <x:t xml:space="preserve">Local controls deduped from 20 exported tokens to 5 unique button tokens. Frameworks deduped from 20 exported tokens to 1 unique button tokens.</x:t>
        </x:is>
      </x:c>
      <x:c r="AN62" s="5" t="n"/>
      <x:c r="AO62" s="5" t="n"/>
      <x:c r="AP62" s="5" t="n"/>
      <x:c r="AQ62" s="5" t="n"/>
      <x:c r="AR62" s="5" t="n"/>
      <x:c r="AS62" s="5" t="n"/>
      <x:c r="AT62" s="5" t="n"/>
      <x:c r="AU62" s="5" t="n"/>
      <x:c r="AV62" s="5" t="n"/>
      <x:c r="AW62" s="5" t="n"/>
      <x:c r="AX62" s="5" t="n"/>
      <x:c r="AY62" s="5" t="n"/>
      <x:c r="AZ62" s="5" t="n"/>
      <x:c r="BA62" s="5" t="n"/>
      <x:c r="BB62" s="5" t="n"/>
      <x:c r="BC62" s="5" t="n"/>
      <x:c r="BD62" s="5" t="n"/>
      <x:c r="BE62" s="5" t="n"/>
      <x:c r="BF62" s="5" t="n"/>
      <x:c r="BG62" s="5" t="n"/>
      <x:c r="BH62" s="5" t="n"/>
      <x:c r="BI62" s="5" t="n"/>
      <x:c r="BJ62" s="5" t="n"/>
      <x:c r="BK62" s="5" t="n"/>
      <x:c r="BL62" s="5" t="n"/>
      <x:c r="BM62" s="5" t="n"/>
      <x:c r="BN62" s="5" t="n"/>
      <x:c r="BO62" s="5" t="n"/>
      <x:c r="BP62" s="5" t="n"/>
      <x:c r="BQ62" s="5" t="n"/>
      <x:c r="BR62" s="5" t="n"/>
      <x:c r="BS62" s="5" t="n"/>
      <x:c r="BT62" s="5" t="n"/>
      <x:c r="BU62" s="5" t="n"/>
      <x:c r="BV62" s="5" t="n"/>
      <x:c r="BW62" s="5" t="n"/>
      <x:c r="BX62" s="5" t="n"/>
      <x:c r="BY62" s="5" t="n"/>
      <x:c r="BZ62" s="5" t="n"/>
      <x:c r="CA62" s="5" t="n"/>
      <x:c r="CB62" s="5" t="n"/>
      <x:c r="CC62" s="5" t="n"/>
      <x:c r="CD62" s="5" t="n"/>
      <x:c r="CE62" s="5" t="n"/>
    </x:row>
    <x:row r="63" ht="30" customHeight="1">
      <x:c r="A63" s="5" t="inlineStr">
        <x:is>
          <x:t xml:space="preserve">ER-145</x:t>
        </x:is>
      </x:c>
      <x:c r="B63" s="5" t="inlineStr">
        <x:is>
          <x:t xml:space="preserve">Population</x:t>
        </x:is>
      </x:c>
      <x:c r="C63" s="5" t="inlineStr">
        <x:is>
          <x:t xml:space="preserve">[Population] All Network Devices</x:t>
        </x:is>
      </x:c>
      <x:c r="D63" s="5" t="n"/>
      <x:c r="E63" s="5" t="inlineStr">
        <x:is>
          <x:t xml:space="preserve">1023.01d1System.11,1023.01d1System.11,1023.01d1System.11,1023.01d1System.11</x:t>
        </x:is>
      </x:c>
      <x:c r="F63" s="5" t="inlineStr">
        <x:is>
          <x:t xml:space="preserve">HITRUST,HITRUST,HITRUST,HITRUST</x:t>
        </x:is>
      </x:c>
      <x:c r="G63" s="5" t="n">
        <x:v>140</x:v>
      </x:c>
      <x:c r="H63" s="5" t="n">
        <x:v>0</x:v>
      </x:c>
      <x:c r="I63" s="5" t="n">
        <x:v>0</x:v>
      </x:c>
      <x:c r="J63" s="5" t="n"/>
      <x:c r="K63" s="5" t="n"/>
      <x:c r="L63" s="5" t="n">
        <x:v>4</x:v>
      </x:c>
      <x:c r="M63" s="5" t="n">
        <x:v>1</x:v>
      </x:c>
      <x:c r="N63" s="5" t="inlineStr">
        <x:is>
          <x:t xml:space="preserve">1023.01d1System.11</x:t>
        </x:is>
      </x:c>
      <x:c r="O63" s="5" t="n"/>
      <x:c r="P63" s="5" t="n"/>
      <x:c r="Q63" s="5" t="n"/>
      <x:c r="R63" s="5" t="n"/>
      <x:c r="S63" s="5" t="n"/>
      <x:c r="T63" s="5" t="n"/>
      <x:c r="U63" s="5" t="n"/>
      <x:c r="V63" s="5" t="n"/>
      <x:c r="W63" s="5" t="n"/>
      <x:c r="X63" s="5" t="n"/>
      <x:c r="Y63" s="5" t="n"/>
      <x:c r="Z63" s="5" t="n"/>
      <x:c r="AA63" s="5" t="n"/>
      <x:c r="AB63" s="5" t="n"/>
      <x:c r="AC63" s="5" t="n"/>
      <x:c r="AD63" s="5" t="n">
        <x:v>4</x:v>
      </x:c>
      <x:c r="AE63" s="5" t="n">
        <x:v>1</x:v>
      </x:c>
      <x:c r="AF63" s="5" t="inlineStr">
        <x:is>
          <x:t xml:space="preserve">HITRUST</x:t>
        </x:is>
      </x:c>
      <x:c r="AG63" s="5" t="n"/>
      <x:c r="AH63" s="5" t="n"/>
      <x:c r="AI63" s="5" t="n"/>
      <x:c r="AJ63" s="5" t="n"/>
      <x:c r="AK63" s="5" t="n"/>
      <x:c r="AL63" s="28" t="inlineStr">
        <x:is>
          <x:t xml:space="preserve">https://docs.google.com/document/d/1W5FC1d6oqcAnoxBiPHHQMdXo6_EqhnFeiMjXq4_dX9s/edit?usp=sharing</x:t>
        </x:is>
      </x:c>
      <x:c r="AM63" s="5" t="inlineStr">
        <x:is>
          <x:t xml:space="preserve">Local controls deduped from 4 exported tokens to 1 unique button tokens. Frameworks deduped from 4 exported tokens to 1 unique button tokens.</x:t>
        </x:is>
      </x:c>
      <x:c r="AN63" s="5" t="n"/>
      <x:c r="AO63" s="5" t="n"/>
      <x:c r="AP63" s="5" t="n"/>
      <x:c r="AQ63" s="5" t="n"/>
      <x:c r="AR63" s="5" t="n"/>
      <x:c r="AS63" s="5" t="n"/>
      <x:c r="AT63" s="5" t="n"/>
      <x:c r="AU63" s="5" t="n"/>
      <x:c r="AV63" s="5" t="n"/>
      <x:c r="AW63" s="5" t="n"/>
      <x:c r="AX63" s="5" t="n"/>
      <x:c r="AY63" s="5" t="n"/>
      <x:c r="AZ63" s="5" t="n"/>
      <x:c r="BA63" s="5" t="n"/>
      <x:c r="BB63" s="5" t="n"/>
      <x:c r="BC63" s="5" t="n"/>
      <x:c r="BD63" s="5" t="n"/>
      <x:c r="BE63" s="5" t="n"/>
      <x:c r="BF63" s="5" t="n"/>
      <x:c r="BG63" s="5" t="n"/>
      <x:c r="BH63" s="5" t="n"/>
      <x:c r="BI63" s="5" t="n"/>
      <x:c r="BJ63" s="5" t="n"/>
      <x:c r="BK63" s="5" t="n"/>
      <x:c r="BL63" s="5" t="n"/>
      <x:c r="BM63" s="5" t="n"/>
      <x:c r="BN63" s="5" t="n"/>
      <x:c r="BO63" s="5" t="n"/>
      <x:c r="BP63" s="5" t="n"/>
      <x:c r="BQ63" s="5" t="n"/>
      <x:c r="BR63" s="5" t="n"/>
      <x:c r="BS63" s="5" t="n"/>
      <x:c r="BT63" s="5" t="n"/>
      <x:c r="BU63" s="5" t="n"/>
      <x:c r="BV63" s="5" t="n"/>
      <x:c r="BW63" s="5" t="n"/>
      <x:c r="BX63" s="5" t="n"/>
      <x:c r="BY63" s="5" t="n"/>
      <x:c r="BZ63" s="5" t="n"/>
      <x:c r="CA63" s="5" t="n"/>
      <x:c r="CB63" s="5" t="n"/>
      <x:c r="CC63" s="5" t="n"/>
      <x:c r="CD63" s="5" t="n"/>
      <x:c r="CE63" s="5" t="n"/>
    </x:row>
    <x:row r="64" ht="30" customHeight="1">
      <x:c r="A64" s="5" t="inlineStr">
        <x:is>
          <x:t xml:space="preserve">ER-146</x:t>
        </x:is>
      </x:c>
      <x:c r="B64" s="5" t="inlineStr">
        <x:is>
          <x:t xml:space="preserve">Population</x:t>
        </x:is>
      </x:c>
      <x:c r="C64" s="5" t="inlineStr">
        <x:is>
          <x:t xml:space="preserve">[Population] All New Hires for the Observation Period [INSERT EXAM PERIOD]</x:t>
        </x:is>
      </x:c>
      <x:c r="D64" s="5" t="n"/>
      <x:c r="E64" s="5" t="inlineStr">
        <x:is>
          <x:t xml:space="preserve">13998.02e1Organizational.2,13.02e1Organizational.6,13998.02e1Organizational.2,13.02e1Organizational.6,13998.02e1Organizational.2,13.02e1Organizational.6,13998.02e1Organizational.2,13.02e1Organizational.6</x:t>
        </x:is>
      </x:c>
      <x:c r="F64" s="5" t="inlineStr">
        <x:is>
          <x:t xml:space="preserve">HITRUST,HITRUST,HITRUST,HITRUST,HITRUST,HITRUST,HITRUST,HITRUST</x:t>
        </x:is>
      </x:c>
      <x:c r="G64" s="5" t="n">
        <x:v>141</x:v>
      </x:c>
      <x:c r="H64" s="5" t="n">
        <x:v>0</x:v>
      </x:c>
      <x:c r="I64" s="5" t="n">
        <x:v>0</x:v>
      </x:c>
      <x:c r="J64" s="5" t="n"/>
      <x:c r="K64" s="5" t="n"/>
      <x:c r="L64" s="5" t="n">
        <x:v>8</x:v>
      </x:c>
      <x:c r="M64" s="5" t="n">
        <x:v>2</x:v>
      </x:c>
      <x:c r="N64" s="5" t="inlineStr">
        <x:is>
          <x:t xml:space="preserve">13998.02e1Organizational.2</x:t>
        </x:is>
      </x:c>
      <x:c r="O64" s="5" t="inlineStr">
        <x:is>
          <x:t xml:space="preserve">13.02e1Organizational.6</x:t>
        </x:is>
      </x:c>
      <x:c r="P64" s="5" t="n"/>
      <x:c r="Q64" s="5" t="n"/>
      <x:c r="R64" s="5" t="n"/>
      <x:c r="S64" s="5" t="n"/>
      <x:c r="T64" s="5" t="n"/>
      <x:c r="U64" s="5" t="n"/>
      <x:c r="V64" s="5" t="n"/>
      <x:c r="W64" s="5" t="n"/>
      <x:c r="X64" s="5" t="n"/>
      <x:c r="Y64" s="5" t="n"/>
      <x:c r="Z64" s="5" t="n"/>
      <x:c r="AA64" s="5" t="n"/>
      <x:c r="AB64" s="5" t="n"/>
      <x:c r="AC64" s="5" t="n"/>
      <x:c r="AD64" s="5" t="n">
        <x:v>8</x:v>
      </x:c>
      <x:c r="AE64" s="5" t="n">
        <x:v>1</x:v>
      </x:c>
      <x:c r="AF64" s="5" t="inlineStr">
        <x:is>
          <x:t xml:space="preserve">HITRUST</x:t>
        </x:is>
      </x:c>
      <x:c r="AG64" s="5" t="n"/>
      <x:c r="AH64" s="5" t="n"/>
      <x:c r="AI64" s="5" t="n"/>
      <x:c r="AJ64" s="5" t="n"/>
      <x:c r="AK64" s="5" t="n"/>
      <x:c r="AL64" s="28" t="inlineStr">
        <x:is>
          <x:t xml:space="preserve">https://docs.google.com/document/d/1W5FC1d6oqcAnoxBiPHHQMdXo6_EqhnFeiMjXq4_dX9s/edit?usp=sharing</x:t>
        </x:is>
      </x:c>
      <x:c r="AM64" s="5" t="inlineStr">
        <x:is>
          <x:t xml:space="preserve">Local controls deduped from 8 exported tokens to 2 unique button tokens. Frameworks deduped from 8 exported tokens to 1 unique button tokens.</x:t>
        </x:is>
      </x:c>
      <x:c r="AN64" s="5" t="n"/>
      <x:c r="AO64" s="5" t="n"/>
      <x:c r="AP64" s="5" t="n"/>
      <x:c r="AQ64" s="5" t="n"/>
      <x:c r="AR64" s="5" t="n"/>
      <x:c r="AS64" s="5" t="n"/>
      <x:c r="AT64" s="5" t="n"/>
      <x:c r="AU64" s="5" t="n"/>
      <x:c r="AV64" s="5" t="n"/>
      <x:c r="AW64" s="5" t="n"/>
      <x:c r="AX64" s="5" t="n"/>
      <x:c r="AY64" s="5" t="n"/>
      <x:c r="AZ64" s="5" t="n"/>
      <x:c r="BA64" s="5" t="n"/>
      <x:c r="BB64" s="5" t="n"/>
      <x:c r="BC64" s="5" t="n"/>
      <x:c r="BD64" s="5" t="n"/>
      <x:c r="BE64" s="5" t="n"/>
      <x:c r="BF64" s="5" t="n"/>
      <x:c r="BG64" s="5" t="n"/>
      <x:c r="BH64" s="5" t="n"/>
      <x:c r="BI64" s="5" t="n"/>
      <x:c r="BJ64" s="5" t="n"/>
      <x:c r="BK64" s="5" t="n"/>
      <x:c r="BL64" s="5" t="n"/>
      <x:c r="BM64" s="5" t="n"/>
      <x:c r="BN64" s="5" t="n"/>
      <x:c r="BO64" s="5" t="n"/>
      <x:c r="BP64" s="5" t="n"/>
      <x:c r="BQ64" s="5" t="n"/>
      <x:c r="BR64" s="5" t="n"/>
      <x:c r="BS64" s="5" t="n"/>
      <x:c r="BT64" s="5" t="n"/>
      <x:c r="BU64" s="5" t="n"/>
      <x:c r="BV64" s="5" t="n"/>
      <x:c r="BW64" s="5" t="n"/>
      <x:c r="BX64" s="5" t="n"/>
      <x:c r="BY64" s="5" t="n"/>
      <x:c r="BZ64" s="5" t="n"/>
      <x:c r="CA64" s="5" t="n"/>
      <x:c r="CB64" s="5" t="n"/>
      <x:c r="CC64" s="5" t="n"/>
      <x:c r="CD64" s="5" t="n"/>
      <x:c r="CE64" s="5" t="n"/>
    </x:row>
    <x:row r="65" ht="30" customHeight="1">
      <x:c r="A65" s="5" t="inlineStr">
        <x:is>
          <x:t xml:space="preserve">ER-147</x:t>
        </x:is>
      </x:c>
      <x:c r="B65" s="5" t="inlineStr">
        <x:is>
          <x:t xml:space="preserve">Population</x:t>
        </x:is>
      </x:c>
      <x:c r="C65" s="5" t="inlineStr">
        <x:is>
          <x:t xml:space="preserve">[Population] All Administrator Accounts</x:t>
        </x:is>
      </x:c>
      <x:c r="D65" s="5" t="n"/>
      <x:c r="E65" s="5" t="inlineStr">
        <x:is>
          <x:t xml:space="preserve">11183.01c1System.3,11183.01c1System.3,11183.01c1System.3</x:t>
        </x:is>
      </x:c>
      <x:c r="F65" s="5" t="inlineStr">
        <x:is>
          <x:t xml:space="preserve">HITRUST,HITRUST,HITRUST</x:t>
        </x:is>
      </x:c>
      <x:c r="G65" s="5" t="n">
        <x:v>142</x:v>
      </x:c>
      <x:c r="H65" s="5" t="n">
        <x:v>0</x:v>
      </x:c>
      <x:c r="I65" s="5" t="n">
        <x:v>0</x:v>
      </x:c>
      <x:c r="J65" s="5" t="n"/>
      <x:c r="K65" s="5" t="n"/>
      <x:c r="L65" s="5" t="n">
        <x:v>3</x:v>
      </x:c>
      <x:c r="M65" s="5" t="n">
        <x:v>1</x:v>
      </x:c>
      <x:c r="N65" s="5" t="inlineStr">
        <x:is>
          <x:t xml:space="preserve">11183.01c1System.3</x:t>
        </x:is>
      </x:c>
      <x:c r="O65" s="5" t="n"/>
      <x:c r="P65" s="5" t="n"/>
      <x:c r="Q65" s="5" t="n"/>
      <x:c r="R65" s="5" t="n"/>
      <x:c r="S65" s="5" t="n"/>
      <x:c r="T65" s="5" t="n"/>
      <x:c r="U65" s="5" t="n"/>
      <x:c r="V65" s="5" t="n"/>
      <x:c r="W65" s="5" t="n"/>
      <x:c r="X65" s="5" t="n"/>
      <x:c r="Y65" s="5" t="n"/>
      <x:c r="Z65" s="5" t="n"/>
      <x:c r="AA65" s="5" t="n"/>
      <x:c r="AB65" s="5" t="n"/>
      <x:c r="AC65" s="5" t="n"/>
      <x:c r="AD65" s="5" t="n">
        <x:v>3</x:v>
      </x:c>
      <x:c r="AE65" s="5" t="n">
        <x:v>1</x:v>
      </x:c>
      <x:c r="AF65" s="5" t="inlineStr">
        <x:is>
          <x:t xml:space="preserve">HITRUST</x:t>
        </x:is>
      </x:c>
      <x:c r="AG65" s="5" t="n"/>
      <x:c r="AH65" s="5" t="n"/>
      <x:c r="AI65" s="5" t="n"/>
      <x:c r="AJ65" s="5" t="n"/>
      <x:c r="AK65" s="5" t="n"/>
      <x:c r="AL65" s="28" t="inlineStr">
        <x:is>
          <x:t xml:space="preserve">https://docs.google.com/document/d/1W5FC1d6oqcAnoxBiPHHQMdXo6_EqhnFeiMjXq4_dX9s/edit?usp=sharing</x:t>
        </x:is>
      </x:c>
      <x:c r="AM65" s="5" t="inlineStr">
        <x:is>
          <x:t xml:space="preserve">Local controls deduped from 3 exported tokens to 1 unique button tokens. Frameworks deduped from 3 exported tokens to 1 unique button tokens.</x:t>
        </x:is>
      </x:c>
      <x:c r="AN65" s="5" t="n"/>
      <x:c r="AO65" s="5" t="n"/>
      <x:c r="AP65" s="5" t="n"/>
      <x:c r="AQ65" s="5" t="n"/>
      <x:c r="AR65" s="5" t="n"/>
      <x:c r="AS65" s="5" t="n"/>
      <x:c r="AT65" s="5" t="n"/>
      <x:c r="AU65" s="5" t="n"/>
      <x:c r="AV65" s="5" t="n"/>
      <x:c r="AW65" s="5" t="n"/>
      <x:c r="AX65" s="5" t="n"/>
      <x:c r="AY65" s="5" t="n"/>
      <x:c r="AZ65" s="5" t="n"/>
      <x:c r="BA65" s="5" t="n"/>
      <x:c r="BB65" s="5" t="n"/>
      <x:c r="BC65" s="5" t="n"/>
      <x:c r="BD65" s="5" t="n"/>
      <x:c r="BE65" s="5" t="n"/>
      <x:c r="BF65" s="5" t="n"/>
      <x:c r="BG65" s="5" t="n"/>
      <x:c r="BH65" s="5" t="n"/>
      <x:c r="BI65" s="5" t="n"/>
      <x:c r="BJ65" s="5" t="n"/>
      <x:c r="BK65" s="5" t="n"/>
      <x:c r="BL65" s="5" t="n"/>
      <x:c r="BM65" s="5" t="n"/>
      <x:c r="BN65" s="5" t="n"/>
      <x:c r="BO65" s="5" t="n"/>
      <x:c r="BP65" s="5" t="n"/>
      <x:c r="BQ65" s="5" t="n"/>
      <x:c r="BR65" s="5" t="n"/>
      <x:c r="BS65" s="5" t="n"/>
      <x:c r="BT65" s="5" t="n"/>
      <x:c r="BU65" s="5" t="n"/>
      <x:c r="BV65" s="5" t="n"/>
      <x:c r="BW65" s="5" t="n"/>
      <x:c r="BX65" s="5" t="n"/>
      <x:c r="BY65" s="5" t="n"/>
      <x:c r="BZ65" s="5" t="n"/>
      <x:c r="CA65" s="5" t="n"/>
      <x:c r="CB65" s="5" t="n"/>
      <x:c r="CC65" s="5" t="n"/>
      <x:c r="CD65" s="5" t="n"/>
      <x:c r="CE65" s="5" t="n"/>
    </x:row>
    <x:row r="66" ht="30" customHeight="1">
      <x:c r="A66" s="5" t="inlineStr">
        <x:is>
          <x:t xml:space="preserve">ER-148</x:t>
        </x:is>
      </x:c>
      <x:c r="B66" s="5" t="inlineStr">
        <x:is>
          <x:t xml:space="preserve">Population</x:t>
        </x:is>
      </x:c>
      <x:c r="C66" s="5" t="inlineStr">
        <x:is>
          <x:t xml:space="preserve">[Population] All User Accounts</x:t>
        </x:is>
      </x:c>
      <x:c r="D66" s="5" t="n"/>
      <x:c r="E66" s="5" t="inlineStr">
        <x:is>
          <x:t xml:space="preserve">1123.01q1System.2,1123.01q1System.2,1123.01q1System.2</x:t>
        </x:is>
      </x:c>
      <x:c r="F66" s="5" t="inlineStr">
        <x:is>
          <x:t xml:space="preserve">HITRUST,HITRUST,HITRUST</x:t>
        </x:is>
      </x:c>
      <x:c r="G66" s="5" t="n">
        <x:v>143</x:v>
      </x:c>
      <x:c r="H66" s="5" t="n">
        <x:v>0</x:v>
      </x:c>
      <x:c r="I66" s="5" t="n">
        <x:v>0</x:v>
      </x:c>
      <x:c r="J66" s="5" t="n"/>
      <x:c r="K66" s="5" t="n"/>
      <x:c r="L66" s="5" t="n">
        <x:v>3</x:v>
      </x:c>
      <x:c r="M66" s="5" t="n">
        <x:v>1</x:v>
      </x:c>
      <x:c r="N66" s="5" t="inlineStr">
        <x:is>
          <x:t xml:space="preserve">1123.01q1System.2</x:t>
        </x:is>
      </x:c>
      <x:c r="O66" s="5" t="n"/>
      <x:c r="P66" s="5" t="n"/>
      <x:c r="Q66" s="5" t="n"/>
      <x:c r="R66" s="5" t="n"/>
      <x:c r="S66" s="5" t="n"/>
      <x:c r="T66" s="5" t="n"/>
      <x:c r="U66" s="5" t="n"/>
      <x:c r="V66" s="5" t="n"/>
      <x:c r="W66" s="5" t="n"/>
      <x:c r="X66" s="5" t="n"/>
      <x:c r="Y66" s="5" t="n"/>
      <x:c r="Z66" s="5" t="n"/>
      <x:c r="AA66" s="5" t="n"/>
      <x:c r="AB66" s="5" t="n"/>
      <x:c r="AC66" s="5" t="n"/>
      <x:c r="AD66" s="5" t="n">
        <x:v>3</x:v>
      </x:c>
      <x:c r="AE66" s="5" t="n">
        <x:v>1</x:v>
      </x:c>
      <x:c r="AF66" s="5" t="inlineStr">
        <x:is>
          <x:t xml:space="preserve">HITRUST</x:t>
        </x:is>
      </x:c>
      <x:c r="AG66" s="5" t="n"/>
      <x:c r="AH66" s="5" t="n"/>
      <x:c r="AI66" s="5" t="n"/>
      <x:c r="AJ66" s="5" t="n"/>
      <x:c r="AK66" s="5" t="n"/>
      <x:c r="AL66" s="28" t="inlineStr">
        <x:is>
          <x:t xml:space="preserve">https://docs.google.com/document/d/1W5FC1d6oqcAnoxBiPHHQMdXo6_EqhnFeiMjXq4_dX9s/edit?usp=sharing</x:t>
        </x:is>
      </x:c>
      <x:c r="AM66" s="5" t="inlineStr">
        <x:is>
          <x:t xml:space="preserve">Local controls deduped from 3 exported tokens to 1 unique button tokens. Frameworks deduped from 3 exported tokens to 1 unique button tokens.</x:t>
        </x:is>
      </x:c>
      <x:c r="AN66" s="5" t="n"/>
      <x:c r="AO66" s="5" t="n"/>
      <x:c r="AP66" s="5" t="n"/>
      <x:c r="AQ66" s="5" t="n"/>
      <x:c r="AR66" s="5" t="n"/>
      <x:c r="AS66" s="5" t="n"/>
      <x:c r="AT66" s="5" t="n"/>
      <x:c r="AU66" s="5" t="n"/>
      <x:c r="AV66" s="5" t="n"/>
      <x:c r="AW66" s="5" t="n"/>
      <x:c r="AX66" s="5" t="n"/>
      <x:c r="AY66" s="5" t="n"/>
      <x:c r="AZ66" s="5" t="n"/>
      <x:c r="BA66" s="5" t="n"/>
      <x:c r="BB66" s="5" t="n"/>
      <x:c r="BC66" s="5" t="n"/>
      <x:c r="BD66" s="5" t="n"/>
      <x:c r="BE66" s="5" t="n"/>
      <x:c r="BF66" s="5" t="n"/>
      <x:c r="BG66" s="5" t="n"/>
      <x:c r="BH66" s="5" t="n"/>
      <x:c r="BI66" s="5" t="n"/>
      <x:c r="BJ66" s="5" t="n"/>
      <x:c r="BK66" s="5" t="n"/>
      <x:c r="BL66" s="5" t="n"/>
      <x:c r="BM66" s="5" t="n"/>
      <x:c r="BN66" s="5" t="n"/>
      <x:c r="BO66" s="5" t="n"/>
      <x:c r="BP66" s="5" t="n"/>
      <x:c r="BQ66" s="5" t="n"/>
      <x:c r="BR66" s="5" t="n"/>
      <x:c r="BS66" s="5" t="n"/>
      <x:c r="BT66" s="5" t="n"/>
      <x:c r="BU66" s="5" t="n"/>
      <x:c r="BV66" s="5" t="n"/>
      <x:c r="BW66" s="5" t="n"/>
      <x:c r="BX66" s="5" t="n"/>
      <x:c r="BY66" s="5" t="n"/>
      <x:c r="BZ66" s="5" t="n"/>
      <x:c r="CA66" s="5" t="n"/>
      <x:c r="CB66" s="5" t="n"/>
      <x:c r="CC66" s="5" t="n"/>
      <x:c r="CD66" s="5" t="n"/>
      <x:c r="CE66" s="5" t="n"/>
    </x:row>
    <x:row r="67" ht="30" customHeight="1">
      <x:c r="A67" s="5" t="inlineStr">
        <x:is>
          <x:t xml:space="preserve">ER-149</x:t>
        </x:is>
      </x:c>
      <x:c r="B67" s="5" t="inlineStr">
        <x:is>
          <x:t xml:space="preserve">Population</x:t>
        </x:is>
      </x:c>
      <x:c r="C67" s="5" t="inlineStr">
        <x:is>
          <x:t xml:space="preserve">[Population] All BYOD and Mobile Devices</x:t>
        </x:is>
      </x:c>
      <x:c r="D67" s="5" t="n"/>
      <x:c r="E67" s="5" t="inlineStr">
        <x:is>
          <x:t xml:space="preserve">11190.01t1System.2,11190.01t1System.2,11190.01t1System.2,11190.01t1System.2</x:t>
        </x:is>
      </x:c>
      <x:c r="F67" s="5" t="inlineStr">
        <x:is>
          <x:t xml:space="preserve">HITRUST,HITRUST,HITRUST,HITRUST</x:t>
        </x:is>
      </x:c>
      <x:c r="G67" s="5" t="n">
        <x:v>144</x:v>
      </x:c>
      <x:c r="H67" s="5" t="n">
        <x:v>0</x:v>
      </x:c>
      <x:c r="I67" s="5" t="n">
        <x:v>0</x:v>
      </x:c>
      <x:c r="J67" s="5" t="n"/>
      <x:c r="K67" s="5" t="n"/>
      <x:c r="L67" s="5" t="n">
        <x:v>4</x:v>
      </x:c>
      <x:c r="M67" s="5" t="n">
        <x:v>1</x:v>
      </x:c>
      <x:c r="N67" s="5" t="inlineStr">
        <x:is>
          <x:t xml:space="preserve">11190.01t1System.2</x:t>
        </x:is>
      </x:c>
      <x:c r="O67" s="5" t="n"/>
      <x:c r="P67" s="5" t="n"/>
      <x:c r="Q67" s="5" t="n"/>
      <x:c r="R67" s="5" t="n"/>
      <x:c r="S67" s="5" t="n"/>
      <x:c r="T67" s="5" t="n"/>
      <x:c r="U67" s="5" t="n"/>
      <x:c r="V67" s="5" t="n"/>
      <x:c r="W67" s="5" t="n"/>
      <x:c r="X67" s="5" t="n"/>
      <x:c r="Y67" s="5" t="n"/>
      <x:c r="Z67" s="5" t="n"/>
      <x:c r="AA67" s="5" t="n"/>
      <x:c r="AB67" s="5" t="n"/>
      <x:c r="AC67" s="5" t="n"/>
      <x:c r="AD67" s="5" t="n">
        <x:v>4</x:v>
      </x:c>
      <x:c r="AE67" s="5" t="n">
        <x:v>1</x:v>
      </x:c>
      <x:c r="AF67" s="5" t="inlineStr">
        <x:is>
          <x:t xml:space="preserve">HITRUST</x:t>
        </x:is>
      </x:c>
      <x:c r="AG67" s="5" t="n"/>
      <x:c r="AH67" s="5" t="n"/>
      <x:c r="AI67" s="5" t="n"/>
      <x:c r="AJ67" s="5" t="n"/>
      <x:c r="AK67" s="5" t="n"/>
      <x:c r="AL67" s="28" t="inlineStr">
        <x:is>
          <x:t xml:space="preserve">https://docs.google.com/document/d/1W5FC1d6oqcAnoxBiPHHQMdXo6_EqhnFeiMjXq4_dX9s/edit?usp=sharing</x:t>
        </x:is>
      </x:c>
      <x:c r="AM67" s="5" t="inlineStr">
        <x:is>
          <x:t xml:space="preserve">Local controls deduped from 4 exported tokens to 1 unique button tokens. Frameworks deduped from 4 exported tokens to 1 unique button tokens.</x:t>
        </x:is>
      </x:c>
      <x:c r="AN67" s="5" t="n"/>
      <x:c r="AO67" s="5" t="n"/>
      <x:c r="AP67" s="5" t="n"/>
      <x:c r="AQ67" s="5" t="n"/>
      <x:c r="AR67" s="5" t="n"/>
      <x:c r="AS67" s="5" t="n"/>
      <x:c r="AT67" s="5" t="n"/>
      <x:c r="AU67" s="5" t="n"/>
      <x:c r="AV67" s="5" t="n"/>
      <x:c r="AW67" s="5" t="n"/>
      <x:c r="AX67" s="5" t="n"/>
      <x:c r="AY67" s="5" t="n"/>
      <x:c r="AZ67" s="5" t="n"/>
      <x:c r="BA67" s="5" t="n"/>
      <x:c r="BB67" s="5" t="n"/>
      <x:c r="BC67" s="5" t="n"/>
      <x:c r="BD67" s="5" t="n"/>
      <x:c r="BE67" s="5" t="n"/>
      <x:c r="BF67" s="5" t="n"/>
      <x:c r="BG67" s="5" t="n"/>
      <x:c r="BH67" s="5" t="n"/>
      <x:c r="BI67" s="5" t="n"/>
      <x:c r="BJ67" s="5" t="n"/>
      <x:c r="BK67" s="5" t="n"/>
      <x:c r="BL67" s="5" t="n"/>
      <x:c r="BM67" s="5" t="n"/>
      <x:c r="BN67" s="5" t="n"/>
      <x:c r="BO67" s="5" t="n"/>
      <x:c r="BP67" s="5" t="n"/>
      <x:c r="BQ67" s="5" t="n"/>
      <x:c r="BR67" s="5" t="n"/>
      <x:c r="BS67" s="5" t="n"/>
      <x:c r="BT67" s="5" t="n"/>
      <x:c r="BU67" s="5" t="n"/>
      <x:c r="BV67" s="5" t="n"/>
      <x:c r="BW67" s="5" t="n"/>
      <x:c r="BX67" s="5" t="n"/>
      <x:c r="BY67" s="5" t="n"/>
      <x:c r="BZ67" s="5" t="n"/>
      <x:c r="CA67" s="5" t="n"/>
      <x:c r="CB67" s="5" t="n"/>
      <x:c r="CC67" s="5" t="n"/>
      <x:c r="CD67" s="5" t="n"/>
      <x:c r="CE67" s="5" t="n"/>
    </x:row>
    <x:row r="68" ht="30" customHeight="1">
      <x:c r="A68" s="5" t="inlineStr">
        <x:is>
          <x:t xml:space="preserve">ER-150</x:t>
        </x:is>
      </x:c>
      <x:c r="B68" s="5" t="inlineStr">
        <x:is>
          <x:t xml:space="preserve">Population</x:t>
        </x:is>
      </x:c>
      <x:c r="C68" s="5" t="inlineStr">
        <x:is>
          <x:t xml:space="preserve">[Population] All Transfers for the Observation Period [INSERT EXAM PERIOD]</x:t>
        </x:is>
      </x:c>
      <x:c r="D68" s="5" t="n"/>
      <x:c r="E68" s="5" t="inlineStr">
        <x:is>
          <x:t xml:space="preserve">11143.02i1Organizational.3,11143.02i1Organizational.3,11143.02i1Organizational.3,11143.02i1Organizational.3,11143.02i1Organizational.3</x:t>
        </x:is>
      </x:c>
      <x:c r="F68" s="5" t="inlineStr">
        <x:is>
          <x:t xml:space="preserve">HITRUST,HITRUST,HITRUST,HITRUST,HITRUST</x:t>
        </x:is>
      </x:c>
      <x:c r="G68" s="5" t="n">
        <x:v>145</x:v>
      </x:c>
      <x:c r="H68" s="5" t="n">
        <x:v>0</x:v>
      </x:c>
      <x:c r="I68" s="5" t="n">
        <x:v>0</x:v>
      </x:c>
      <x:c r="J68" s="5" t="n"/>
      <x:c r="K68" s="5" t="n"/>
      <x:c r="L68" s="5" t="n">
        <x:v>5</x:v>
      </x:c>
      <x:c r="M68" s="5" t="n">
        <x:v>1</x:v>
      </x:c>
      <x:c r="N68" s="5" t="inlineStr">
        <x:is>
          <x:t xml:space="preserve">11143.02i1Organizational.3</x:t>
        </x:is>
      </x:c>
      <x:c r="O68" s="5" t="n"/>
      <x:c r="P68" s="5" t="n"/>
      <x:c r="Q68" s="5" t="n"/>
      <x:c r="R68" s="5" t="n"/>
      <x:c r="S68" s="5" t="n"/>
      <x:c r="T68" s="5" t="n"/>
      <x:c r="U68" s="5" t="n"/>
      <x:c r="V68" s="5" t="n"/>
      <x:c r="W68" s="5" t="n"/>
      <x:c r="X68" s="5" t="n"/>
      <x:c r="Y68" s="5" t="n"/>
      <x:c r="Z68" s="5" t="n"/>
      <x:c r="AA68" s="5" t="n"/>
      <x:c r="AB68" s="5" t="n"/>
      <x:c r="AC68" s="5" t="n"/>
      <x:c r="AD68" s="5" t="n">
        <x:v>5</x:v>
      </x:c>
      <x:c r="AE68" s="5" t="n">
        <x:v>1</x:v>
      </x:c>
      <x:c r="AF68" s="5" t="inlineStr">
        <x:is>
          <x:t xml:space="preserve">HITRUST</x:t>
        </x:is>
      </x:c>
      <x:c r="AG68" s="5" t="n"/>
      <x:c r="AH68" s="5" t="n"/>
      <x:c r="AI68" s="5" t="n"/>
      <x:c r="AJ68" s="5" t="n"/>
      <x:c r="AK68" s="5" t="n"/>
      <x:c r="AL68" s="28" t="inlineStr">
        <x:is>
          <x:t xml:space="preserve">https://docs.google.com/document/d/1W5FC1d6oqcAnoxBiPHHQMdXo6_EqhnFeiMjXq4_dX9s/edit?usp=sharing</x:t>
        </x:is>
      </x:c>
      <x:c r="AM68" s="5" t="inlineStr">
        <x:is>
          <x:t xml:space="preserve">Local controls deduped from 5 exported tokens to 1 unique button tokens. Frameworks deduped from 5 exported tokens to 1 unique button tokens.</x:t>
        </x:is>
      </x:c>
      <x:c r="AN68" s="5" t="n"/>
      <x:c r="AO68" s="5" t="n"/>
      <x:c r="AP68" s="5" t="n"/>
      <x:c r="AQ68" s="5" t="n"/>
      <x:c r="AR68" s="5" t="n"/>
      <x:c r="AS68" s="5" t="n"/>
      <x:c r="AT68" s="5" t="n"/>
      <x:c r="AU68" s="5" t="n"/>
      <x:c r="AV68" s="5" t="n"/>
      <x:c r="AW68" s="5" t="n"/>
      <x:c r="AX68" s="5" t="n"/>
      <x:c r="AY68" s="5" t="n"/>
      <x:c r="AZ68" s="5" t="n"/>
      <x:c r="BA68" s="5" t="n"/>
      <x:c r="BB68" s="5" t="n"/>
      <x:c r="BC68" s="5" t="n"/>
      <x:c r="BD68" s="5" t="n"/>
      <x:c r="BE68" s="5" t="n"/>
      <x:c r="BF68" s="5" t="n"/>
      <x:c r="BG68" s="5" t="n"/>
      <x:c r="BH68" s="5" t="n"/>
      <x:c r="BI68" s="5" t="n"/>
      <x:c r="BJ68" s="5" t="n"/>
      <x:c r="BK68" s="5" t="n"/>
      <x:c r="BL68" s="5" t="n"/>
      <x:c r="BM68" s="5" t="n"/>
      <x:c r="BN68" s="5" t="n"/>
      <x:c r="BO68" s="5" t="n"/>
      <x:c r="BP68" s="5" t="n"/>
      <x:c r="BQ68" s="5" t="n"/>
      <x:c r="BR68" s="5" t="n"/>
      <x:c r="BS68" s="5" t="n"/>
      <x:c r="BT68" s="5" t="n"/>
      <x:c r="BU68" s="5" t="n"/>
      <x:c r="BV68" s="5" t="n"/>
      <x:c r="BW68" s="5" t="n"/>
      <x:c r="BX68" s="5" t="n"/>
      <x:c r="BY68" s="5" t="n"/>
      <x:c r="BZ68" s="5" t="n"/>
      <x:c r="CA68" s="5" t="n"/>
      <x:c r="CB68" s="5" t="n"/>
      <x:c r="CC68" s="5" t="n"/>
      <x:c r="CD68" s="5" t="n"/>
      <x:c r="CE68" s="5" t="n"/>
    </x:row>
    <x:row r="69" ht="30" customHeight="1">
      <x:c r="A69" s="5" t="inlineStr">
        <x:is>
          <x:t xml:space="preserve">ER-153</x:t>
        </x:is>
      </x:c>
      <x:c r="B69" s="5" t="inlineStr">
        <x:is>
          <x:t xml:space="preserve">Population</x:t>
        </x:is>
      </x:c>
      <x:c r="C69" s="5" t="inlineStr">
        <x:is>
          <x:t xml:space="preserve">[Population] All Backup Records for the Observation Period [INSERT EXAM PERIOD]</x:t>
        </x:is>
      </x:c>
      <x:c r="D69" s="5" t="n"/>
      <x:c r="E69" s="5" t="inlineStr">
        <x:is>
          <x:t xml:space="preserve">1616.09l1Organizational.16,1616.09l1Organizational.16,1616.09l1Organizational.16,1616.09l1Organizational.16</x:t>
        </x:is>
      </x:c>
      <x:c r="F69" s="5" t="inlineStr">
        <x:is>
          <x:t xml:space="preserve">HITRUST,HITRUST,HITRUST,HITRUST</x:t>
        </x:is>
      </x:c>
      <x:c r="G69" s="5" t="n">
        <x:v>147</x:v>
      </x:c>
      <x:c r="H69" s="5" t="n">
        <x:v>0</x:v>
      </x:c>
      <x:c r="I69" s="5" t="n">
        <x:v>0</x:v>
      </x:c>
      <x:c r="J69" s="5" t="n"/>
      <x:c r="K69" s="5" t="n"/>
      <x:c r="L69" s="5" t="n">
        <x:v>4</x:v>
      </x:c>
      <x:c r="M69" s="5" t="n">
        <x:v>1</x:v>
      </x:c>
      <x:c r="N69" s="5" t="inlineStr">
        <x:is>
          <x:t xml:space="preserve">1616.09l1Organizational.16</x:t>
        </x:is>
      </x:c>
      <x:c r="O69" s="5" t="n"/>
      <x:c r="P69" s="5" t="n"/>
      <x:c r="Q69" s="5" t="n"/>
      <x:c r="R69" s="5" t="n"/>
      <x:c r="S69" s="5" t="n"/>
      <x:c r="T69" s="5" t="n"/>
      <x:c r="U69" s="5" t="n"/>
      <x:c r="V69" s="5" t="n"/>
      <x:c r="W69" s="5" t="n"/>
      <x:c r="X69" s="5" t="n"/>
      <x:c r="Y69" s="5" t="n"/>
      <x:c r="Z69" s="5" t="n"/>
      <x:c r="AA69" s="5" t="n"/>
      <x:c r="AB69" s="5" t="n"/>
      <x:c r="AC69" s="5" t="n"/>
      <x:c r="AD69" s="5" t="n">
        <x:v>4</x:v>
      </x:c>
      <x:c r="AE69" s="5" t="n">
        <x:v>1</x:v>
      </x:c>
      <x:c r="AF69" s="5" t="inlineStr">
        <x:is>
          <x:t xml:space="preserve">HITRUST</x:t>
        </x:is>
      </x:c>
      <x:c r="AG69" s="5" t="n"/>
      <x:c r="AH69" s="5" t="n"/>
      <x:c r="AI69" s="5" t="n"/>
      <x:c r="AJ69" s="5" t="n"/>
      <x:c r="AK69" s="5" t="n"/>
      <x:c r="AL69" s="28" t="inlineStr">
        <x:is>
          <x:t xml:space="preserve">https://docs.google.com/document/d/1W5FC1d6oqcAnoxBiPHHQMdXo6_EqhnFeiMjXq4_dX9s/edit?usp=sharing</x:t>
        </x:is>
      </x:c>
      <x:c r="AM69" s="5" t="inlineStr">
        <x:is>
          <x:t xml:space="preserve">Local controls deduped from 4 exported tokens to 1 unique button tokens. Frameworks deduped from 4 exported tokens to 1 unique button tokens.</x:t>
        </x:is>
      </x:c>
      <x:c r="AN69" s="5" t="n"/>
      <x:c r="AO69" s="5" t="n"/>
      <x:c r="AP69" s="5" t="n"/>
      <x:c r="AQ69" s="5" t="n"/>
      <x:c r="AR69" s="5" t="n"/>
      <x:c r="AS69" s="5" t="n"/>
      <x:c r="AT69" s="5" t="n"/>
      <x:c r="AU69" s="5" t="n"/>
      <x:c r="AV69" s="5" t="n"/>
      <x:c r="AW69" s="5" t="n"/>
      <x:c r="AX69" s="5" t="n"/>
      <x:c r="AY69" s="5" t="n"/>
      <x:c r="AZ69" s="5" t="n"/>
      <x:c r="BA69" s="5" t="n"/>
      <x:c r="BB69" s="5" t="n"/>
      <x:c r="BC69" s="5" t="n"/>
      <x:c r="BD69" s="5" t="n"/>
      <x:c r="BE69" s="5" t="n"/>
      <x:c r="BF69" s="5" t="n"/>
      <x:c r="BG69" s="5" t="n"/>
      <x:c r="BH69" s="5" t="n"/>
      <x:c r="BI69" s="5" t="n"/>
      <x:c r="BJ69" s="5" t="n"/>
      <x:c r="BK69" s="5" t="n"/>
      <x:c r="BL69" s="5" t="n"/>
      <x:c r="BM69" s="5" t="n"/>
      <x:c r="BN69" s="5" t="n"/>
      <x:c r="BO69" s="5" t="n"/>
      <x:c r="BP69" s="5" t="n"/>
      <x:c r="BQ69" s="5" t="n"/>
      <x:c r="BR69" s="5" t="n"/>
      <x:c r="BS69" s="5" t="n"/>
      <x:c r="BT69" s="5" t="n"/>
      <x:c r="BU69" s="5" t="n"/>
      <x:c r="BV69" s="5" t="n"/>
      <x:c r="BW69" s="5" t="n"/>
      <x:c r="BX69" s="5" t="n"/>
      <x:c r="BY69" s="5" t="n"/>
      <x:c r="BZ69" s="5" t="n"/>
      <x:c r="CA69" s="5" t="n"/>
      <x:c r="CB69" s="5" t="n"/>
      <x:c r="CC69" s="5" t="n"/>
      <x:c r="CD69" s="5" t="n"/>
      <x:c r="CE69" s="5" t="n"/>
    </x:row>
    <x:row r="70" ht="30" customHeight="1">
      <x:c r="A70" s="5" t="inlineStr">
        <x:is>
          <x:t xml:space="preserve">ER-154</x:t>
        </x:is>
      </x:c>
      <x:c r="B70" s="5" t="inlineStr">
        <x:is>
          <x:t xml:space="preserve">Population</x:t>
        </x:is>
      </x:c>
      <x:c r="C70" s="5" t="inlineStr">
        <x:is>
          <x:t xml:space="preserve">[Population] All Restore Records for the Observation Period [INSERT EXAM PERIOD]</x:t>
        </x:is>
      </x:c>
      <x:c r="D70" s="5" t="n"/>
      <x:c r="E70" s="5" t="inlineStr">
        <x:is>
          <x:t xml:space="preserve">1616.09l1Organizational.16,1616.09l1Organizational.16,1616.09l1Organizational.16,1616.09l1Organizational.16</x:t>
        </x:is>
      </x:c>
      <x:c r="F70" s="5" t="inlineStr">
        <x:is>
          <x:t xml:space="preserve">HITRUST,HITRUST,HITRUST,HITRUST</x:t>
        </x:is>
      </x:c>
      <x:c r="G70" s="5" t="n">
        <x:v>148</x:v>
      </x:c>
      <x:c r="H70" s="5" t="n">
        <x:v>0</x:v>
      </x:c>
      <x:c r="I70" s="5" t="n">
        <x:v>0</x:v>
      </x:c>
      <x:c r="J70" s="5" t="n"/>
      <x:c r="K70" s="5" t="n"/>
      <x:c r="L70" s="5" t="n">
        <x:v>4</x:v>
      </x:c>
      <x:c r="M70" s="5" t="n">
        <x:v>1</x:v>
      </x:c>
      <x:c r="N70" s="5" t="inlineStr">
        <x:is>
          <x:t xml:space="preserve">1616.09l1Organizational.16</x:t>
        </x:is>
      </x:c>
      <x:c r="O70" s="5" t="n"/>
      <x:c r="P70" s="5" t="n"/>
      <x:c r="Q70" s="5" t="n"/>
      <x:c r="R70" s="5" t="n"/>
      <x:c r="S70" s="5" t="n"/>
      <x:c r="T70" s="5" t="n"/>
      <x:c r="U70" s="5" t="n"/>
      <x:c r="V70" s="5" t="n"/>
      <x:c r="W70" s="5" t="n"/>
      <x:c r="X70" s="5" t="n"/>
      <x:c r="Y70" s="5" t="n"/>
      <x:c r="Z70" s="5" t="n"/>
      <x:c r="AA70" s="5" t="n"/>
      <x:c r="AB70" s="5" t="n"/>
      <x:c r="AC70" s="5" t="n"/>
      <x:c r="AD70" s="5" t="n">
        <x:v>4</x:v>
      </x:c>
      <x:c r="AE70" s="5" t="n">
        <x:v>1</x:v>
      </x:c>
      <x:c r="AF70" s="5" t="inlineStr">
        <x:is>
          <x:t xml:space="preserve">HITRUST</x:t>
        </x:is>
      </x:c>
      <x:c r="AG70" s="5" t="n"/>
      <x:c r="AH70" s="5" t="n"/>
      <x:c r="AI70" s="5" t="n"/>
      <x:c r="AJ70" s="5" t="n"/>
      <x:c r="AK70" s="5" t="n"/>
      <x:c r="AL70" s="28" t="inlineStr">
        <x:is>
          <x:t xml:space="preserve">https://docs.google.com/document/d/1W5FC1d6oqcAnoxBiPHHQMdXo6_EqhnFeiMjXq4_dX9s/edit?usp=sharing</x:t>
        </x:is>
      </x:c>
      <x:c r="AM70" s="5" t="inlineStr">
        <x:is>
          <x:t xml:space="preserve">Local controls deduped from 4 exported tokens to 1 unique button tokens. Frameworks deduped from 4 exported tokens to 1 unique button tokens.</x:t>
        </x:is>
      </x:c>
      <x:c r="AN70" s="5" t="n"/>
      <x:c r="AO70" s="5" t="n"/>
      <x:c r="AP70" s="5" t="n"/>
      <x:c r="AQ70" s="5" t="n"/>
      <x:c r="AR70" s="5" t="n"/>
      <x:c r="AS70" s="5" t="n"/>
      <x:c r="AT70" s="5" t="n"/>
      <x:c r="AU70" s="5" t="n"/>
      <x:c r="AV70" s="5" t="n"/>
      <x:c r="AW70" s="5" t="n"/>
      <x:c r="AX70" s="5" t="n"/>
      <x:c r="AY70" s="5" t="n"/>
      <x:c r="AZ70" s="5" t="n"/>
      <x:c r="BA70" s="5" t="n"/>
      <x:c r="BB70" s="5" t="n"/>
      <x:c r="BC70" s="5" t="n"/>
      <x:c r="BD70" s="5" t="n"/>
      <x:c r="BE70" s="5" t="n"/>
      <x:c r="BF70" s="5" t="n"/>
      <x:c r="BG70" s="5" t="n"/>
      <x:c r="BH70" s="5" t="n"/>
      <x:c r="BI70" s="5" t="n"/>
      <x:c r="BJ70" s="5" t="n"/>
      <x:c r="BK70" s="5" t="n"/>
      <x:c r="BL70" s="5" t="n"/>
      <x:c r="BM70" s="5" t="n"/>
      <x:c r="BN70" s="5" t="n"/>
      <x:c r="BO70" s="5" t="n"/>
      <x:c r="BP70" s="5" t="n"/>
      <x:c r="BQ70" s="5" t="n"/>
      <x:c r="BR70" s="5" t="n"/>
      <x:c r="BS70" s="5" t="n"/>
      <x:c r="BT70" s="5" t="n"/>
      <x:c r="BU70" s="5" t="n"/>
      <x:c r="BV70" s="5" t="n"/>
      <x:c r="BW70" s="5" t="n"/>
      <x:c r="BX70" s="5" t="n"/>
      <x:c r="BY70" s="5" t="n"/>
      <x:c r="BZ70" s="5" t="n"/>
      <x:c r="CA70" s="5" t="n"/>
      <x:c r="CB70" s="5" t="n"/>
      <x:c r="CC70" s="5" t="n"/>
      <x:c r="CD70" s="5" t="n"/>
      <x:c r="CE70" s="5" t="n"/>
    </x:row>
    <x:row r="71" ht="30" customHeight="1">
      <x:c r="A71" s="5" t="inlineStr">
        <x:is>
          <x:t xml:space="preserve">ER-155</x:t>
        </x:is>
      </x:c>
      <x:c r="B71" s="5" t="inlineStr">
        <x:is>
          <x:t xml:space="preserve">Population</x:t>
        </x:is>
      </x:c>
      <x:c r="C71" s="5" t="inlineStr">
        <x:is>
          <x:t xml:space="preserve">[Population] All Equipment Moves for the Observation Period [INSERT EXAM PERIOD]</x:t>
        </x:is>
      </x:c>
      <x:c r="D71" s="5" t="n"/>
      <x:c r="E71" s="5" t="inlineStr">
        <x:is>
          <x:t xml:space="preserve">1616.09l1Organizational.16,0302.09o1Organizational.3,0321.09u1Organizational.2,1616.09l1Organizational.16,0302.09o1Organizational.3,0321.09u1Organizational.2,1616.09l1Organizational.16,0302.09o1Organizational.3,0321.09u1Organizational.2,1616.09l1Organizational.16,0302.09o1Organizational.3,0321.09u1Organizational.2,1616.09l1Organizational.16,0302.09o1Organizational.3,0321.09u1Organizational.2,1616.09l1Organizational.16,0302.09o1Organizational.3,0321.09u1Organizational.2</x:t>
        </x:is>
      </x:c>
      <x:c r="F71" s="5" t="inlineStr">
        <x:is>
          <x:t xml:space="preserve">HITRUST,HITRUST,HITRUST,HITRUST,HITRUST,HITRUST,HITRUST,HITRUST,HITRUST,HITRUST,HITRUST,HITRUST,HITRUST,HITRUST,HITRUST,HITRUST,HITRUST,HITRUST</x:t>
        </x:is>
      </x:c>
      <x:c r="G71" s="5" t="n">
        <x:v>149</x:v>
      </x:c>
      <x:c r="H71" s="5" t="n">
        <x:v>0</x:v>
      </x:c>
      <x:c r="I71" s="5" t="n">
        <x:v>0</x:v>
      </x:c>
      <x:c r="J71" s="5" t="n"/>
      <x:c r="K71" s="5" t="n"/>
      <x:c r="L71" s="5" t="n">
        <x:v>18</x:v>
      </x:c>
      <x:c r="M71" s="5" t="n">
        <x:v>3</x:v>
      </x:c>
      <x:c r="N71" s="5" t="inlineStr">
        <x:is>
          <x:t xml:space="preserve">1616.09l1Organizational.16</x:t>
        </x:is>
      </x:c>
      <x:c r="O71" s="5" t="inlineStr">
        <x:is>
          <x:t xml:space="preserve">0302.09o1Organizational.3</x:t>
        </x:is>
      </x:c>
      <x:c r="P71" s="5" t="inlineStr">
        <x:is>
          <x:t xml:space="preserve">0321.09u1Organizational.2</x:t>
        </x:is>
      </x:c>
      <x:c r="Q71" s="5" t="n"/>
      <x:c r="R71" s="5" t="n"/>
      <x:c r="S71" s="5" t="n"/>
      <x:c r="T71" s="5" t="n"/>
      <x:c r="U71" s="5" t="n"/>
      <x:c r="V71" s="5" t="n"/>
      <x:c r="W71" s="5" t="n"/>
      <x:c r="X71" s="5" t="n"/>
      <x:c r="Y71" s="5" t="n"/>
      <x:c r="Z71" s="5" t="n"/>
      <x:c r="AA71" s="5" t="n"/>
      <x:c r="AB71" s="5" t="n"/>
      <x:c r="AC71" s="5" t="n"/>
      <x:c r="AD71" s="5" t="n">
        <x:v>18</x:v>
      </x:c>
      <x:c r="AE71" s="5" t="n">
        <x:v>1</x:v>
      </x:c>
      <x:c r="AF71" s="5" t="inlineStr">
        <x:is>
          <x:t xml:space="preserve">HITRUST</x:t>
        </x:is>
      </x:c>
      <x:c r="AG71" s="5" t="n"/>
      <x:c r="AH71" s="5" t="n"/>
      <x:c r="AI71" s="5" t="n"/>
      <x:c r="AJ71" s="5" t="n"/>
      <x:c r="AK71" s="5" t="n"/>
      <x:c r="AL71" s="28" t="inlineStr">
        <x:is>
          <x:t xml:space="preserve">https://docs.google.com/document/d/1W5FC1d6oqcAnoxBiPHHQMdXo6_EqhnFeiMjXq4_dX9s/edit?usp=sharing</x:t>
        </x:is>
      </x:c>
      <x:c r="AM71" s="5" t="inlineStr">
        <x:is>
          <x:t xml:space="preserve">Local controls deduped from 18 exported tokens to 3 unique button tokens. Frameworks deduped from 18 exported tokens to 1 unique button tokens.</x:t>
        </x:is>
      </x:c>
      <x:c r="AN71" s="5" t="n"/>
      <x:c r="AO71" s="5" t="n"/>
      <x:c r="AP71" s="5" t="n"/>
      <x:c r="AQ71" s="5" t="n"/>
      <x:c r="AR71" s="5" t="n"/>
      <x:c r="AS71" s="5" t="n"/>
      <x:c r="AT71" s="5" t="n"/>
      <x:c r="AU71" s="5" t="n"/>
      <x:c r="AV71" s="5" t="n"/>
      <x:c r="AW71" s="5" t="n"/>
      <x:c r="AX71" s="5" t="n"/>
      <x:c r="AY71" s="5" t="n"/>
      <x:c r="AZ71" s="5" t="n"/>
      <x:c r="BA71" s="5" t="n"/>
      <x:c r="BB71" s="5" t="n"/>
      <x:c r="BC71" s="5" t="n"/>
      <x:c r="BD71" s="5" t="n"/>
      <x:c r="BE71" s="5" t="n"/>
      <x:c r="BF71" s="5" t="n"/>
      <x:c r="BG71" s="5" t="n"/>
      <x:c r="BH71" s="5" t="n"/>
      <x:c r="BI71" s="5" t="n"/>
      <x:c r="BJ71" s="5" t="n"/>
      <x:c r="BK71" s="5" t="n"/>
      <x:c r="BL71" s="5" t="n"/>
      <x:c r="BM71" s="5" t="n"/>
      <x:c r="BN71" s="5" t="n"/>
      <x:c r="BO71" s="5" t="n"/>
      <x:c r="BP71" s="5" t="n"/>
      <x:c r="BQ71" s="5" t="n"/>
      <x:c r="BR71" s="5" t="n"/>
      <x:c r="BS71" s="5" t="n"/>
      <x:c r="BT71" s="5" t="n"/>
      <x:c r="BU71" s="5" t="n"/>
      <x:c r="BV71" s="5" t="n"/>
      <x:c r="BW71" s="5" t="n"/>
      <x:c r="BX71" s="5" t="n"/>
      <x:c r="BY71" s="5" t="n"/>
      <x:c r="BZ71" s="5" t="n"/>
      <x:c r="CA71" s="5" t="n"/>
      <x:c r="CB71" s="5" t="n"/>
      <x:c r="CC71" s="5" t="n"/>
      <x:c r="CD71" s="5" t="n"/>
      <x:c r="CE71" s="5" t="n"/>
    </x:row>
    <x:row r="72" ht="30" customHeight="1">
      <x:c r="A72" s="5" t="inlineStr">
        <x:is>
          <x:t xml:space="preserve">ER-157</x:t>
        </x:is>
      </x:c>
      <x:c r="B72" s="5" t="inlineStr">
        <x:is>
          <x:t xml:space="preserve">Population</x:t>
        </x:is>
      </x:c>
      <x:c r="C72" s="5" t="inlineStr">
        <x:is>
          <x:t xml:space="preserve">[Population] All Facilities and Secure Areas</x:t>
        </x:is>
      </x:c>
      <x:c r="D72" s="5" t="n"/>
      <x:c r="E72" s="5" t="inlineStr">
        <x:is>
          <x:t xml:space="preserve">1802.08b1Organizational.3,1802.08b1Organizational.3,1802.08b1Organizational.3,1802.08b1Organizational.3</x:t>
        </x:is>
      </x:c>
      <x:c r="F72" s="5" t="inlineStr">
        <x:is>
          <x:t xml:space="preserve">HITRUST,HITRUST,HITRUST,HITRUST</x:t>
        </x:is>
      </x:c>
      <x:c r="G72" s="5" t="n">
        <x:v>151</x:v>
      </x:c>
      <x:c r="H72" s="5" t="n">
        <x:v>0</x:v>
      </x:c>
      <x:c r="I72" s="5" t="n">
        <x:v>0</x:v>
      </x:c>
      <x:c r="J72" s="5" t="n"/>
      <x:c r="K72" s="5" t="n"/>
      <x:c r="L72" s="5" t="n">
        <x:v>4</x:v>
      </x:c>
      <x:c r="M72" s="5" t="n">
        <x:v>1</x:v>
      </x:c>
      <x:c r="N72" s="5" t="inlineStr">
        <x:is>
          <x:t xml:space="preserve">1802.08b1Organizational.3</x:t>
        </x:is>
      </x:c>
      <x:c r="O72" s="5" t="n"/>
      <x:c r="P72" s="5" t="n"/>
      <x:c r="Q72" s="5" t="n"/>
      <x:c r="R72" s="5" t="n"/>
      <x:c r="S72" s="5" t="n"/>
      <x:c r="T72" s="5" t="n"/>
      <x:c r="U72" s="5" t="n"/>
      <x:c r="V72" s="5" t="n"/>
      <x:c r="W72" s="5" t="n"/>
      <x:c r="X72" s="5" t="n"/>
      <x:c r="Y72" s="5" t="n"/>
      <x:c r="Z72" s="5" t="n"/>
      <x:c r="AA72" s="5" t="n"/>
      <x:c r="AB72" s="5" t="n"/>
      <x:c r="AC72" s="5" t="n"/>
      <x:c r="AD72" s="5" t="n">
        <x:v>4</x:v>
      </x:c>
      <x:c r="AE72" s="5" t="n">
        <x:v>1</x:v>
      </x:c>
      <x:c r="AF72" s="5" t="inlineStr">
        <x:is>
          <x:t xml:space="preserve">HITRUST</x:t>
        </x:is>
      </x:c>
      <x:c r="AG72" s="5" t="n"/>
      <x:c r="AH72" s="5" t="n"/>
      <x:c r="AI72" s="5" t="n"/>
      <x:c r="AJ72" s="5" t="n"/>
      <x:c r="AK72" s="5" t="n"/>
      <x:c r="AL72" s="28" t="inlineStr">
        <x:is>
          <x:t xml:space="preserve">https://docs.google.com/document/d/1W5FC1d6oqcAnoxBiPHHQMdXo6_EqhnFeiMjXq4_dX9s/edit?usp=sharing</x:t>
        </x:is>
      </x:c>
      <x:c r="AM72" s="5" t="inlineStr">
        <x:is>
          <x:t xml:space="preserve">Local controls deduped from 4 exported tokens to 1 unique button tokens. Frameworks deduped from 4 exported tokens to 1 unique button tokens.</x:t>
        </x:is>
      </x:c>
      <x:c r="AN72" s="5" t="n"/>
      <x:c r="AO72" s="5" t="n"/>
      <x:c r="AP72" s="5" t="n"/>
      <x:c r="AQ72" s="5" t="n"/>
      <x:c r="AR72" s="5" t="n"/>
      <x:c r="AS72" s="5" t="n"/>
      <x:c r="AT72" s="5" t="n"/>
      <x:c r="AU72" s="5" t="n"/>
      <x:c r="AV72" s="5" t="n"/>
      <x:c r="AW72" s="5" t="n"/>
      <x:c r="AX72" s="5" t="n"/>
      <x:c r="AY72" s="5" t="n"/>
      <x:c r="AZ72" s="5" t="n"/>
      <x:c r="BA72" s="5" t="n"/>
      <x:c r="BB72" s="5" t="n"/>
      <x:c r="BC72" s="5" t="n"/>
      <x:c r="BD72" s="5" t="n"/>
      <x:c r="BE72" s="5" t="n"/>
      <x:c r="BF72" s="5" t="n"/>
      <x:c r="BG72" s="5" t="n"/>
      <x:c r="BH72" s="5" t="n"/>
      <x:c r="BI72" s="5" t="n"/>
      <x:c r="BJ72" s="5" t="n"/>
      <x:c r="BK72" s="5" t="n"/>
      <x:c r="BL72" s="5" t="n"/>
      <x:c r="BM72" s="5" t="n"/>
      <x:c r="BN72" s="5" t="n"/>
      <x:c r="BO72" s="5" t="n"/>
      <x:c r="BP72" s="5" t="n"/>
      <x:c r="BQ72" s="5" t="n"/>
      <x:c r="BR72" s="5" t="n"/>
      <x:c r="BS72" s="5" t="n"/>
      <x:c r="BT72" s="5" t="n"/>
      <x:c r="BU72" s="5" t="n"/>
      <x:c r="BV72" s="5" t="n"/>
      <x:c r="BW72" s="5" t="n"/>
      <x:c r="BX72" s="5" t="n"/>
      <x:c r="BY72" s="5" t="n"/>
      <x:c r="BZ72" s="5" t="n"/>
      <x:c r="CA72" s="5" t="n"/>
      <x:c r="CB72" s="5" t="n"/>
      <x:c r="CC72" s="5" t="n"/>
      <x:c r="CD72" s="5" t="n"/>
      <x:c r="CE72" s="5" t="n"/>
    </x:row>
    <x:row r="73" ht="30" customHeight="1">
      <x:c r="A73" s="5" t="inlineStr">
        <x:is>
          <x:t xml:space="preserve">ER-158</x:t>
        </x:is>
      </x:c>
      <x:c r="B73" s="5" t="inlineStr">
        <x:is>
          <x:t xml:space="preserve">Population</x:t>
        </x:is>
      </x:c>
      <x:c r="C73" s="5" t="inlineStr">
        <x:is>
          <x:t xml:space="preserve">[Population] All Public Information Posting Users</x:t>
        </x:is>
      </x:c>
      <x:c r="D73" s="5" t="n"/>
      <x:c r="E73" s="5" t="inlineStr">
        <x:is>
          <x:t xml:space="preserve">19180.09z1Organizational.2,19180.09z1Organizational.2,19180.09z1Organizational.2,19180.09z1Organizational.2</x:t>
        </x:is>
      </x:c>
      <x:c r="F73" s="5" t="inlineStr">
        <x:is>
          <x:t xml:space="preserve">HITRUST,HITRUST,HITRUST,HITRUST</x:t>
        </x:is>
      </x:c>
      <x:c r="G73" s="5" t="n">
        <x:v>152</x:v>
      </x:c>
      <x:c r="H73" s="5" t="n">
        <x:v>0</x:v>
      </x:c>
      <x:c r="I73" s="5" t="n">
        <x:v>0</x:v>
      </x:c>
      <x:c r="J73" s="5" t="n"/>
      <x:c r="K73" s="5" t="n"/>
      <x:c r="L73" s="5" t="n">
        <x:v>4</x:v>
      </x:c>
      <x:c r="M73" s="5" t="n">
        <x:v>1</x:v>
      </x:c>
      <x:c r="N73" s="5" t="inlineStr">
        <x:is>
          <x:t xml:space="preserve">19180.09z1Organizational.2</x:t>
        </x:is>
      </x:c>
      <x:c r="O73" s="5" t="n"/>
      <x:c r="P73" s="5" t="n"/>
      <x:c r="Q73" s="5" t="n"/>
      <x:c r="R73" s="5" t="n"/>
      <x:c r="S73" s="5" t="n"/>
      <x:c r="T73" s="5" t="n"/>
      <x:c r="U73" s="5" t="n"/>
      <x:c r="V73" s="5" t="n"/>
      <x:c r="W73" s="5" t="n"/>
      <x:c r="X73" s="5" t="n"/>
      <x:c r="Y73" s="5" t="n"/>
      <x:c r="Z73" s="5" t="n"/>
      <x:c r="AA73" s="5" t="n"/>
      <x:c r="AB73" s="5" t="n"/>
      <x:c r="AC73" s="5" t="n"/>
      <x:c r="AD73" s="5" t="n">
        <x:v>4</x:v>
      </x:c>
      <x:c r="AE73" s="5" t="n">
        <x:v>1</x:v>
      </x:c>
      <x:c r="AF73" s="5" t="inlineStr">
        <x:is>
          <x:t xml:space="preserve">HITRUST</x:t>
        </x:is>
      </x:c>
      <x:c r="AG73" s="5" t="n"/>
      <x:c r="AH73" s="5" t="n"/>
      <x:c r="AI73" s="5" t="n"/>
      <x:c r="AJ73" s="5" t="n"/>
      <x:c r="AK73" s="5" t="n"/>
      <x:c r="AL73" s="28" t="inlineStr">
        <x:is>
          <x:t xml:space="preserve">https://docs.google.com/document/d/1W5FC1d6oqcAnoxBiPHHQMdXo6_EqhnFeiMjXq4_dX9s/edit?usp=sharing</x:t>
        </x:is>
      </x:c>
      <x:c r="AM73" s="5" t="inlineStr">
        <x:is>
          <x:t xml:space="preserve">Local controls deduped from 4 exported tokens to 1 unique button tokens. Frameworks deduped from 4 exported tokens to 1 unique button tokens.</x:t>
        </x:is>
      </x:c>
      <x:c r="AN73" s="5" t="n"/>
      <x:c r="AO73" s="5" t="n"/>
      <x:c r="AP73" s="5" t="n"/>
      <x:c r="AQ73" s="5" t="n"/>
      <x:c r="AR73" s="5" t="n"/>
      <x:c r="AS73" s="5" t="n"/>
      <x:c r="AT73" s="5" t="n"/>
      <x:c r="AU73" s="5" t="n"/>
      <x:c r="AV73" s="5" t="n"/>
      <x:c r="AW73" s="5" t="n"/>
      <x:c r="AX73" s="5" t="n"/>
      <x:c r="AY73" s="5" t="n"/>
      <x:c r="AZ73" s="5" t="n"/>
      <x:c r="BA73" s="5" t="n"/>
      <x:c r="BB73" s="5" t="n"/>
      <x:c r="BC73" s="5" t="n"/>
      <x:c r="BD73" s="5" t="n"/>
      <x:c r="BE73" s="5" t="n"/>
      <x:c r="BF73" s="5" t="n"/>
      <x:c r="BG73" s="5" t="n"/>
      <x:c r="BH73" s="5" t="n"/>
      <x:c r="BI73" s="5" t="n"/>
      <x:c r="BJ73" s="5" t="n"/>
      <x:c r="BK73" s="5" t="n"/>
      <x:c r="BL73" s="5" t="n"/>
      <x:c r="BM73" s="5" t="n"/>
      <x:c r="BN73" s="5" t="n"/>
      <x:c r="BO73" s="5" t="n"/>
      <x:c r="BP73" s="5" t="n"/>
      <x:c r="BQ73" s="5" t="n"/>
      <x:c r="BR73" s="5" t="n"/>
      <x:c r="BS73" s="5" t="n"/>
      <x:c r="BT73" s="5" t="n"/>
      <x:c r="BU73" s="5" t="n"/>
      <x:c r="BV73" s="5" t="n"/>
      <x:c r="BW73" s="5" t="n"/>
      <x:c r="BX73" s="5" t="n"/>
      <x:c r="BY73" s="5" t="n"/>
      <x:c r="BZ73" s="5" t="n"/>
      <x:c r="CA73" s="5" t="n"/>
      <x:c r="CB73" s="5" t="n"/>
      <x:c r="CC73" s="5" t="n"/>
      <x:c r="CD73" s="5" t="n"/>
      <x:c r="CE73" s="5" t="n"/>
    </x:row>
    <x:row r="74" ht="30" customHeight="1">
      <x:c r="A74" s="5" t="inlineStr">
        <x:is>
          <x:t xml:space="preserve">ER-282</x:t>
        </x:is>
      </x:c>
      <x:c r="B74" s="5" t="inlineStr">
        <x:is>
          <x:t xml:space="preserve">Configuration</x:t>
        </x:is>
      </x:c>
      <x:c r="C74" s="5" t="inlineStr">
        <x:is>
          <x:t xml:space="preserve">[Configuration] Password and Multifactor Authentication</x:t>
        </x:is>
      </x:c>
      <x:c r="D74" s="5" t="n"/>
      <x:c r="E74" s="5" t="inlineStr">
        <x:is>
          <x:t xml:space="preserve">11.01p1System.5,11.01p1System.5,11.01p1System.5</x:t>
        </x:is>
      </x:c>
      <x:c r="F74" s="5" t="inlineStr">
        <x:is>
          <x:t xml:space="preserve">HITRUST,HITRUST,HITRUST</x:t>
        </x:is>
      </x:c>
      <x:c r="G74" s="5" t="n">
        <x:v>268</x:v>
      </x:c>
      <x:c r="H74" s="5" t="n">
        <x:v>0</x:v>
      </x:c>
      <x:c r="I74" s="5" t="n">
        <x:v>0</x:v>
      </x:c>
      <x:c r="J74" s="5" t="n"/>
      <x:c r="K74" s="5" t="n"/>
      <x:c r="L74" s="5" t="n">
        <x:v>3</x:v>
      </x:c>
      <x:c r="M74" s="5" t="n">
        <x:v>1</x:v>
      </x:c>
      <x:c r="N74" s="5" t="inlineStr">
        <x:is>
          <x:t xml:space="preserve">11.01p1System.5</x:t>
        </x:is>
      </x:c>
      <x:c r="O74" s="5" t="n"/>
      <x:c r="P74" s="5" t="n"/>
      <x:c r="Q74" s="5" t="n"/>
      <x:c r="R74" s="5" t="n"/>
      <x:c r="S74" s="5" t="n"/>
      <x:c r="T74" s="5" t="n"/>
      <x:c r="U74" s="5" t="n"/>
      <x:c r="V74" s="5" t="n"/>
      <x:c r="W74" s="5" t="n"/>
      <x:c r="X74" s="5" t="n"/>
      <x:c r="Y74" s="5" t="n"/>
      <x:c r="Z74" s="5" t="n"/>
      <x:c r="AA74" s="5" t="n"/>
      <x:c r="AB74" s="5" t="n"/>
      <x:c r="AC74" s="5" t="n"/>
      <x:c r="AD74" s="5" t="n">
        <x:v>3</x:v>
      </x:c>
      <x:c r="AE74" s="5" t="n">
        <x:v>1</x:v>
      </x:c>
      <x:c r="AF74" s="5" t="inlineStr">
        <x:is>
          <x:t xml:space="preserve">HITRUST</x:t>
        </x:is>
      </x:c>
      <x:c r="AG74" s="5" t="n"/>
      <x:c r="AH74" s="5" t="n"/>
      <x:c r="AI74" s="5" t="n"/>
      <x:c r="AJ74" s="5" t="n"/>
      <x:c r="AK74" s="5" t="n"/>
      <x:c r="AL74" s="28" t="inlineStr">
        <x:is>
          <x:t xml:space="preserve">https://docs.google.com/document/d/1W5FC1d6oqcAnoxBiPHHQMdXo6_EqhnFeiMjXq4_dX9s/edit?usp=sharing</x:t>
        </x:is>
      </x:c>
      <x:c r="AM74" s="5" t="inlineStr">
        <x:is>
          <x:t xml:space="preserve">Local controls deduped from 3 exported tokens to 1 unique button tokens. Frameworks deduped from 3 exported tokens to 1 unique button tokens.</x:t>
        </x:is>
      </x:c>
      <x:c r="AN74" s="5" t="n"/>
      <x:c r="AO74" s="5" t="n"/>
      <x:c r="AP74" s="5" t="n"/>
      <x:c r="AQ74" s="5" t="n"/>
      <x:c r="AR74" s="5" t="n"/>
      <x:c r="AS74" s="5" t="n"/>
      <x:c r="AT74" s="5" t="n"/>
      <x:c r="AU74" s="5" t="n"/>
      <x:c r="AV74" s="5" t="n"/>
      <x:c r="AW74" s="5" t="n"/>
      <x:c r="AX74" s="5" t="n"/>
      <x:c r="AY74" s="5" t="n"/>
      <x:c r="AZ74" s="5" t="n"/>
      <x:c r="BA74" s="5" t="n"/>
      <x:c r="BB74" s="5" t="n"/>
      <x:c r="BC74" s="5" t="n"/>
      <x:c r="BD74" s="5" t="n"/>
      <x:c r="BE74" s="5" t="n"/>
      <x:c r="BF74" s="5" t="n"/>
      <x:c r="BG74" s="5" t="n"/>
      <x:c r="BH74" s="5" t="n"/>
      <x:c r="BI74" s="5" t="n"/>
      <x:c r="BJ74" s="5" t="n"/>
      <x:c r="BK74" s="5" t="n"/>
      <x:c r="BL74" s="5" t="n"/>
      <x:c r="BM74" s="5" t="n"/>
      <x:c r="BN74" s="5" t="n"/>
      <x:c r="BO74" s="5" t="n"/>
      <x:c r="BP74" s="5" t="n"/>
      <x:c r="BQ74" s="5" t="n"/>
      <x:c r="BR74" s="5" t="n"/>
      <x:c r="BS74" s="5" t="n"/>
      <x:c r="BT74" s="5" t="n"/>
      <x:c r="BU74" s="5" t="n"/>
      <x:c r="BV74" s="5" t="n"/>
      <x:c r="BW74" s="5" t="n"/>
      <x:c r="BX74" s="5" t="n"/>
      <x:c r="BY74" s="5" t="n"/>
      <x:c r="BZ74" s="5" t="n"/>
      <x:c r="CA74" s="5" t="n"/>
      <x:c r="CB74" s="5" t="n"/>
      <x:c r="CC74" s="5" t="n"/>
      <x:c r="CD74" s="5" t="n"/>
      <x:c r="CE74" s="5" t="n"/>
    </x:row>
    <x:row r="75" ht="30" customHeight="1">
      <x:c r="A75" s="5" t="inlineStr">
        <x:is>
          <x:t xml:space="preserve">ER-283</x:t>
        </x:is>
      </x:c>
      <x:c r="B75" s="5" t="inlineStr">
        <x:is>
          <x:t xml:space="preserve">Configuration</x:t>
        </x:is>
      </x:c>
      <x:c r="C75" s="5" t="inlineStr">
        <x:is>
          <x:t xml:space="preserve">[Configuration] Audit Log Retention</x:t>
        </x:is>
      </x:c>
      <x:c r="D75" s="5" t="inlineStr">
        <x:is>
          <x:t xml:space="preserve">PCI DSS v4.0 - ROC - Merchant</x:t>
        </x:is>
      </x:c>
      <x:c r="E75" s="5" t="inlineStr">
        <x:is>
          <x:t xml:space="preserve">1239.09aa1System.4,5.3.4,1239.09aa1System.4,1239.09aa1System.4</x:t>
        </x:is>
      </x:c>
      <x:c r="F75" s="5" t="inlineStr">
        <x:is>
          <x:t xml:space="preserve">HITRUST,PCI DSS v4.0,HITRUST,HITRUST</x:t>
        </x:is>
      </x:c>
      <x:c r="G75" s="5" t="n">
        <x:v>269</x:v>
      </x:c>
      <x:c r="H75" s="5" t="n">
        <x:v>1</x:v>
      </x:c>
      <x:c r="I75" s="5" t="n">
        <x:v>1</x:v>
      </x:c>
      <x:c r="J75" s="5" t="inlineStr">
        <x:is>
          <x:t xml:space="preserve">PCI DSS v4.0 - ROC - Merchant</x:t>
        </x:is>
      </x:c>
      <x:c r="K75" s="5" t="n"/>
      <x:c r="L75" s="5" t="n">
        <x:v>4</x:v>
      </x:c>
      <x:c r="M75" s="5" t="n">
        <x:v>2</x:v>
      </x:c>
      <x:c r="N75" s="5" t="inlineStr">
        <x:is>
          <x:t xml:space="preserve">1239.09aa1System.4</x:t>
        </x:is>
      </x:c>
      <x:c r="O75" s="5" t="inlineStr">
        <x:is>
          <x:t xml:space="preserve">5.3.4</x:t>
        </x:is>
      </x:c>
      <x:c r="P75" s="5" t="n"/>
      <x:c r="Q75" s="5" t="n"/>
      <x:c r="R75" s="5" t="n"/>
      <x:c r="S75" s="5" t="n"/>
      <x:c r="T75" s="5" t="n"/>
      <x:c r="U75" s="5" t="n"/>
      <x:c r="V75" s="5" t="n"/>
      <x:c r="W75" s="5" t="n"/>
      <x:c r="X75" s="5" t="n"/>
      <x:c r="Y75" s="5" t="n"/>
      <x:c r="Z75" s="5" t="n"/>
      <x:c r="AA75" s="5" t="n"/>
      <x:c r="AB75" s="5" t="n"/>
      <x:c r="AC75" s="5" t="n"/>
      <x:c r="AD75" s="5" t="n">
        <x:v>4</x:v>
      </x:c>
      <x:c r="AE75" s="5" t="n">
        <x:v>2</x:v>
      </x:c>
      <x:c r="AF75" s="5" t="inlineStr">
        <x:is>
          <x:t xml:space="preserve">HITRUST</x:t>
        </x:is>
      </x:c>
      <x:c r="AG75" s="5" t="inlineStr">
        <x:is>
          <x:t xml:space="preserve">PCI DSS v4.0</x:t>
        </x:is>
      </x:c>
      <x:c r="AH75" s="5" t="n"/>
      <x:c r="AI75" s="5" t="n"/>
      <x:c r="AJ75" s="5" t="n"/>
      <x:c r="AK75" s="5" t="n"/>
      <x:c r="AL75" s="28" t="inlineStr">
        <x:is>
          <x:t xml:space="preserve">https://docs.google.com/document/d/1W5FC1d6oqcAnoxBiPHHQMdXo6_EqhnFeiMjXq4_dX9s/edit?usp=sharing</x:t>
        </x:is>
      </x:c>
      <x:c r="AM75" s="5" t="inlineStr">
        <x:is>
          <x:t xml:space="preserve">Local controls deduped from 4 exported tokens to 2 unique button tokens. Frameworks deduped from 4 exported tokens to 2 unique button tokens.</x:t>
        </x:is>
      </x:c>
      <x:c r="AN75" s="5" t="n"/>
      <x:c r="AO75" s="5" t="n"/>
      <x:c r="AP75" s="5" t="n"/>
      <x:c r="AQ75" s="5" t="n"/>
      <x:c r="AR75" s="5" t="n"/>
      <x:c r="AS75" s="5" t="n"/>
      <x:c r="AT75" s="5" t="n"/>
      <x:c r="AU75" s="5" t="n"/>
      <x:c r="AV75" s="5" t="n"/>
      <x:c r="AW75" s="5" t="n"/>
      <x:c r="AX75" s="5" t="n"/>
      <x:c r="AY75" s="5" t="n"/>
      <x:c r="AZ75" s="5" t="n"/>
      <x:c r="BA75" s="5" t="n"/>
      <x:c r="BB75" s="5" t="n"/>
      <x:c r="BC75" s="5" t="n"/>
      <x:c r="BD75" s="5" t="n"/>
      <x:c r="BE75" s="5" t="n"/>
      <x:c r="BF75" s="5" t="n"/>
      <x:c r="BG75" s="5" t="n"/>
      <x:c r="BH75" s="5" t="n"/>
      <x:c r="BI75" s="5" t="n"/>
      <x:c r="BJ75" s="5" t="n"/>
      <x:c r="BK75" s="5" t="n"/>
      <x:c r="BL75" s="5" t="n"/>
      <x:c r="BM75" s="5" t="n"/>
      <x:c r="BN75" s="5" t="n"/>
      <x:c r="BO75" s="5" t="n"/>
      <x:c r="BP75" s="5" t="n"/>
      <x:c r="BQ75" s="5" t="n"/>
      <x:c r="BR75" s="5" t="n"/>
      <x:c r="BS75" s="5" t="n"/>
      <x:c r="BT75" s="5" t="n"/>
      <x:c r="BU75" s="5" t="n"/>
      <x:c r="BV75" s="5" t="n"/>
      <x:c r="BW75" s="5" t="n"/>
      <x:c r="BX75" s="5" t="n"/>
      <x:c r="BY75" s="5" t="n"/>
      <x:c r="BZ75" s="5" t="n"/>
      <x:c r="CA75" s="5" t="n"/>
      <x:c r="CB75" s="5" t="n"/>
      <x:c r="CC75" s="5" t="n"/>
      <x:c r="CD75" s="5" t="n"/>
      <x:c r="CE75" s="5" t="n"/>
    </x:row>
    <x:row r="76" ht="30" customHeight="1">
      <x:c r="A76" s="5" t="inlineStr">
        <x:is>
          <x:t xml:space="preserve">ER-442</x:t>
        </x:is>
      </x:c>
      <x:c r="B76" s="5" t="inlineStr">
        <x:is>
          <x:t xml:space="preserve">Sample</x:t>
        </x:is>
      </x:c>
      <x:c r="C76" s="5" t="inlineStr">
        <x:is>
          <x:t xml:space="preserve">[Sample] Automated/Manual Security Updating</x:t>
        </x:is>
      </x:c>
      <x:c r="D76" s="5" t="n"/>
      <x:c r="E76" s="5" t="inlineStr">
        <x:is>
          <x:t xml:space="preserve">07.10m1Organizational.2,07.10m1Organizational.2,07.10m1Organizational.2</x:t>
        </x:is>
      </x:c>
      <x:c r="F76" s="5" t="inlineStr">
        <x:is>
          <x:t xml:space="preserve">HITRUST,HITRUST,HITRUST</x:t>
        </x:is>
      </x:c>
      <x:c r="G76" s="5" t="n">
        <x:v>423</x:v>
      </x:c>
      <x:c r="H76" s="5" t="n">
        <x:v>0</x:v>
      </x:c>
      <x:c r="I76" s="5" t="n">
        <x:v>0</x:v>
      </x:c>
      <x:c r="J76" s="5" t="n"/>
      <x:c r="K76" s="5" t="n"/>
      <x:c r="L76" s="5" t="n">
        <x:v>3</x:v>
      </x:c>
      <x:c r="M76" s="5" t="n">
        <x:v>1</x:v>
      </x:c>
      <x:c r="N76" s="5" t="inlineStr">
        <x:is>
          <x:t xml:space="preserve">07.10m1Organizational.2</x:t>
        </x:is>
      </x:c>
      <x:c r="O76" s="5" t="n"/>
      <x:c r="P76" s="5" t="n"/>
      <x:c r="Q76" s="5" t="n"/>
      <x:c r="R76" s="5" t="n"/>
      <x:c r="S76" s="5" t="n"/>
      <x:c r="T76" s="5" t="n"/>
      <x:c r="U76" s="5" t="n"/>
      <x:c r="V76" s="5" t="n"/>
      <x:c r="W76" s="5" t="n"/>
      <x:c r="X76" s="5" t="n"/>
      <x:c r="Y76" s="5" t="n"/>
      <x:c r="Z76" s="5" t="n"/>
      <x:c r="AA76" s="5" t="n"/>
      <x:c r="AB76" s="5" t="n"/>
      <x:c r="AC76" s="5" t="n"/>
      <x:c r="AD76" s="5" t="n">
        <x:v>3</x:v>
      </x:c>
      <x:c r="AE76" s="5" t="n">
        <x:v>1</x:v>
      </x:c>
      <x:c r="AF76" s="5" t="inlineStr">
        <x:is>
          <x:t xml:space="preserve">HITRUST</x:t>
        </x:is>
      </x:c>
      <x:c r="AG76" s="5" t="n"/>
      <x:c r="AH76" s="5" t="n"/>
      <x:c r="AI76" s="5" t="n"/>
      <x:c r="AJ76" s="5" t="n"/>
      <x:c r="AK76" s="5" t="n"/>
      <x:c r="AL76" s="28" t="inlineStr">
        <x:is>
          <x:t xml:space="preserve">https://docs.google.com/document/d/1W5FC1d6oqcAnoxBiPHHQMdXo6_EqhnFeiMjXq4_dX9s/edit?usp=sharing</x:t>
        </x:is>
      </x:c>
      <x:c r="AM76" s="5" t="inlineStr">
        <x:is>
          <x:t xml:space="preserve">Local controls deduped from 3 exported tokens to 1 unique button tokens. Frameworks deduped from 3 exported tokens to 1 unique button tokens.</x:t>
        </x:is>
      </x:c>
      <x:c r="AN76" s="5" t="n"/>
      <x:c r="AO76" s="5" t="n"/>
      <x:c r="AP76" s="5" t="n"/>
      <x:c r="AQ76" s="5" t="n"/>
      <x:c r="AR76" s="5" t="n"/>
      <x:c r="AS76" s="5" t="n"/>
      <x:c r="AT76" s="5" t="n"/>
      <x:c r="AU76" s="5" t="n"/>
      <x:c r="AV76" s="5" t="n"/>
      <x:c r="AW76" s="5" t="n"/>
      <x:c r="AX76" s="5" t="n"/>
      <x:c r="AY76" s="5" t="n"/>
      <x:c r="AZ76" s="5" t="n"/>
      <x:c r="BA76" s="5" t="n"/>
      <x:c r="BB76" s="5" t="n"/>
      <x:c r="BC76" s="5" t="n"/>
      <x:c r="BD76" s="5" t="n"/>
      <x:c r="BE76" s="5" t="n"/>
      <x:c r="BF76" s="5" t="n"/>
      <x:c r="BG76" s="5" t="n"/>
      <x:c r="BH76" s="5" t="n"/>
      <x:c r="BI76" s="5" t="n"/>
      <x:c r="BJ76" s="5" t="n"/>
      <x:c r="BK76" s="5" t="n"/>
      <x:c r="BL76" s="5" t="n"/>
      <x:c r="BM76" s="5" t="n"/>
      <x:c r="BN76" s="5" t="n"/>
      <x:c r="BO76" s="5" t="n"/>
      <x:c r="BP76" s="5" t="n"/>
      <x:c r="BQ76" s="5" t="n"/>
      <x:c r="BR76" s="5" t="n"/>
      <x:c r="BS76" s="5" t="n"/>
      <x:c r="BT76" s="5" t="n"/>
      <x:c r="BU76" s="5" t="n"/>
      <x:c r="BV76" s="5" t="n"/>
      <x:c r="BW76" s="5" t="n"/>
      <x:c r="BX76" s="5" t="n"/>
      <x:c r="BY76" s="5" t="n"/>
      <x:c r="BZ76" s="5" t="n"/>
      <x:c r="CA76" s="5" t="n"/>
      <x:c r="CB76" s="5" t="n"/>
      <x:c r="CC76" s="5" t="n"/>
      <x:c r="CD76" s="5" t="n"/>
      <x:c r="CE76" s="5" t="n"/>
    </x:row>
    <x:row r="77" ht="30" customHeight="1">
      <x:c r="A77" s="5" t="inlineStr">
        <x:is>
          <x:t xml:space="preserve">ER-448</x:t>
        </x:is>
      </x:c>
      <x:c r="B77" s="5" t="inlineStr">
        <x:is>
          <x:t xml:space="preserve">Operational</x:t>
        </x:is>
      </x:c>
      <x:c r="C77" s="5" t="inlineStr">
        <x:is>
          <x:t xml:space="preserve">[Operational] Destruction of Media Containing Sensitive Information</x:t>
        </x:is>
      </x:c>
      <x:c r="D77" s="5" t="n"/>
      <x:c r="E77" s="5" t="inlineStr">
        <x:is>
          <x:t xml:space="preserve">1826.09p1Organizational.1,1826.09p1Organizational.1,1826.09p1Organizational.1,1826.09p1Organizational.1,1826.09p1Organizational.1</x:t>
        </x:is>
      </x:c>
      <x:c r="F77" s="5" t="inlineStr">
        <x:is>
          <x:t xml:space="preserve">HITRUST,HITRUST,HITRUST,HITRUST,HITRUST</x:t>
        </x:is>
      </x:c>
      <x:c r="G77" s="5" t="n">
        <x:v>428</x:v>
      </x:c>
      <x:c r="H77" s="5" t="n">
        <x:v>0</x:v>
      </x:c>
      <x:c r="I77" s="5" t="n">
        <x:v>0</x:v>
      </x:c>
      <x:c r="J77" s="5" t="n"/>
      <x:c r="K77" s="5" t="n"/>
      <x:c r="L77" s="5" t="n">
        <x:v>5</x:v>
      </x:c>
      <x:c r="M77" s="5" t="n">
        <x:v>1</x:v>
      </x:c>
      <x:c r="N77" s="5" t="inlineStr">
        <x:is>
          <x:t xml:space="preserve">1826.09p1Organizational.1</x:t>
        </x:is>
      </x:c>
      <x:c r="O77" s="5" t="n"/>
      <x:c r="P77" s="5" t="n"/>
      <x:c r="Q77" s="5" t="n"/>
      <x:c r="R77" s="5" t="n"/>
      <x:c r="S77" s="5" t="n"/>
      <x:c r="T77" s="5" t="n"/>
      <x:c r="U77" s="5" t="n"/>
      <x:c r="V77" s="5" t="n"/>
      <x:c r="W77" s="5" t="n"/>
      <x:c r="X77" s="5" t="n"/>
      <x:c r="Y77" s="5" t="n"/>
      <x:c r="Z77" s="5" t="n"/>
      <x:c r="AA77" s="5" t="n"/>
      <x:c r="AB77" s="5" t="n"/>
      <x:c r="AC77" s="5" t="n"/>
      <x:c r="AD77" s="5" t="n">
        <x:v>5</x:v>
      </x:c>
      <x:c r="AE77" s="5" t="n">
        <x:v>1</x:v>
      </x:c>
      <x:c r="AF77" s="5" t="inlineStr">
        <x:is>
          <x:t xml:space="preserve">HITRUST</x:t>
        </x:is>
      </x:c>
      <x:c r="AG77" s="5" t="n"/>
      <x:c r="AH77" s="5" t="n"/>
      <x:c r="AI77" s="5" t="n"/>
      <x:c r="AJ77" s="5" t="n"/>
      <x:c r="AK77" s="5" t="n"/>
      <x:c r="AL77" s="28" t="inlineStr">
        <x:is>
          <x:t xml:space="preserve">https://docs.google.com/document/d/1W5FC1d6oqcAnoxBiPHHQMdXo6_EqhnFeiMjXq4_dX9s/edit?usp=sharing</x:t>
        </x:is>
      </x:c>
      <x:c r="AM77" s="5" t="inlineStr">
        <x:is>
          <x:t xml:space="preserve">Local controls deduped from 5 exported tokens to 1 unique button tokens. Frameworks deduped from 5 exported tokens to 1 unique button tokens.</x:t>
        </x:is>
      </x:c>
      <x:c r="AN77" s="5" t="n"/>
      <x:c r="AO77" s="5" t="n"/>
      <x:c r="AP77" s="5" t="n"/>
      <x:c r="AQ77" s="5" t="n"/>
      <x:c r="AR77" s="5" t="n"/>
      <x:c r="AS77" s="5" t="n"/>
      <x:c r="AT77" s="5" t="n"/>
      <x:c r="AU77" s="5" t="n"/>
      <x:c r="AV77" s="5" t="n"/>
      <x:c r="AW77" s="5" t="n"/>
      <x:c r="AX77" s="5" t="n"/>
      <x:c r="AY77" s="5" t="n"/>
      <x:c r="AZ77" s="5" t="n"/>
      <x:c r="BA77" s="5" t="n"/>
      <x:c r="BB77" s="5" t="n"/>
      <x:c r="BC77" s="5" t="n"/>
      <x:c r="BD77" s="5" t="n"/>
      <x:c r="BE77" s="5" t="n"/>
      <x:c r="BF77" s="5" t="n"/>
      <x:c r="BG77" s="5" t="n"/>
      <x:c r="BH77" s="5" t="n"/>
      <x:c r="BI77" s="5" t="n"/>
      <x:c r="BJ77" s="5" t="n"/>
      <x:c r="BK77" s="5" t="n"/>
      <x:c r="BL77" s="5" t="n"/>
      <x:c r="BM77" s="5" t="n"/>
      <x:c r="BN77" s="5" t="n"/>
      <x:c r="BO77" s="5" t="n"/>
      <x:c r="BP77" s="5" t="n"/>
      <x:c r="BQ77" s="5" t="n"/>
      <x:c r="BR77" s="5" t="n"/>
      <x:c r="BS77" s="5" t="n"/>
      <x:c r="BT77" s="5" t="n"/>
      <x:c r="BU77" s="5" t="n"/>
      <x:c r="BV77" s="5" t="n"/>
      <x:c r="BW77" s="5" t="n"/>
      <x:c r="BX77" s="5" t="n"/>
      <x:c r="BY77" s="5" t="n"/>
      <x:c r="BZ77" s="5" t="n"/>
      <x:c r="CA77" s="5" t="n"/>
      <x:c r="CB77" s="5" t="n"/>
      <x:c r="CC77" s="5" t="n"/>
      <x:c r="CD77" s="5" t="n"/>
      <x:c r="CE77" s="5" t="n"/>
    </x:row>
    <x:row r="78" ht="30" customHeight="1">
      <x:c r="A78" s="5" t="inlineStr">
        <x:is>
          <x:t xml:space="preserve">ER-449</x:t>
        </x:is>
      </x:c>
      <x:c r="B78" s="5" t="inlineStr">
        <x:is>
          <x:t xml:space="preserve">Configuration</x:t>
        </x:is>
      </x:c>
      <x:c r="C78" s="5" t="inlineStr">
        <x:is>
          <x:t xml:space="preserve">[Configuration] Unnecessary Port, Services Removal</x:t>
        </x:is>
      </x:c>
      <x:c r="D78" s="5" t="n"/>
      <x:c r="E78" s="5" t="inlineStr">
        <x:is>
          <x:t xml:space="preserve">1194.01l1Organizational.2</x:t>
        </x:is>
      </x:c>
      <x:c r="F78" s="5" t="inlineStr">
        <x:is>
          <x:t xml:space="preserve">HITRUST</x:t>
        </x:is>
      </x:c>
      <x:c r="G78" s="5" t="n">
        <x:v>429</x:v>
      </x:c>
      <x:c r="H78" s="5" t="n">
        <x:v>0</x:v>
      </x:c>
      <x:c r="I78" s="5" t="n">
        <x:v>0</x:v>
      </x:c>
      <x:c r="J78" s="5" t="n"/>
      <x:c r="K78" s="5" t="n"/>
      <x:c r="L78" s="5" t="n">
        <x:v>1</x:v>
      </x:c>
      <x:c r="M78" s="5" t="n">
        <x:v>1</x:v>
      </x:c>
      <x:c r="N78" s="5" t="inlineStr">
        <x:is>
          <x:t xml:space="preserve">1194.01l1Organizational.2</x:t>
        </x:is>
      </x:c>
      <x:c r="O78" s="5" t="n"/>
      <x:c r="P78" s="5" t="n"/>
      <x:c r="Q78" s="5" t="n"/>
      <x:c r="R78" s="5" t="n"/>
      <x:c r="S78" s="5" t="n"/>
      <x:c r="T78" s="5" t="n"/>
      <x:c r="U78" s="5" t="n"/>
      <x:c r="V78" s="5" t="n"/>
      <x:c r="W78" s="5" t="n"/>
      <x:c r="X78" s="5" t="n"/>
      <x:c r="Y78" s="5" t="n"/>
      <x:c r="Z78" s="5" t="n"/>
      <x:c r="AA78" s="5" t="n"/>
      <x:c r="AB78" s="5" t="n"/>
      <x:c r="AC78" s="5" t="n"/>
      <x:c r="AD78" s="5" t="n">
        <x:v>1</x:v>
      </x:c>
      <x:c r="AE78" s="5" t="n">
        <x:v>1</x:v>
      </x:c>
      <x:c r="AF78" s="5" t="inlineStr">
        <x:is>
          <x:t xml:space="preserve">HITRUST</x:t>
        </x:is>
      </x:c>
      <x:c r="AG78" s="5" t="n"/>
      <x:c r="AH78" s="5" t="n"/>
      <x:c r="AI78" s="5" t="n"/>
      <x:c r="AJ78" s="5" t="n"/>
      <x:c r="AK78" s="5" t="n"/>
      <x:c r="AL78" s="28" t="inlineStr">
        <x:is>
          <x:t xml:space="preserve">https://docs.google.com/document/d/1W5FC1d6oqcAnoxBiPHHQMdXo6_EqhnFeiMjXq4_dX9s/edit?usp=sharing</x:t>
        </x:is>
      </x:c>
      <x:c r="AM78" s="5" t="inlineStr">
        <x:is>
          <x:t xml:space="preserve"/>
        </x:is>
      </x:c>
      <x:c r="AN78" s="5" t="n"/>
      <x:c r="AO78" s="5" t="n"/>
      <x:c r="AP78" s="5" t="n"/>
      <x:c r="AQ78" s="5" t="n"/>
      <x:c r="AR78" s="5" t="n"/>
      <x:c r="AS78" s="5" t="n"/>
      <x:c r="AT78" s="5" t="n"/>
      <x:c r="AU78" s="5" t="n"/>
      <x:c r="AV78" s="5" t="n"/>
      <x:c r="AW78" s="5" t="n"/>
      <x:c r="AX78" s="5" t="n"/>
      <x:c r="AY78" s="5" t="n"/>
      <x:c r="AZ78" s="5" t="n"/>
      <x:c r="BA78" s="5" t="n"/>
      <x:c r="BB78" s="5" t="n"/>
      <x:c r="BC78" s="5" t="n"/>
      <x:c r="BD78" s="5" t="n"/>
      <x:c r="BE78" s="5" t="n"/>
      <x:c r="BF78" s="5" t="n"/>
      <x:c r="BG78" s="5" t="n"/>
      <x:c r="BH78" s="5" t="n"/>
      <x:c r="BI78" s="5" t="n"/>
      <x:c r="BJ78" s="5" t="n"/>
      <x:c r="BK78" s="5" t="n"/>
      <x:c r="BL78" s="5" t="n"/>
      <x:c r="BM78" s="5" t="n"/>
      <x:c r="BN78" s="5" t="n"/>
      <x:c r="BO78" s="5" t="n"/>
      <x:c r="BP78" s="5" t="n"/>
      <x:c r="BQ78" s="5" t="n"/>
      <x:c r="BR78" s="5" t="n"/>
      <x:c r="BS78" s="5" t="n"/>
      <x:c r="BT78" s="5" t="n"/>
      <x:c r="BU78" s="5" t="n"/>
      <x:c r="BV78" s="5" t="n"/>
      <x:c r="BW78" s="5" t="n"/>
      <x:c r="BX78" s="5" t="n"/>
      <x:c r="BY78" s="5" t="n"/>
      <x:c r="BZ78" s="5" t="n"/>
      <x:c r="CA78" s="5" t="n"/>
      <x:c r="CB78" s="5" t="n"/>
      <x:c r="CC78" s="5" t="n"/>
      <x:c r="CD78" s="5" t="n"/>
      <x:c r="CE78" s="5" t="n"/>
    </x:row>
    <x:row r="79" ht="30" customHeight="1">
      <x:c r="A79" s="5" t="inlineStr">
        <x:is>
          <x:t xml:space="preserve">ER-450</x:t>
        </x:is>
      </x:c>
      <x:c r="B79" s="5" t="inlineStr">
        <x:is>
          <x:t xml:space="preserve">Configuration</x:t>
        </x:is>
      </x:c>
      <x:c r="C79" s="5" t="inlineStr">
        <x:is>
          <x:t xml:space="preserve">[Configuration] Offline and Immutable Backups</x:t>
        </x:is>
      </x:c>
      <x:c r="D79" s="5" t="n"/>
      <x:c r="E79" s="5" t="inlineStr">
        <x:is>
          <x:t xml:space="preserve">16.09l1Organizational.4,16.09l1Organizational.4,16.09l1Organizational.4,16.09l1Organizational.4</x:t>
        </x:is>
      </x:c>
      <x:c r="F79" s="5" t="inlineStr">
        <x:is>
          <x:t xml:space="preserve">HITRUST,HITRUST,HITRUST,HITRUST</x:t>
        </x:is>
      </x:c>
      <x:c r="G79" s="5" t="n">
        <x:v>430</x:v>
      </x:c>
      <x:c r="H79" s="5" t="n">
        <x:v>0</x:v>
      </x:c>
      <x:c r="I79" s="5" t="n">
        <x:v>0</x:v>
      </x:c>
      <x:c r="J79" s="5" t="n"/>
      <x:c r="K79" s="5" t="n"/>
      <x:c r="L79" s="5" t="n">
        <x:v>4</x:v>
      </x:c>
      <x:c r="M79" s="5" t="n">
        <x:v>1</x:v>
      </x:c>
      <x:c r="N79" s="5" t="inlineStr">
        <x:is>
          <x:t xml:space="preserve">16.09l1Organizational.4</x:t>
        </x:is>
      </x:c>
      <x:c r="O79" s="5" t="n"/>
      <x:c r="P79" s="5" t="n"/>
      <x:c r="Q79" s="5" t="n"/>
      <x:c r="R79" s="5" t="n"/>
      <x:c r="S79" s="5" t="n"/>
      <x:c r="T79" s="5" t="n"/>
      <x:c r="U79" s="5" t="n"/>
      <x:c r="V79" s="5" t="n"/>
      <x:c r="W79" s="5" t="n"/>
      <x:c r="X79" s="5" t="n"/>
      <x:c r="Y79" s="5" t="n"/>
      <x:c r="Z79" s="5" t="n"/>
      <x:c r="AA79" s="5" t="n"/>
      <x:c r="AB79" s="5" t="n"/>
      <x:c r="AC79" s="5" t="n"/>
      <x:c r="AD79" s="5" t="n">
        <x:v>4</x:v>
      </x:c>
      <x:c r="AE79" s="5" t="n">
        <x:v>1</x:v>
      </x:c>
      <x:c r="AF79" s="5" t="inlineStr">
        <x:is>
          <x:t xml:space="preserve">HITRUST</x:t>
        </x:is>
      </x:c>
      <x:c r="AG79" s="5" t="n"/>
      <x:c r="AH79" s="5" t="n"/>
      <x:c r="AI79" s="5" t="n"/>
      <x:c r="AJ79" s="5" t="n"/>
      <x:c r="AK79" s="5" t="n"/>
      <x:c r="AL79" s="28" t="inlineStr">
        <x:is>
          <x:t xml:space="preserve">https://docs.google.com/document/d/1W5FC1d6oqcAnoxBiPHHQMdXo6_EqhnFeiMjXq4_dX9s/edit?usp=sharing</x:t>
        </x:is>
      </x:c>
      <x:c r="AM79" s="5" t="inlineStr">
        <x:is>
          <x:t xml:space="preserve">Local controls deduped from 4 exported tokens to 1 unique button tokens. Frameworks deduped from 4 exported tokens to 1 unique button tokens.</x:t>
        </x:is>
      </x:c>
      <x:c r="AN79" s="5" t="n"/>
      <x:c r="AO79" s="5" t="n"/>
      <x:c r="AP79" s="5" t="n"/>
      <x:c r="AQ79" s="5" t="n"/>
      <x:c r="AR79" s="5" t="n"/>
      <x:c r="AS79" s="5" t="n"/>
      <x:c r="AT79" s="5" t="n"/>
      <x:c r="AU79" s="5" t="n"/>
      <x:c r="AV79" s="5" t="n"/>
      <x:c r="AW79" s="5" t="n"/>
      <x:c r="AX79" s="5" t="n"/>
      <x:c r="AY79" s="5" t="n"/>
      <x:c r="AZ79" s="5" t="n"/>
      <x:c r="BA79" s="5" t="n"/>
      <x:c r="BB79" s="5" t="n"/>
      <x:c r="BC79" s="5" t="n"/>
      <x:c r="BD79" s="5" t="n"/>
      <x:c r="BE79" s="5" t="n"/>
      <x:c r="BF79" s="5" t="n"/>
      <x:c r="BG79" s="5" t="n"/>
      <x:c r="BH79" s="5" t="n"/>
      <x:c r="BI79" s="5" t="n"/>
      <x:c r="BJ79" s="5" t="n"/>
      <x:c r="BK79" s="5" t="n"/>
      <x:c r="BL79" s="5" t="n"/>
      <x:c r="BM79" s="5" t="n"/>
      <x:c r="BN79" s="5" t="n"/>
      <x:c r="BO79" s="5" t="n"/>
      <x:c r="BP79" s="5" t="n"/>
      <x:c r="BQ79" s="5" t="n"/>
      <x:c r="BR79" s="5" t="n"/>
      <x:c r="BS79" s="5" t="n"/>
      <x:c r="BT79" s="5" t="n"/>
      <x:c r="BU79" s="5" t="n"/>
      <x:c r="BV79" s="5" t="n"/>
      <x:c r="BW79" s="5" t="n"/>
      <x:c r="BX79" s="5" t="n"/>
      <x:c r="BY79" s="5" t="n"/>
      <x:c r="BZ79" s="5" t="n"/>
      <x:c r="CA79" s="5" t="n"/>
      <x:c r="CB79" s="5" t="n"/>
      <x:c r="CC79" s="5" t="n"/>
      <x:c r="CD79" s="5" t="n"/>
      <x:c r="CE79" s="5" t="n"/>
    </x:row>
    <x:row r="80" ht="30" customHeight="1">
      <x:c r="A80" s="5" t="inlineStr">
        <x:is>
          <x:t xml:space="preserve">ER-451</x:t>
        </x:is>
      </x:c>
      <x:c r="B80" s="5" t="inlineStr">
        <x:is>
          <x:t xml:space="preserve">Operational</x:t>
        </x:is>
      </x:c>
      <x:c r="C80" s="5" t="inlineStr">
        <x:is>
          <x:t xml:space="preserve">[Operational] IT Asset Inventory Review</x:t>
        </x:is>
      </x:c>
      <x:c r="D80" s="5" t="n"/>
      <x:c r="E80" s="5" t="inlineStr">
        <x:is>
          <x:t xml:space="preserve">07.07a1Organizational.8,07.07a1Organizational.8,07.07a1Organizational.8,07.07a1Organizational.8</x:t>
        </x:is>
      </x:c>
      <x:c r="F80" s="5" t="inlineStr">
        <x:is>
          <x:t xml:space="preserve">HITRUST,HITRUST,HITRUST,HITRUST</x:t>
        </x:is>
      </x:c>
      <x:c r="G80" s="5" t="n">
        <x:v>431</x:v>
      </x:c>
      <x:c r="H80" s="5" t="n">
        <x:v>0</x:v>
      </x:c>
      <x:c r="I80" s="5" t="n">
        <x:v>0</x:v>
      </x:c>
      <x:c r="J80" s="5" t="n"/>
      <x:c r="K80" s="5" t="n"/>
      <x:c r="L80" s="5" t="n">
        <x:v>4</x:v>
      </x:c>
      <x:c r="M80" s="5" t="n">
        <x:v>1</x:v>
      </x:c>
      <x:c r="N80" s="5" t="inlineStr">
        <x:is>
          <x:t xml:space="preserve">07.07a1Organizational.8</x:t>
        </x:is>
      </x:c>
      <x:c r="O80" s="5" t="n"/>
      <x:c r="P80" s="5" t="n"/>
      <x:c r="Q80" s="5" t="n"/>
      <x:c r="R80" s="5" t="n"/>
      <x:c r="S80" s="5" t="n"/>
      <x:c r="T80" s="5" t="n"/>
      <x:c r="U80" s="5" t="n"/>
      <x:c r="V80" s="5" t="n"/>
      <x:c r="W80" s="5" t="n"/>
      <x:c r="X80" s="5" t="n"/>
      <x:c r="Y80" s="5" t="n"/>
      <x:c r="Z80" s="5" t="n"/>
      <x:c r="AA80" s="5" t="n"/>
      <x:c r="AB80" s="5" t="n"/>
      <x:c r="AC80" s="5" t="n"/>
      <x:c r="AD80" s="5" t="n">
        <x:v>4</x:v>
      </x:c>
      <x:c r="AE80" s="5" t="n">
        <x:v>1</x:v>
      </x:c>
      <x:c r="AF80" s="5" t="inlineStr">
        <x:is>
          <x:t xml:space="preserve">HITRUST</x:t>
        </x:is>
      </x:c>
      <x:c r="AG80" s="5" t="n"/>
      <x:c r="AH80" s="5" t="n"/>
      <x:c r="AI80" s="5" t="n"/>
      <x:c r="AJ80" s="5" t="n"/>
      <x:c r="AK80" s="5" t="n"/>
      <x:c r="AL80" s="28" t="inlineStr">
        <x:is>
          <x:t xml:space="preserve">https://docs.google.com/document/d/1W5FC1d6oqcAnoxBiPHHQMdXo6_EqhnFeiMjXq4_dX9s/edit?usp=sharing</x:t>
        </x:is>
      </x:c>
      <x:c r="AM80" s="5" t="inlineStr">
        <x:is>
          <x:t xml:space="preserve">Local controls deduped from 4 exported tokens to 1 unique button tokens. Frameworks deduped from 4 exported tokens to 1 unique button tokens.</x:t>
        </x:is>
      </x:c>
      <x:c r="AN80" s="5" t="n"/>
      <x:c r="AO80" s="5" t="n"/>
      <x:c r="AP80" s="5" t="n"/>
      <x:c r="AQ80" s="5" t="n"/>
      <x:c r="AR80" s="5" t="n"/>
      <x:c r="AS80" s="5" t="n"/>
      <x:c r="AT80" s="5" t="n"/>
      <x:c r="AU80" s="5" t="n"/>
      <x:c r="AV80" s="5" t="n"/>
      <x:c r="AW80" s="5" t="n"/>
      <x:c r="AX80" s="5" t="n"/>
      <x:c r="AY80" s="5" t="n"/>
      <x:c r="AZ80" s="5" t="n"/>
      <x:c r="BA80" s="5" t="n"/>
      <x:c r="BB80" s="5" t="n"/>
      <x:c r="BC80" s="5" t="n"/>
      <x:c r="BD80" s="5" t="n"/>
      <x:c r="BE80" s="5" t="n"/>
      <x:c r="BF80" s="5" t="n"/>
      <x:c r="BG80" s="5" t="n"/>
      <x:c r="BH80" s="5" t="n"/>
      <x:c r="BI80" s="5" t="n"/>
      <x:c r="BJ80" s="5" t="n"/>
      <x:c r="BK80" s="5" t="n"/>
      <x:c r="BL80" s="5" t="n"/>
      <x:c r="BM80" s="5" t="n"/>
      <x:c r="BN80" s="5" t="n"/>
      <x:c r="BO80" s="5" t="n"/>
      <x:c r="BP80" s="5" t="n"/>
      <x:c r="BQ80" s="5" t="n"/>
      <x:c r="BR80" s="5" t="n"/>
      <x:c r="BS80" s="5" t="n"/>
      <x:c r="BT80" s="5" t="n"/>
      <x:c r="BU80" s="5" t="n"/>
      <x:c r="BV80" s="5" t="n"/>
      <x:c r="BW80" s="5" t="n"/>
      <x:c r="BX80" s="5" t="n"/>
      <x:c r="BY80" s="5" t="n"/>
      <x:c r="BZ80" s="5" t="n"/>
      <x:c r="CA80" s="5" t="n"/>
      <x:c r="CB80" s="5" t="n"/>
      <x:c r="CC80" s="5" t="n"/>
      <x:c r="CD80" s="5" t="n"/>
      <x:c r="CE80" s="5" t="n"/>
    </x:row>
    <x:row r="81" ht="30" customHeight="1">
      <x:c r="A81" s="5" t="inlineStr">
        <x:is>
          <x:t xml:space="preserve">ER-499</x:t>
        </x:is>
      </x:c>
      <x:c r="B81" s="5" t="inlineStr">
        <x:is>
          <x:t xml:space="preserve">Population</x:t>
        </x:is>
      </x:c>
      <x:c r="C81" s="5" t="inlineStr">
        <x:is>
          <x:t xml:space="preserve">[Population] Services Outsourced with Access to In-Scope Information</x:t>
        </x:is>
      </x:c>
      <x:c r="D81" s="5" t="n"/>
      <x:c r="E81" s="5" t="inlineStr">
        <x:is>
          <x:t xml:space="preserve">0835.09n1Organizational.1,1428.05k1Organizational.2,1408.09e1System.1,1411.09f1System.1,1414.09g1System.1,1444.09t1Organizational.12,14.05i1Organizational.3,0835.09n1Organizational.1,1428.05k1Organizational.2,1408.09e1System.1,1411.09f1System.1,1414.09g1System.1,1444.09t1Organizational.12,14.05i1Organizational.3,0835.09n1Organizational.1,1428.05k1Organizational.2,1408.09e1System.1,1411.09f1System.1,1414.09g1System.1,1444.09t1Organizational.12,14.05i1Organizational.3</x:t>
        </x:is>
      </x:c>
      <x:c r="F81" s="5" t="inlineStr">
        <x:is>
          <x:t xml:space="preserve">HITRUST,HITRUST,HITRUST,HITRUST,HITRUST,HITRUST,HITRUST,HITRUST,HITRUST,HITRUST,HITRUST,HITRUST,HITRUST,HITRUST,HITRUST,HITRUST,HITRUST,HITRUST,HITRUST,HITRUST,HITRUST</x:t>
        </x:is>
      </x:c>
      <x:c r="G81" s="5" t="n">
        <x:v>478</x:v>
      </x:c>
      <x:c r="H81" s="5" t="n">
        <x:v>0</x:v>
      </x:c>
      <x:c r="I81" s="5" t="n">
        <x:v>0</x:v>
      </x:c>
      <x:c r="J81" s="5" t="n"/>
      <x:c r="K81" s="5" t="n"/>
      <x:c r="L81" s="5" t="n">
        <x:v>21</x:v>
      </x:c>
      <x:c r="M81" s="5" t="n">
        <x:v>7</x:v>
      </x:c>
      <x:c r="N81" s="5" t="inlineStr">
        <x:is>
          <x:t xml:space="preserve">0835.09n1Organizational.1</x:t>
        </x:is>
      </x:c>
      <x:c r="O81" s="5" t="inlineStr">
        <x:is>
          <x:t xml:space="preserve">1428.05k1Organizational.2</x:t>
        </x:is>
      </x:c>
      <x:c r="P81" s="5" t="inlineStr">
        <x:is>
          <x:t xml:space="preserve">1408.09e1System.1</x:t>
        </x:is>
      </x:c>
      <x:c r="Q81" s="5" t="inlineStr">
        <x:is>
          <x:t xml:space="preserve">1411.09f1System.1</x:t>
        </x:is>
      </x:c>
      <x:c r="R81" s="5" t="inlineStr">
        <x:is>
          <x:t xml:space="preserve">1414.09g1System.1</x:t>
        </x:is>
      </x:c>
      <x:c r="S81" s="5" t="inlineStr">
        <x:is>
          <x:t xml:space="preserve">1444.09t1Organizational.12</x:t>
        </x:is>
      </x:c>
      <x:c r="T81" s="5" t="inlineStr">
        <x:is>
          <x:t xml:space="preserve">14.05i1Organizational.3</x:t>
        </x:is>
      </x:c>
      <x:c r="U81" s="5" t="n"/>
      <x:c r="V81" s="5" t="n"/>
      <x:c r="W81" s="5" t="n"/>
      <x:c r="X81" s="5" t="n"/>
      <x:c r="Y81" s="5" t="n"/>
      <x:c r="Z81" s="5" t="n"/>
      <x:c r="AA81" s="5" t="n"/>
      <x:c r="AB81" s="5" t="n"/>
      <x:c r="AC81" s="5" t="n"/>
      <x:c r="AD81" s="5" t="n">
        <x:v>21</x:v>
      </x:c>
      <x:c r="AE81" s="5" t="n">
        <x:v>1</x:v>
      </x:c>
      <x:c r="AF81" s="5" t="inlineStr">
        <x:is>
          <x:t xml:space="preserve">HITRUST</x:t>
        </x:is>
      </x:c>
      <x:c r="AG81" s="5" t="n"/>
      <x:c r="AH81" s="5" t="n"/>
      <x:c r="AI81" s="5" t="n"/>
      <x:c r="AJ81" s="5" t="n"/>
      <x:c r="AK81" s="5" t="n"/>
      <x:c r="AL81" s="28" t="inlineStr">
        <x:is>
          <x:t xml:space="preserve">https://docs.google.com/document/d/1W5FC1d6oqcAnoxBiPHHQMdXo6_EqhnFeiMjXq4_dX9s/edit?usp=sharing</x:t>
        </x:is>
      </x:c>
      <x:c r="AM81" s="5" t="inlineStr">
        <x:is>
          <x:t xml:space="preserve">Local controls deduped from 21 exported tokens to 7 unique button tokens. Frameworks deduped from 21 exported tokens to 1 unique button tokens.</x:t>
        </x:is>
      </x:c>
      <x:c r="AN81" s="5" t="n"/>
      <x:c r="AO81" s="5" t="n"/>
      <x:c r="AP81" s="5" t="n"/>
      <x:c r="AQ81" s="5" t="n"/>
      <x:c r="AR81" s="5" t="n"/>
      <x:c r="AS81" s="5" t="n"/>
      <x:c r="AT81" s="5" t="n"/>
      <x:c r="AU81" s="5" t="n"/>
      <x:c r="AV81" s="5" t="n"/>
      <x:c r="AW81" s="5" t="n"/>
      <x:c r="AX81" s="5" t="n"/>
      <x:c r="AY81" s="5" t="n"/>
      <x:c r="AZ81" s="5" t="n"/>
      <x:c r="BA81" s="5" t="n"/>
      <x:c r="BB81" s="5" t="n"/>
      <x:c r="BC81" s="5" t="n"/>
      <x:c r="BD81" s="5" t="n"/>
      <x:c r="BE81" s="5" t="n"/>
      <x:c r="BF81" s="5" t="n"/>
      <x:c r="BG81" s="5" t="n"/>
      <x:c r="BH81" s="5" t="n"/>
      <x:c r="BI81" s="5" t="n"/>
      <x:c r="BJ81" s="5" t="n"/>
      <x:c r="BK81" s="5" t="n"/>
      <x:c r="BL81" s="5" t="n"/>
      <x:c r="BM81" s="5" t="n"/>
      <x:c r="BN81" s="5" t="n"/>
      <x:c r="BO81" s="5" t="n"/>
      <x:c r="BP81" s="5" t="n"/>
      <x:c r="BQ81" s="5" t="n"/>
      <x:c r="BR81" s="5" t="n"/>
      <x:c r="BS81" s="5" t="n"/>
      <x:c r="BT81" s="5" t="n"/>
      <x:c r="BU81" s="5" t="n"/>
      <x:c r="BV81" s="5" t="n"/>
      <x:c r="BW81" s="5" t="n"/>
      <x:c r="BX81" s="5" t="n"/>
      <x:c r="BY81" s="5" t="n"/>
      <x:c r="BZ81" s="5" t="n"/>
      <x:c r="CA81" s="5" t="n"/>
      <x:c r="CB81" s="5" t="n"/>
      <x:c r="CC81" s="5" t="n"/>
      <x:c r="CD81" s="5" t="n"/>
      <x:c r="CE81" s="5" t="n"/>
    </x:row>
    <x:row r="82" ht="30" customHeight="1">
      <x:c r="A82" s="5" t="inlineStr">
        <x:is>
          <x:t xml:space="preserve">ER-500</x:t>
        </x:is>
      </x:c>
      <x:c r="B82" s="5" t="inlineStr">
        <x:is>
          <x:t xml:space="preserve">Sample</x:t>
        </x:is>
      </x:c>
      <x:c r="C82" s="5" t="inlineStr">
        <x:is>
          <x:t xml:space="preserve">[Sample] Third Party Security Evaluation</x:t>
        </x:is>
      </x:c>
      <x:c r="D82" s="5" t="n"/>
      <x:c r="E82" s="5" t="inlineStr">
        <x:is>
          <x:t xml:space="preserve">14.05i1Organizational.3</x:t>
        </x:is>
      </x:c>
      <x:c r="F82" s="5" t="inlineStr">
        <x:is>
          <x:t xml:space="preserve">HITRUST</x:t>
        </x:is>
      </x:c>
      <x:c r="G82" s="5" t="n">
        <x:v>479</x:v>
      </x:c>
      <x:c r="H82" s="5" t="n">
        <x:v>0</x:v>
      </x:c>
      <x:c r="I82" s="5" t="n">
        <x:v>0</x:v>
      </x:c>
      <x:c r="J82" s="5" t="n"/>
      <x:c r="K82" s="5" t="n"/>
      <x:c r="L82" s="5" t="n">
        <x:v>1</x:v>
      </x:c>
      <x:c r="M82" s="5" t="n">
        <x:v>1</x:v>
      </x:c>
      <x:c r="N82" s="5" t="inlineStr">
        <x:is>
          <x:t xml:space="preserve">14.05i1Organizational.3</x:t>
        </x:is>
      </x:c>
      <x:c r="O82" s="5" t="n"/>
      <x:c r="P82" s="5" t="n"/>
      <x:c r="Q82" s="5" t="n"/>
      <x:c r="R82" s="5" t="n"/>
      <x:c r="S82" s="5" t="n"/>
      <x:c r="T82" s="5" t="n"/>
      <x:c r="U82" s="5" t="n"/>
      <x:c r="V82" s="5" t="n"/>
      <x:c r="W82" s="5" t="n"/>
      <x:c r="X82" s="5" t="n"/>
      <x:c r="Y82" s="5" t="n"/>
      <x:c r="Z82" s="5" t="n"/>
      <x:c r="AA82" s="5" t="n"/>
      <x:c r="AB82" s="5" t="n"/>
      <x:c r="AC82" s="5" t="n"/>
      <x:c r="AD82" s="5" t="n">
        <x:v>1</x:v>
      </x:c>
      <x:c r="AE82" s="5" t="n">
        <x:v>1</x:v>
      </x:c>
      <x:c r="AF82" s="5" t="inlineStr">
        <x:is>
          <x:t xml:space="preserve">HITRUST</x:t>
        </x:is>
      </x:c>
      <x:c r="AG82" s="5" t="n"/>
      <x:c r="AH82" s="5" t="n"/>
      <x:c r="AI82" s="5" t="n"/>
      <x:c r="AJ82" s="5" t="n"/>
      <x:c r="AK82" s="5" t="n"/>
      <x:c r="AL82" s="28" t="inlineStr">
        <x:is>
          <x:t xml:space="preserve">https://docs.google.com/document/d/1W5FC1d6oqcAnoxBiPHHQMdXo6_EqhnFeiMjXq4_dX9s/edit?usp=sharing</x:t>
        </x:is>
      </x:c>
      <x:c r="AM82" s="5" t="inlineStr">
        <x:is>
          <x:t xml:space="preserve"/>
        </x:is>
      </x:c>
      <x:c r="AN82" s="5" t="n"/>
      <x:c r="AO82" s="5" t="n"/>
      <x:c r="AP82" s="5" t="n"/>
      <x:c r="AQ82" s="5" t="n"/>
      <x:c r="AR82" s="5" t="n"/>
      <x:c r="AS82" s="5" t="n"/>
      <x:c r="AT82" s="5" t="n"/>
      <x:c r="AU82" s="5" t="n"/>
      <x:c r="AV82" s="5" t="n"/>
      <x:c r="AW82" s="5" t="n"/>
      <x:c r="AX82" s="5" t="n"/>
      <x:c r="AY82" s="5" t="n"/>
      <x:c r="AZ82" s="5" t="n"/>
      <x:c r="BA82" s="5" t="n"/>
      <x:c r="BB82" s="5" t="n"/>
      <x:c r="BC82" s="5" t="n"/>
      <x:c r="BD82" s="5" t="n"/>
      <x:c r="BE82" s="5" t="n"/>
      <x:c r="BF82" s="5" t="n"/>
      <x:c r="BG82" s="5" t="n"/>
      <x:c r="BH82" s="5" t="n"/>
      <x:c r="BI82" s="5" t="n"/>
      <x:c r="BJ82" s="5" t="n"/>
      <x:c r="BK82" s="5" t="n"/>
      <x:c r="BL82" s="5" t="n"/>
      <x:c r="BM82" s="5" t="n"/>
      <x:c r="BN82" s="5" t="n"/>
      <x:c r="BO82" s="5" t="n"/>
      <x:c r="BP82" s="5" t="n"/>
      <x:c r="BQ82" s="5" t="n"/>
      <x:c r="BR82" s="5" t="n"/>
      <x:c r="BS82" s="5" t="n"/>
      <x:c r="BT82" s="5" t="n"/>
      <x:c r="BU82" s="5" t="n"/>
      <x:c r="BV82" s="5" t="n"/>
      <x:c r="BW82" s="5" t="n"/>
      <x:c r="BX82" s="5" t="n"/>
      <x:c r="BY82" s="5" t="n"/>
      <x:c r="BZ82" s="5" t="n"/>
      <x:c r="CA82" s="5" t="n"/>
      <x:c r="CB82" s="5" t="n"/>
      <x:c r="CC82" s="5" t="n"/>
      <x:c r="CD82" s="5" t="n"/>
      <x:c r="CE82" s="5" t="n"/>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28" customWidth="1"/>
    <x:col min="2" max="2" width="32" customWidth="1"/>
    <x:col min="3" max="3" width="60" customWidth="1"/>
    <x:col min="4" max="4" width="32" customWidth="1"/>
    <x:col min="5" max="5" width="27" customWidth="1"/>
    <x:col min="6" max="6" width="45" customWidth="1"/>
    <x:col min="7" max="7" width="45" customWidth="1"/>
    <x:col min="8" max="8" width="45" customWidth="1"/>
    <x:col min="9" max="9" width="45" customWidth="1"/>
    <x:col min="10" max="10" width="60" customWidth="1"/>
  </x:cols>
  <x:sheetData>
    <x:row r="1" ht="30" customHeight="1">
      <x:c r="A1" s="11" t="inlineStr">
        <x:is>
          <x:t xml:space="preserve">45_CFR_Citation</x:t>
        </x:is>
      </x:c>
      <x:c r="B1" s="11" t="inlineStr">
        <x:is>
          <x:t xml:space="preserve">HIPAA_Requirement_Title</x:t>
        </x:is>
      </x:c>
      <x:c r="C1" s="11" t="inlineStr">
        <x:is>
          <x:t xml:space="preserve">HIPAA_Requirement_Summary</x:t>
        </x:is>
      </x:c>
      <x:c r="D1" s="11" t="inlineStr">
        <x:is>
          <x:t xml:space="preserve">Implementation_Type</x:t>
        </x:is>
      </x:c>
      <x:c r="E1" s="11" t="inlineStr">
        <x:is>
          <x:t xml:space="preserve">Safeguard_Family</x:t>
        </x:is>
      </x:c>
      <x:c r="F1" s="11" t="inlineStr">
        <x:is>
          <x:t xml:space="preserve">Official_Section_URL</x:t>
        </x:is>
      </x:c>
      <x:c r="G1" s="11" t="inlineStr">
        <x:is>
          <x:t xml:space="preserve">Official_Support_URL</x:t>
        </x:is>
      </x:c>
      <x:c r="H1" s="11" t="inlineStr">
        <x:is>
          <x:t xml:space="preserve">HHS_Combined_Regulation_URL</x:t>
        </x:is>
      </x:c>
      <x:c r="I1" s="11" t="inlineStr">
        <x:is>
          <x:t xml:space="preserve">HHS_Audit_Protocol_URL</x:t>
        </x:is>
      </x:c>
      <x:c r="J1" s="11" t="inlineStr">
        <x:is>
          <x:t xml:space="preserve">Notes</x:t>
        </x:is>
      </x:c>
    </x:row>
    <x:row r="2" ht="30" customHeight="1">
      <x:c r="A2" s="5" t="inlineStr">
        <x:is>
          <x:t xml:space="preserve">45 C.F.R. § 164.306(e)</x:t>
        </x:is>
      </x:c>
      <x:c r="B2" s="5" t="inlineStr">
        <x:is>
          <x:t xml:space="preserve">Maintenance</x:t>
        </x:is>
      </x:c>
      <x:c r="C2" s="5" t="inlineStr">
        <x:is>
          <x:t xml:space="preserve">Review and modify security measures as needed to continue providing reasonable and appropriate protection of ePHI, and update related documentation.</x:t>
        </x:is>
      </x:c>
      <x:c r="D2" s="5" t="inlineStr">
        <x:is>
          <x:t xml:space="preserve">Standard maintenance requirement</x:t>
        </x:is>
      </x:c>
      <x:c r="E2" s="5" t="inlineStr">
        <x:is>
          <x:t xml:space="preserve">General Rules</x:t>
        </x:is>
      </x:c>
      <x:c r="F2" s="28" t="inlineStr">
        <x:is>
          <x:t xml:space="preserve">https://www.ecfr.gov/current/title-45/subtitle-A/subchapter-C/part-164/section-164.306</x:t>
        </x:is>
      </x:c>
      <x:c r="G2" s="28" t="inlineStr">
        <x:is>
          <x:t xml:space="preserve">https://www.hhs.gov/sites/default/files/ocr/privacy/hipaa/administrative/combined/hipaa-simplification-201303.pdf</x:t>
        </x:is>
      </x:c>
      <x:c r="H2" s="28" t="inlineStr">
        <x:is>
          <x:t xml:space="preserve">https://www.hhs.gov/sites/default/files/ocr/privacy/hipaa/administrative/combined/hipaa-simplification-201303.pdf</x:t>
        </x:is>
      </x:c>
      <x:c r="I2" s="28" t="inlineStr">
        <x:is>
          <x:t xml:space="preserve">https://www.hhs.gov/hipaa/for-professionals/compliance-enforcement/audit/protocol-edited/index.html</x:t>
        </x:is>
      </x:c>
      <x:c r="J2" s="5" t="inlineStr">
        <x:is>
          <x:t xml:space="preserve">Used mainly for maintenance / update best-fit mappings.</x:t>
        </x:is>
      </x:c>
    </x:row>
    <x:row r="3" ht="30" customHeight="1">
      <x:c r="A3" s="5" t="inlineStr">
        <x:is>
          <x:t xml:space="preserve">45 C.F.R. § 164.308(a)(1)(ii)(A)</x:t>
        </x:is>
      </x:c>
      <x:c r="B3" s="5" t="inlineStr">
        <x:is>
          <x:t xml:space="preserve">Security Management Process — Risk Analysis</x:t>
        </x:is>
      </x:c>
      <x:c r="C3" s="5" t="inlineStr">
        <x:is>
          <x:t xml:space="preserve">Conduct an accurate and thorough assessment of the potential risks and vulnerabilities to the confidentiality, integrity, and availability of ePHI.</x:t>
        </x:is>
      </x:c>
      <x:c r="D3" s="5" t="inlineStr">
        <x:is>
          <x:t xml:space="preserve">Required implementation specification</x:t>
        </x:is>
      </x:c>
      <x:c r="E3" s="5" t="inlineStr">
        <x:is>
          <x:t xml:space="preserve">Administrative Safeguards</x:t>
        </x:is>
      </x:c>
      <x:c r="F3" s="28" t="inlineStr">
        <x:is>
          <x:t xml:space="preserve">https://www.ecfr.gov/current/title-45/subtitle-A/subchapter-C/part-164/section-164.308</x:t>
        </x:is>
      </x:c>
      <x:c r="G3" s="28" t="inlineStr">
        <x:is>
          <x:t xml:space="preserve">https://www.hhs.gov/hipaa/for-professionals/security/guidance/guidance-risk-analysis/index.html</x:t>
        </x:is>
      </x:c>
      <x:c r="H3" s="28" t="inlineStr">
        <x:is>
          <x:t xml:space="preserve">https://www.hhs.gov/sites/default/files/ocr/privacy/hipaa/administrative/combined/hipaa-simplification-201303.pdf</x:t>
        </x:is>
      </x:c>
      <x:c r="I3" s="28" t="inlineStr">
        <x:is>
          <x:t xml:space="preserve">https://www.hhs.gov/hipaa/for-professionals/compliance-enforcement/audit/protocol-edited/index.html</x:t>
        </x:is>
      </x:c>
      <x:c r="J3" s="5" t="inlineStr">
        <x:is>
          <x:t xml:space="preserve">Official title also appears in Appendix A Security Standards Matrix.</x:t>
        </x:is>
      </x:c>
    </x:row>
    <x:row r="4" ht="30" customHeight="1">
      <x:c r="A4" s="5" t="inlineStr">
        <x:is>
          <x:t xml:space="preserve">45 C.F.R. § 164.308(a)(1)(ii)(B)</x:t>
        </x:is>
      </x:c>
      <x:c r="B4" s="5" t="inlineStr">
        <x:is>
          <x:t xml:space="preserve">Security Management Process — Risk Management</x:t>
        </x:is>
      </x:c>
      <x:c r="C4" s="5" t="inlineStr">
        <x:is>
          <x:t xml:space="preserve">Implement security measures sufficient to reduce identified risks and vulnerabilities to a reasonable and appropriate level.</x:t>
        </x:is>
      </x:c>
      <x:c r="D4" s="5" t="inlineStr">
        <x:is>
          <x:t xml:space="preserve">Required implementation specification</x:t>
        </x:is>
      </x:c>
      <x:c r="E4" s="5" t="inlineStr">
        <x:is>
          <x:t xml:space="preserve">Administrative Safeguards</x:t>
        </x:is>
      </x:c>
      <x:c r="F4" s="28" t="inlineStr">
        <x:is>
          <x:t xml:space="preserve">https://www.ecfr.gov/current/title-45/subtitle-A/subchapter-C/part-164/section-164.308</x:t>
        </x:is>
      </x:c>
      <x:c r="G4" s="28" t="inlineStr">
        <x:is>
          <x:t xml:space="preserve">https://www.hhs.gov/hipaa/for-professionals/security/guidance/guidance-risk-analysis/index.html</x:t>
        </x:is>
      </x:c>
      <x:c r="H4" s="28" t="inlineStr">
        <x:is>
          <x:t xml:space="preserve">https://www.hhs.gov/sites/default/files/ocr/privacy/hipaa/administrative/combined/hipaa-simplification-201303.pdf</x:t>
        </x:is>
      </x:c>
      <x:c r="I4" s="28" t="inlineStr">
        <x:is>
          <x:t xml:space="preserve">https://www.hhs.gov/hipaa/for-professionals/compliance-enforcement/audit/protocol-edited/index.html</x:t>
        </x:is>
      </x:c>
      <x:c r="J4" s="5" t="inlineStr">
        <x:is>
          <x:t xml:space="preserve">Used where evidence shows mitigation / remediation or maintenance of safeguards.</x:t>
        </x:is>
      </x:c>
    </x:row>
    <x:row r="5" ht="30" customHeight="1">
      <x:c r="A5" s="5" t="inlineStr">
        <x:is>
          <x:t xml:space="preserve">45 C.F.R. § 164.308(a)(3)(ii)(C)</x:t>
        </x:is>
      </x:c>
      <x:c r="B5" s="5" t="inlineStr">
        <x:is>
          <x:t xml:space="preserve">Workforce Security — Termination Procedures</x:t>
        </x:is>
      </x:c>
      <x:c r="C5" s="5" t="inlineStr">
        <x:is>
          <x:t xml:space="preserve">Implement procedures for terminating a workforce member’s access to ePHI when employment ends or when access should otherwise be removed.</x:t>
        </x:is>
      </x:c>
      <x:c r="D5" s="5" t="inlineStr">
        <x:is>
          <x:t xml:space="preserve">Addressable implementation specification</x:t>
        </x:is>
      </x:c>
      <x:c r="E5" s="5" t="inlineStr">
        <x:is>
          <x:t xml:space="preserve">Administrative Safeguards</x:t>
        </x:is>
      </x:c>
      <x:c r="F5" s="28" t="inlineStr">
        <x:is>
          <x:t xml:space="preserve">https://www.ecfr.gov/current/title-45/subtitle-A/subchapter-C/part-164/section-164.308</x:t>
        </x:is>
      </x:c>
      <x:c r="G5" s="28" t="inlineStr">
        <x:is>
          <x:t xml:space="preserve">https://www.hhs.gov/hipaa/for-professionals/security/guidance/cybersecurity-newsletter-summer-2019/index.html</x:t>
        </x:is>
      </x:c>
      <x:c r="H5" s="28" t="inlineStr">
        <x:is>
          <x:t xml:space="preserve">https://www.hhs.gov/sites/default/files/ocr/privacy/hipaa/administrative/combined/hipaa-simplification-201303.pdf</x:t>
        </x:is>
      </x:c>
      <x:c r="I5" s="28" t="inlineStr">
        <x:is>
          <x:t xml:space="preserve">https://www.hhs.gov/hipaa/for-professionals/compliance-enforcement/audit/protocol-edited/index.html</x:t>
        </x:is>
      </x:c>
      <x:c r="J5" s="5" t="inlineStr">
        <x:is>
          <x:t xml:space="preserve">Used for termination / transfer / access-revocation evidence.</x:t>
        </x:is>
      </x:c>
    </x:row>
    <x:row r="6" ht="30" customHeight="1">
      <x:c r="A6" s="5" t="inlineStr">
        <x:is>
          <x:t xml:space="preserve">45 C.F.R. § 164.308(a)(4)</x:t>
        </x:is>
      </x:c>
      <x:c r="B6" s="5" t="inlineStr">
        <x:is>
          <x:t xml:space="preserve">Information Access Management</x:t>
        </x:is>
      </x:c>
      <x:c r="C6" s="5" t="inlineStr">
        <x:is>
          <x:t xml:space="preserve">Implement policies and procedures for authorizing access to ePHI that are consistent with the applicable requirements of the HIPAA Privacy Rule.</x:t>
        </x:is>
      </x:c>
      <x:c r="D6" s="5" t="inlineStr">
        <x:is>
          <x:t xml:space="preserve">Standard</x:t>
        </x:is>
      </x:c>
      <x:c r="E6" s="5" t="inlineStr">
        <x:is>
          <x:t xml:space="preserve">Administrative Safeguards</x:t>
        </x:is>
      </x:c>
      <x:c r="F6" s="28" t="inlineStr">
        <x:is>
          <x:t xml:space="preserve">https://www.ecfr.gov/current/title-45/subtitle-A/subchapter-C/part-164/section-164.308</x:t>
        </x:is>
      </x:c>
      <x:c r="G6" s="28" t="inlineStr">
        <x:is>
          <x:t xml:space="preserve">https://www.hhs.gov/hipaa/for-professionals/compliance-enforcement/audit/protocol-edited/index.html</x:t>
        </x:is>
      </x:c>
      <x:c r="H6" s="28" t="inlineStr">
        <x:is>
          <x:t xml:space="preserve">https://www.hhs.gov/sites/default/files/ocr/privacy/hipaa/administrative/combined/hipaa-simplification-201303.pdf</x:t>
        </x:is>
      </x:c>
      <x:c r="I6" s="28" t="inlineStr">
        <x:is>
          <x:t xml:space="preserve">https://www.hhs.gov/hipaa/for-professionals/compliance-enforcement/audit/protocol-edited/index.html</x:t>
        </x:is>
      </x:c>
      <x:c r="J6" s="5" t="inlineStr">
        <x:is>
          <x:t xml:space="preserve">Used at the standard level when the control is broader than a single access-management implementation specification.</x:t>
        </x:is>
      </x:c>
    </x:row>
    <x:row r="7" ht="30" customHeight="1">
      <x:c r="A7" s="5" t="inlineStr">
        <x:is>
          <x:t xml:space="preserve">45 C.F.R. § 164.308(a)(4)(ii)(B)</x:t>
        </x:is>
      </x:c>
      <x:c r="B7" s="5" t="inlineStr">
        <x:is>
          <x:t xml:space="preserve">Information Access Management — Access Authorization</x:t>
        </x:is>
      </x:c>
      <x:c r="C7" s="5" t="inlineStr">
        <x:is>
          <x:t xml:space="preserve">Implement policies and procedures for granting access to ePHI through appropriate mechanisms such as workstations, transactions, programs, or processes.</x:t>
        </x:is>
      </x:c>
      <x:c r="D7" s="5" t="inlineStr">
        <x:is>
          <x:t xml:space="preserve">Addressable implementation specification</x:t>
        </x:is>
      </x:c>
      <x:c r="E7" s="5" t="inlineStr">
        <x:is>
          <x:t xml:space="preserve">Administrative Safeguards</x:t>
        </x:is>
      </x:c>
      <x:c r="F7" s="28" t="inlineStr">
        <x:is>
          <x:t xml:space="preserve">https://www.ecfr.gov/current/title-45/subtitle-A/subchapter-C/part-164/section-164.308</x:t>
        </x:is>
      </x:c>
      <x:c r="G7" s="28" t="inlineStr">
        <x:is>
          <x:t xml:space="preserve">https://www.hhs.gov/hipaa/for-professionals/compliance-enforcement/audit/protocol-edited/index.html</x:t>
        </x:is>
      </x:c>
      <x:c r="H7" s="28" t="inlineStr">
        <x:is>
          <x:t xml:space="preserve">https://www.hhs.gov/sites/default/files/ocr/privacy/hipaa/administrative/combined/hipaa-simplification-201303.pdf</x:t>
        </x:is>
      </x:c>
      <x:c r="I7" s="28" t="inlineStr">
        <x:is>
          <x:t xml:space="preserve">https://www.hhs.gov/hipaa/for-professionals/compliance-enforcement/audit/protocol-edited/index.html</x:t>
        </x:is>
      </x:c>
      <x:c r="J7" s="5" t="inlineStr">
        <x:is>
          <x:t xml:space="preserve">Used when the evidence focuses on granting or approving access.</x:t>
        </x:is>
      </x:c>
    </x:row>
    <x:row r="8" ht="30" customHeight="1">
      <x:c r="A8" s="5" t="inlineStr">
        <x:is>
          <x:t xml:space="preserve">45 C.F.R. § 164.308(a)(4)(ii)(C)</x:t>
        </x:is>
      </x:c>
      <x:c r="B8" s="5" t="inlineStr">
        <x:is>
          <x:t xml:space="preserve">Information Access Management — Access Establishment and Modification</x:t>
        </x:is>
      </x:c>
      <x:c r="C8" s="5" t="inlineStr">
        <x:is>
          <x:t xml:space="preserve">Implement policies and procedures to establish, document, review, and modify a user’s right of access to a workstation, transaction, program, or process.</x:t>
        </x:is>
      </x:c>
      <x:c r="D8" s="5" t="inlineStr">
        <x:is>
          <x:t xml:space="preserve">Addressable implementation specification</x:t>
        </x:is>
      </x:c>
      <x:c r="E8" s="5" t="inlineStr">
        <x:is>
          <x:t xml:space="preserve">Administrative Safeguards</x:t>
        </x:is>
      </x:c>
      <x:c r="F8" s="28" t="inlineStr">
        <x:is>
          <x:t xml:space="preserve">https://www.ecfr.gov/current/title-45/subtitle-A/subchapter-C/part-164/section-164.308</x:t>
        </x:is>
      </x:c>
      <x:c r="G8" s="28" t="inlineStr">
        <x:is>
          <x:t xml:space="preserve">https://www.hhs.gov/hipaa/for-professionals/compliance-enforcement/audit/protocol-edited/index.html</x:t>
        </x:is>
      </x:c>
      <x:c r="H8" s="28" t="inlineStr">
        <x:is>
          <x:t xml:space="preserve">https://www.hhs.gov/sites/default/files/ocr/privacy/hipaa/administrative/combined/hipaa-simplification-201303.pdf</x:t>
        </x:is>
      </x:c>
      <x:c r="I8" s="28" t="inlineStr">
        <x:is>
          <x:t xml:space="preserve">https://www.hhs.gov/hipaa/for-professionals/compliance-enforcement/audit/protocol-edited/index.html</x:t>
        </x:is>
      </x:c>
      <x:c r="J8" s="5" t="inlineStr">
        <x:is>
          <x:t xml:space="preserve">Used when the evidence focuses on access reviews, modifications, or removals.</x:t>
        </x:is>
      </x:c>
    </x:row>
    <x:row r="9" ht="30" customHeight="1">
      <x:c r="A9" s="5" t="inlineStr">
        <x:is>
          <x:t xml:space="preserve">45 C.F.R. § 164.308(a)(5)</x:t>
        </x:is>
      </x:c>
      <x:c r="B9" s="5" t="inlineStr">
        <x:is>
          <x:t xml:space="preserve">Security Awareness and Training</x:t>
        </x:is>
      </x:c>
      <x:c r="C9" s="5" t="inlineStr">
        <x:is>
          <x:t xml:space="preserve">Implement a security awareness and training program for all members of the workforce, including management.</x:t>
        </x:is>
      </x:c>
      <x:c r="D9" s="5" t="inlineStr">
        <x:is>
          <x:t xml:space="preserve">Standard</x:t>
        </x:is>
      </x:c>
      <x:c r="E9" s="5" t="inlineStr">
        <x:is>
          <x:t xml:space="preserve">Administrative Safeguards</x:t>
        </x:is>
      </x:c>
      <x:c r="F9" s="28" t="inlineStr">
        <x:is>
          <x:t xml:space="preserve">https://www.ecfr.gov/current/title-45/subtitle-A/subchapter-C/part-164/section-164.308</x:t>
        </x:is>
      </x:c>
      <x:c r="G9" s="28" t="inlineStr">
        <x:is>
          <x:t xml:space="preserve">https://www.hhs.gov/sites/default/files/ocr/privacy/hipaa/administrative/securityrule/adminsafeguards.pdf</x:t>
        </x:is>
      </x:c>
      <x:c r="H9" s="28" t="inlineStr">
        <x:is>
          <x:t xml:space="preserve">https://www.hhs.gov/sites/default/files/ocr/privacy/hipaa/administrative/combined/hipaa-simplification-201303.pdf</x:t>
        </x:is>
      </x:c>
      <x:c r="I9" s="28" t="inlineStr">
        <x:is>
          <x:t xml:space="preserve">https://www.hhs.gov/hipaa/for-professionals/compliance-enforcement/audit/protocol-edited/index.html</x:t>
        </x:is>
      </x:c>
      <x:c r="J9" s="5" t="inlineStr">
        <x:is>
          <x:t xml:space="preserve">Used for broad workforce training controls.</x:t>
        </x:is>
      </x:c>
    </x:row>
    <x:row r="10" ht="30" customHeight="1">
      <x:c r="A10" s="5" t="inlineStr">
        <x:is>
          <x:t xml:space="preserve">45 C.F.R. § 164.308(a)(5)(ii)(B)</x:t>
        </x:is>
      </x:c>
      <x:c r="B10" s="5" t="inlineStr">
        <x:is>
          <x:t xml:space="preserve">Security Awareness and Training — Protection from Malicious Software</x:t>
        </x:is>
      </x:c>
      <x:c r="C10" s="5" t="inlineStr">
        <x:is>
          <x:t xml:space="preserve">Implement procedures for guarding against, detecting, and reporting malicious software.</x:t>
        </x:is>
      </x:c>
      <x:c r="D10" s="5" t="inlineStr">
        <x:is>
          <x:t xml:space="preserve">Addressable implementation specification</x:t>
        </x:is>
      </x:c>
      <x:c r="E10" s="5" t="inlineStr">
        <x:is>
          <x:t xml:space="preserve">Administrative Safeguards</x:t>
        </x:is>
      </x:c>
      <x:c r="F10" s="28" t="inlineStr">
        <x:is>
          <x:t xml:space="preserve">https://www.ecfr.gov/current/title-45/subtitle-A/subchapter-C/part-164/section-164.308</x:t>
        </x:is>
      </x:c>
      <x:c r="G10" s="28" t="inlineStr">
        <x:is>
          <x:t xml:space="preserve">https://www.hhs.gov/hipaa/for-professionals/compliance-enforcement/audit/protocol-edited/index.html</x:t>
        </x:is>
      </x:c>
      <x:c r="H10" s="28" t="inlineStr">
        <x:is>
          <x:t xml:space="preserve">https://www.hhs.gov/sites/default/files/ocr/privacy/hipaa/administrative/combined/hipaa-simplification-201303.pdf</x:t>
        </x:is>
      </x:c>
      <x:c r="I10" s="28" t="inlineStr">
        <x:is>
          <x:t xml:space="preserve">https://www.hhs.gov/hipaa/for-professionals/compliance-enforcement/audit/protocol-edited/index.html</x:t>
        </x:is>
      </x:c>
      <x:c r="J10" s="5" t="inlineStr">
        <x:is>
          <x:t xml:space="preserve">Used for anti-malware and malicious-software protection controls.</x:t>
        </x:is>
      </x:c>
    </x:row>
    <x:row r="11" ht="30" customHeight="1">
      <x:c r="A11" s="5" t="inlineStr">
        <x:is>
          <x:t xml:space="preserve">45 C.F.R. § 164.308(a)(5)(ii)(D)</x:t>
        </x:is>
      </x:c>
      <x:c r="B11" s="5" t="inlineStr">
        <x:is>
          <x:t xml:space="preserve">Security Awareness and Training — Password Management</x:t>
        </x:is>
      </x:c>
      <x:c r="C11" s="5" t="inlineStr">
        <x:is>
          <x:t xml:space="preserve">Implement procedures for creating, changing, and safeguarding passwords.</x:t>
        </x:is>
      </x:c>
      <x:c r="D11" s="5" t="inlineStr">
        <x:is>
          <x:t xml:space="preserve">Addressable implementation specification</x:t>
        </x:is>
      </x:c>
      <x:c r="E11" s="5" t="inlineStr">
        <x:is>
          <x:t xml:space="preserve">Administrative Safeguards</x:t>
        </x:is>
      </x:c>
      <x:c r="F11" s="28" t="inlineStr">
        <x:is>
          <x:t xml:space="preserve">https://www.ecfr.gov/current/title-45/subtitle-A/subchapter-C/part-164/section-164.308</x:t>
        </x:is>
      </x:c>
      <x:c r="G11" s="28" t="inlineStr">
        <x:is>
          <x:t xml:space="preserve">https://www.hhs.gov/sites/default/files/ocr/privacy/hipaa/administrative/securityrule/adminsafeguards.pdf</x:t>
        </x:is>
      </x:c>
      <x:c r="H11" s="28" t="inlineStr">
        <x:is>
          <x:t xml:space="preserve">https://www.hhs.gov/sites/default/files/ocr/privacy/hipaa/administrative/combined/hipaa-simplification-201303.pdf</x:t>
        </x:is>
      </x:c>
      <x:c r="I11" s="28" t="inlineStr">
        <x:is>
          <x:t xml:space="preserve">https://www.hhs.gov/hipaa/for-professionals/compliance-enforcement/audit/protocol-edited/index.html</x:t>
        </x:is>
      </x:c>
      <x:c r="J11" s="5" t="inlineStr">
        <x:is>
          <x:t xml:space="preserve">Used for password-management policy and practice controls.</x:t>
        </x:is>
      </x:c>
    </x:row>
    <x:row r="12" ht="30" customHeight="1">
      <x:c r="A12" s="5" t="inlineStr">
        <x:is>
          <x:t xml:space="preserve">45 C.F.R. § 164.308(a)(6)(i)</x:t>
        </x:is>
      </x:c>
      <x:c r="B12" s="5" t="inlineStr">
        <x:is>
          <x:t xml:space="preserve">Security Incident Procedures</x:t>
        </x:is>
      </x:c>
      <x:c r="C12" s="5" t="inlineStr">
        <x:is>
          <x:t xml:space="preserve">Implement policies and procedures to address security incidents.</x:t>
        </x:is>
      </x:c>
      <x:c r="D12" s="5" t="inlineStr">
        <x:is>
          <x:t xml:space="preserve">Standard</x:t>
        </x:is>
      </x:c>
      <x:c r="E12" s="5" t="inlineStr">
        <x:is>
          <x:t xml:space="preserve">Administrative Safeguards</x:t>
        </x:is>
      </x:c>
      <x:c r="F12" s="28" t="inlineStr">
        <x:is>
          <x:t xml:space="preserve">https://www.ecfr.gov/current/title-45/subtitle-A/subchapter-C/part-164/section-164.308</x:t>
        </x:is>
      </x:c>
      <x:c r="G12" s="28" t="inlineStr">
        <x:is>
          <x:t xml:space="preserve">https://www.hhs.gov/hipaa/for-professionals/faq/2002/what-does-the-security-rule-require-a-covered-entity-to-do-to-comply/index.html</x:t>
        </x:is>
      </x:c>
      <x:c r="H12" s="28" t="inlineStr">
        <x:is>
          <x:t xml:space="preserve">https://www.hhs.gov/sites/default/files/ocr/privacy/hipaa/administrative/combined/hipaa-simplification-201303.pdf</x:t>
        </x:is>
      </x:c>
      <x:c r="I12" s="28" t="inlineStr">
        <x:is>
          <x:t xml:space="preserve">https://www.hhs.gov/hipaa/for-professionals/compliance-enforcement/audit/protocol-edited/index.html</x:t>
        </x:is>
      </x:c>
      <x:c r="J12" s="5" t="inlineStr">
        <x:is>
          <x:t xml:space="preserve">Used for broad incident-handling policy controls.</x:t>
        </x:is>
      </x:c>
    </x:row>
    <x:row r="13" ht="30" customHeight="1">
      <x:c r="A13" s="5" t="inlineStr">
        <x:is>
          <x:t xml:space="preserve">45 C.F.R. § 164.308(a)(6)(ii)</x:t>
        </x:is>
      </x:c>
      <x:c r="B13" s="5" t="inlineStr">
        <x:is>
          <x:t xml:space="preserve">Security Incident Procedures — Response and Reporting</x:t>
        </x:is>
      </x:c>
      <x:c r="C13" s="5" t="inlineStr">
        <x:is>
          <x:t xml:space="preserve">Identify and respond to suspected or known security incidents, mitigate harmful effects to the extent practicable, and document incidents and outcomes.</x:t>
        </x:is>
      </x:c>
      <x:c r="D13" s="5" t="inlineStr">
        <x:is>
          <x:t xml:space="preserve">Required implementation specification</x:t>
        </x:is>
      </x:c>
      <x:c r="E13" s="5" t="inlineStr">
        <x:is>
          <x:t xml:space="preserve">Administrative Safeguards</x:t>
        </x:is>
      </x:c>
      <x:c r="F13" s="28" t="inlineStr">
        <x:is>
          <x:t xml:space="preserve">https://www.ecfr.gov/current/title-45/subtitle-A/subchapter-C/part-164/section-164.308</x:t>
        </x:is>
      </x:c>
      <x:c r="G13" s="28" t="inlineStr">
        <x:is>
          <x:t xml:space="preserve">https://www.hhs.gov/hipaa/for-professionals/faq/2002/what-does-the-security-rule-require-a-covered-entity-to-do-to-comply/index.html</x:t>
        </x:is>
      </x:c>
      <x:c r="H13" s="28" t="inlineStr">
        <x:is>
          <x:t xml:space="preserve">https://www.hhs.gov/sites/default/files/ocr/privacy/hipaa/administrative/combined/hipaa-simplification-201303.pdf</x:t>
        </x:is>
      </x:c>
      <x:c r="I13" s="28" t="inlineStr">
        <x:is>
          <x:t xml:space="preserve">https://www.hhs.gov/hipaa/for-professionals/compliance-enforcement/audit/protocol-edited/index.html</x:t>
        </x:is>
      </x:c>
      <x:c r="J13" s="5" t="inlineStr">
        <x:is>
          <x:t xml:space="preserve">Used for incident response / reporting / postmortem evidence.</x:t>
        </x:is>
      </x:c>
    </x:row>
    <x:row r="14" ht="30" customHeight="1">
      <x:c r="A14" s="5" t="inlineStr">
        <x:is>
          <x:t xml:space="preserve">45 C.F.R. § 164.308(a)(7)(ii)(A)</x:t>
        </x:is>
      </x:c>
      <x:c r="B14" s="5" t="inlineStr">
        <x:is>
          <x:t xml:space="preserve">Contingency Plan — Data Backup Plan</x:t>
        </x:is>
      </x:c>
      <x:c r="C14" s="5" t="inlineStr">
        <x:is>
          <x:t xml:space="preserve">Establish and implement procedures to create and maintain retrievable exact copies of ePHI.</x:t>
        </x:is>
      </x:c>
      <x:c r="D14" s="5" t="inlineStr">
        <x:is>
          <x:t xml:space="preserve">Required implementation specification</x:t>
        </x:is>
      </x:c>
      <x:c r="E14" s="5" t="inlineStr">
        <x:is>
          <x:t xml:space="preserve">Administrative Safeguards</x:t>
        </x:is>
      </x:c>
      <x:c r="F14" s="28" t="inlineStr">
        <x:is>
          <x:t xml:space="preserve">https://www.ecfr.gov/current/title-45/subtitle-A/subchapter-C/part-164/section-164.308</x:t>
        </x:is>
      </x:c>
      <x:c r="G14" s="28" t="inlineStr">
        <x:is>
          <x:t xml:space="preserve">https://www.hhs.gov/hipaa/for-professionals/security/guidance/cybersecurity/ransomware-fact-sheet/index.html</x:t>
        </x:is>
      </x:c>
      <x:c r="H14" s="28" t="inlineStr">
        <x:is>
          <x:t xml:space="preserve">https://www.hhs.gov/sites/default/files/ocr/privacy/hipaa/administrative/combined/hipaa-simplification-201303.pdf</x:t>
        </x:is>
      </x:c>
      <x:c r="I14" s="28" t="inlineStr">
        <x:is>
          <x:t xml:space="preserve">https://www.hhs.gov/hipaa/for-professionals/compliance-enforcement/audit/protocol-edited/index.html</x:t>
        </x:is>
      </x:c>
      <x:c r="J14" s="5" t="inlineStr">
        <x:is>
          <x:t xml:space="preserve">Used for backup procedures and exact-copy evidence.</x:t>
        </x:is>
      </x:c>
    </x:row>
    <x:row r="15" ht="30" customHeight="1">
      <x:c r="A15" s="5" t="inlineStr">
        <x:is>
          <x:t xml:space="preserve">45 C.F.R. § 164.308(a)(7)(ii)(B)</x:t>
        </x:is>
      </x:c>
      <x:c r="B15" s="5" t="inlineStr">
        <x:is>
          <x:t xml:space="preserve">Contingency Plan — Disaster Recovery Plan</x:t>
        </x:is>
      </x:c>
      <x:c r="C15" s="5" t="inlineStr">
        <x:is>
          <x:t xml:space="preserve">Establish and implement procedures to restore any loss of data.</x:t>
        </x:is>
      </x:c>
      <x:c r="D15" s="5" t="inlineStr">
        <x:is>
          <x:t xml:space="preserve">Required implementation specification</x:t>
        </x:is>
      </x:c>
      <x:c r="E15" s="5" t="inlineStr">
        <x:is>
          <x:t xml:space="preserve">Administrative Safeguards</x:t>
        </x:is>
      </x:c>
      <x:c r="F15" s="28" t="inlineStr">
        <x:is>
          <x:t xml:space="preserve">https://www.ecfr.gov/current/title-45/subtitle-A/subchapter-C/part-164/section-164.308</x:t>
        </x:is>
      </x:c>
      <x:c r="G15" s="28" t="inlineStr">
        <x:is>
          <x:t xml:space="preserve">https://www.hhs.gov/hipaa/for-professionals/security/guidance/cybersecurity/ransomware-fact-sheet/index.html</x:t>
        </x:is>
      </x:c>
      <x:c r="H15" s="28" t="inlineStr">
        <x:is>
          <x:t xml:space="preserve">https://www.hhs.gov/sites/default/files/ocr/privacy/hipaa/administrative/combined/hipaa-simplification-201303.pdf</x:t>
        </x:is>
      </x:c>
      <x:c r="I15" s="28" t="inlineStr">
        <x:is>
          <x:t xml:space="preserve">https://www.hhs.gov/hipaa/for-professionals/compliance-enforcement/audit/protocol-edited/index.html</x:t>
        </x:is>
      </x:c>
      <x:c r="J15" s="5" t="inlineStr">
        <x:is>
          <x:t xml:space="preserve">Used for backup restoration and disaster-recovery evidence.</x:t>
        </x:is>
      </x:c>
    </x:row>
    <x:row r="16" ht="30" customHeight="1">
      <x:c r="A16" s="5" t="inlineStr">
        <x:is>
          <x:t xml:space="preserve">45 C.F.R. § 164.308(a)(7)(ii)(D)</x:t>
        </x:is>
      </x:c>
      <x:c r="B16" s="5" t="inlineStr">
        <x:is>
          <x:t xml:space="preserve">Contingency Plan — Applications and Data Criticality Analysis</x:t>
        </x:is>
      </x:c>
      <x:c r="C16" s="5" t="inlineStr">
        <x:is>
          <x:t xml:space="preserve">Assess the relative criticality of specific applications and data in support of contingency planning.</x:t>
        </x:is>
      </x:c>
      <x:c r="D16" s="5" t="inlineStr">
        <x:is>
          <x:t xml:space="preserve">Addressable implementation specification</x:t>
        </x:is>
      </x:c>
      <x:c r="E16" s="5" t="inlineStr">
        <x:is>
          <x:t xml:space="preserve">Administrative Safeguards</x:t>
        </x:is>
      </x:c>
      <x:c r="F16" s="28" t="inlineStr">
        <x:is>
          <x:t xml:space="preserve">https://www.ecfr.gov/current/title-45/subtitle-A/subchapter-C/part-164/section-164.308</x:t>
        </x:is>
      </x:c>
      <x:c r="G16" s="28" t="inlineStr">
        <x:is>
          <x:t xml:space="preserve">https://www.hhs.gov/hipaa/for-professionals/compliance-enforcement/audit/protocol-edited/index.html</x:t>
        </x:is>
      </x:c>
      <x:c r="H16" s="28" t="inlineStr">
        <x:is>
          <x:t xml:space="preserve">https://www.hhs.gov/sites/default/files/ocr/privacy/hipaa/administrative/combined/hipaa-simplification-201303.pdf</x:t>
        </x:is>
      </x:c>
      <x:c r="I16" s="28" t="inlineStr">
        <x:is>
          <x:t xml:space="preserve">https://www.hhs.gov/hipaa/for-professionals/compliance-enforcement/audit/protocol-edited/index.html</x:t>
        </x:is>
      </x:c>
      <x:c r="J16" s="5" t="inlineStr">
        <x:is>
          <x:t xml:space="preserve">Used when the evidence distinguishes critical systems or data for backup / recovery planning.</x:t>
        </x:is>
      </x:c>
    </x:row>
    <x:row r="17" ht="30" customHeight="1">
      <x:c r="A17" s="5" t="inlineStr">
        <x:is>
          <x:t xml:space="preserve">45 C.F.R. § 164.308(a)(8)</x:t>
        </x:is>
      </x:c>
      <x:c r="B17" s="5" t="inlineStr">
        <x:is>
          <x:t xml:space="preserve">Evaluation</x:t>
        </x:is>
      </x:c>
      <x:c r="C17" s="5" t="inlineStr">
        <x:is>
          <x:t xml:space="preserve">Perform periodic technical and nontechnical evaluations, and repeat them in response to environmental or operational changes affecting the security of ePHI.</x:t>
        </x:is>
      </x:c>
      <x:c r="D17" s="5" t="inlineStr">
        <x:is>
          <x:t xml:space="preserve">Required standard</x:t>
        </x:is>
      </x:c>
      <x:c r="E17" s="5" t="inlineStr">
        <x:is>
          <x:t xml:space="preserve">Administrative Safeguards</x:t>
        </x:is>
      </x:c>
      <x:c r="F17" s="28" t="inlineStr">
        <x:is>
          <x:t xml:space="preserve">https://www.ecfr.gov/current/title-45/subtitle-A/subchapter-C/part-164/section-164.308</x:t>
        </x:is>
      </x:c>
      <x:c r="G17" s="28" t="inlineStr">
        <x:is>
          <x:t xml:space="preserve">https://www.hhs.gov/ocr/privacy/hipaa/administrative/securityrule/index.html</x:t>
        </x:is>
      </x:c>
      <x:c r="H17" s="28" t="inlineStr">
        <x:is>
          <x:t xml:space="preserve">https://www.hhs.gov/sites/default/files/ocr/privacy/hipaa/administrative/combined/hipaa-simplification-201303.pdf</x:t>
        </x:is>
      </x:c>
      <x:c r="I17" s="28" t="inlineStr">
        <x:is>
          <x:t xml:space="preserve">https://www.hhs.gov/hipaa/for-professionals/compliance-enforcement/audit/protocol-edited/index.html</x:t>
        </x:is>
      </x:c>
      <x:c r="J17" s="5" t="inlineStr">
        <x:is>
          <x:t xml:space="preserve">Used for evaluation, review, and testing best-fit mappings.</x:t>
        </x:is>
      </x:c>
    </x:row>
    <x:row r="18" ht="30" customHeight="1">
      <x:c r="A18" s="5" t="inlineStr">
        <x:is>
          <x:t xml:space="preserve">45 C.F.R. § 164.310(d)(2)(i)</x:t>
        </x:is>
      </x:c>
      <x:c r="B18" s="5" t="inlineStr">
        <x:is>
          <x:t xml:space="preserve">Device and Media Controls — Disposal</x:t>
        </x:is>
      </x:c>
      <x:c r="C18" s="5" t="inlineStr">
        <x:is>
          <x:t xml:space="preserve">Implement policies and procedures to address the final disposition of ePHI and the hardware or electronic media on which it is stored.</x:t>
        </x:is>
      </x:c>
      <x:c r="D18" s="5" t="inlineStr">
        <x:is>
          <x:t xml:space="preserve">Required implementation specification</x:t>
        </x:is>
      </x:c>
      <x:c r="E18" s="5" t="inlineStr">
        <x:is>
          <x:t xml:space="preserve">Physical Safeguards</x:t>
        </x:is>
      </x:c>
      <x:c r="F18" s="28" t="inlineStr">
        <x:is>
          <x:t xml:space="preserve">https://www.ecfr.gov/current/title-45/subtitle-A/subchapter-C/part-164/section-164.310</x:t>
        </x:is>
      </x:c>
      <x:c r="G18" s="28" t="inlineStr">
        <x:is>
          <x:t xml:space="preserve">https://www.hhs.gov/hipaa/for-professionals/faq/575/what-does-hipaa-require-of-covered-entities-when-they-dispose-information/index.html</x:t>
        </x:is>
      </x:c>
      <x:c r="H18" s="28" t="inlineStr">
        <x:is>
          <x:t xml:space="preserve">https://www.hhs.gov/sites/default/files/ocr/privacy/hipaa/administrative/combined/hipaa-simplification-201303.pdf</x:t>
        </x:is>
      </x:c>
      <x:c r="I18" s="28" t="inlineStr">
        <x:is>
          <x:t xml:space="preserve">https://www.hhs.gov/hipaa/for-professionals/compliance-enforcement/audit/protocol-edited/index.html</x:t>
        </x:is>
      </x:c>
      <x:c r="J18" s="5" t="inlineStr">
        <x:is>
          <x:t xml:space="preserve">Used for disposal and secure destruction evidence.</x:t>
        </x:is>
      </x:c>
    </x:row>
    <x:row r="19" ht="30" customHeight="1">
      <x:c r="A19" s="5" t="inlineStr">
        <x:is>
          <x:t xml:space="preserve">45 C.F.R. § 164.310(d)(2)(ii)</x:t>
        </x:is>
      </x:c>
      <x:c r="B19" s="5" t="inlineStr">
        <x:is>
          <x:t xml:space="preserve">Device and Media Controls — Media Re-use</x:t>
        </x:is>
      </x:c>
      <x:c r="C19" s="5" t="inlineStr">
        <x:is>
          <x:t xml:space="preserve">Implement procedures for removing ePHI from electronic media before the media are made available for re-use.</x:t>
        </x:is>
      </x:c>
      <x:c r="D19" s="5" t="inlineStr">
        <x:is>
          <x:t xml:space="preserve">Required implementation specification</x:t>
        </x:is>
      </x:c>
      <x:c r="E19" s="5" t="inlineStr">
        <x:is>
          <x:t xml:space="preserve">Physical Safeguards</x:t>
        </x:is>
      </x:c>
      <x:c r="F19" s="28" t="inlineStr">
        <x:is>
          <x:t xml:space="preserve">https://www.ecfr.gov/current/title-45/subtitle-A/subchapter-C/part-164/section-164.310</x:t>
        </x:is>
      </x:c>
      <x:c r="G19" s="28" t="inlineStr">
        <x:is>
          <x:t xml:space="preserve">https://www.hhs.gov/hipaa/for-professionals/faq/575/what-does-hipaa-require-of-covered-entities-when-they-dispose-information/index.html</x:t>
        </x:is>
      </x:c>
      <x:c r="H19" s="28" t="inlineStr">
        <x:is>
          <x:t xml:space="preserve">https://www.hhs.gov/sites/default/files/ocr/privacy/hipaa/administrative/combined/hipaa-simplification-201303.pdf</x:t>
        </x:is>
      </x:c>
      <x:c r="I19" s="28" t="inlineStr">
        <x:is>
          <x:t xml:space="preserve">https://www.hhs.gov/hipaa/for-professionals/compliance-enforcement/audit/protocol-edited/index.html</x:t>
        </x:is>
      </x:c>
      <x:c r="J19" s="5" t="inlineStr">
        <x:is>
          <x:t xml:space="preserve">Used for media sanitization and re-use controls.</x:t>
        </x:is>
      </x:c>
    </x:row>
    <x:row r="20" ht="30" customHeight="1">
      <x:c r="A20" s="5" t="inlineStr">
        <x:is>
          <x:t xml:space="preserve">45 C.F.R. § 164.310(d)(2)(iii)</x:t>
        </x:is>
      </x:c>
      <x:c r="B20" s="5" t="inlineStr">
        <x:is>
          <x:t xml:space="preserve">Device and Media Controls — Accountability</x:t>
        </x:is>
      </x:c>
      <x:c r="C20" s="5" t="inlineStr">
        <x:is>
          <x:t xml:space="preserve">Maintain a record of the movements of hardware and electronic media and the person responsible for them.</x:t>
        </x:is>
      </x:c>
      <x:c r="D20" s="5" t="inlineStr">
        <x:is>
          <x:t xml:space="preserve">Addressable implementation specification</x:t>
        </x:is>
      </x:c>
      <x:c r="E20" s="5" t="inlineStr">
        <x:is>
          <x:t xml:space="preserve">Physical Safeguards</x:t>
        </x:is>
      </x:c>
      <x:c r="F20" s="28" t="inlineStr">
        <x:is>
          <x:t xml:space="preserve">https://www.ecfr.gov/current/title-45/subtitle-A/subchapter-C/part-164/section-164.310</x:t>
        </x:is>
      </x:c>
      <x:c r="G20" s="28" t="inlineStr">
        <x:is>
          <x:t xml:space="preserve">https://www.hhs.gov/sites/default/files/ocr/privacy/hipaa/administrative/combined/hipaa-simplification-201303.pdf</x:t>
        </x:is>
      </x:c>
      <x:c r="H20" s="28" t="inlineStr">
        <x:is>
          <x:t xml:space="preserve">https://www.hhs.gov/sites/default/files/ocr/privacy/hipaa/administrative/combined/hipaa-simplification-201303.pdf</x:t>
        </x:is>
      </x:c>
      <x:c r="I20" s="28" t="inlineStr">
        <x:is>
          <x:t xml:space="preserve">https://www.hhs.gov/hipaa/for-professionals/compliance-enforcement/audit/protocol-edited/index.html</x:t>
        </x:is>
      </x:c>
      <x:c r="J20" s="5" t="inlineStr">
        <x:is>
          <x:t xml:space="preserve">Used for custody / chain-of-responsibility evidence.</x:t>
        </x:is>
      </x:c>
    </x:row>
    <x:row r="21" ht="30" customHeight="1">
      <x:c r="A21" s="5" t="inlineStr">
        <x:is>
          <x:t xml:space="preserve">45 C.F.R. § 164.312(a)(1)</x:t>
        </x:is>
      </x:c>
      <x:c r="B21" s="5" t="inlineStr">
        <x:is>
          <x:t xml:space="preserve">Access Control</x:t>
        </x:is>
      </x:c>
      <x:c r="C21" s="5" t="inlineStr">
        <x:is>
          <x:t xml:space="preserve">Implement technical policies and procedures for electronic information systems that maintain ePHI to allow access only to persons or software programs with authorized access rights.</x:t>
        </x:is>
      </x:c>
      <x:c r="D21" s="5" t="inlineStr">
        <x:is>
          <x:t xml:space="preserve">Standard</x:t>
        </x:is>
      </x:c>
      <x:c r="E21" s="5" t="inlineStr">
        <x:is>
          <x:t xml:space="preserve">Technical Safeguards</x:t>
        </x:is>
      </x:c>
      <x:c r="F21" s="28" t="inlineStr">
        <x:is>
          <x:t xml:space="preserve">https://www.ecfr.gov/current/title-45/subtitle-A/subchapter-C/part-164/section-164.312</x:t>
        </x:is>
      </x:c>
      <x:c r="G21" s="28" t="inlineStr">
        <x:is>
          <x:t xml:space="preserve">https://www.hhs.gov/hipaa/for-professionals/compliance-enforcement/audit/protocol-edited/index.html</x:t>
        </x:is>
      </x:c>
      <x:c r="H21" s="28" t="inlineStr">
        <x:is>
          <x:t xml:space="preserve">https://www.hhs.gov/sites/default/files/ocr/privacy/hipaa/administrative/combined/hipaa-simplification-201303.pdf</x:t>
        </x:is>
      </x:c>
      <x:c r="I21" s="28" t="inlineStr">
        <x:is>
          <x:t xml:space="preserve">https://www.hhs.gov/hipaa/for-professionals/compliance-enforcement/audit/protocol-edited/index.html</x:t>
        </x:is>
      </x:c>
      <x:c r="J21" s="5" t="inlineStr">
        <x:is>
          <x:t xml:space="preserve">Used for broad technical access-control controls.</x:t>
        </x:is>
      </x:c>
    </x:row>
    <x:row r="22" ht="30" customHeight="1">
      <x:c r="A22" s="5" t="inlineStr">
        <x:is>
          <x:t xml:space="preserve">45 C.F.R. § 164.312(a)(2)(i)</x:t>
        </x:is>
      </x:c>
      <x:c r="B22" s="5" t="inlineStr">
        <x:is>
          <x:t xml:space="preserve">Access Control — Unique User Identification</x:t>
        </x:is>
      </x:c>
      <x:c r="C22" s="5" t="inlineStr">
        <x:is>
          <x:t xml:space="preserve">Assign a unique name and/or number for identifying and tracking user identity.</x:t>
        </x:is>
      </x:c>
      <x:c r="D22" s="5" t="inlineStr">
        <x:is>
          <x:t xml:space="preserve">Required implementation specification</x:t>
        </x:is>
      </x:c>
      <x:c r="E22" s="5" t="inlineStr">
        <x:is>
          <x:t xml:space="preserve">Technical Safeguards</x:t>
        </x:is>
      </x:c>
      <x:c r="F22" s="28" t="inlineStr">
        <x:is>
          <x:t xml:space="preserve">https://www.ecfr.gov/current/title-45/subtitle-A/subchapter-C/part-164/section-164.312</x:t>
        </x:is>
      </x:c>
      <x:c r="G22" s="28" t="inlineStr">
        <x:is>
          <x:t xml:space="preserve">https://www.hhs.gov/hipaa/for-professionals/compliance-enforcement/audit/protocol-edited/index.html</x:t>
        </x:is>
      </x:c>
      <x:c r="H22" s="28" t="inlineStr">
        <x:is>
          <x:t xml:space="preserve">https://www.hhs.gov/sites/default/files/ocr/privacy/hipaa/administrative/combined/hipaa-simplification-201303.pdf</x:t>
        </x:is>
      </x:c>
      <x:c r="I22" s="28" t="inlineStr">
        <x:is>
          <x:t xml:space="preserve">https://www.hhs.gov/hipaa/for-professionals/compliance-enforcement/audit/protocol-edited/index.html</x:t>
        </x:is>
      </x:c>
      <x:c r="J22" s="5" t="inlineStr">
        <x:is>
          <x:t xml:space="preserve">Used for named-account and unique-ID controls.</x:t>
        </x:is>
      </x:c>
    </x:row>
    <x:row r="23" ht="30" customHeight="1">
      <x:c r="A23" s="5" t="inlineStr">
        <x:is>
          <x:t xml:space="preserve">45 C.F.R. § 164.312(a)(2)(iv)</x:t>
        </x:is>
      </x:c>
      <x:c r="B23" s="5" t="inlineStr">
        <x:is>
          <x:t xml:space="preserve">Access Control — Encryption and Decryption</x:t>
        </x:is>
      </x:c>
      <x:c r="C23" s="5" t="inlineStr">
        <x:is>
          <x:t xml:space="preserve">Implement a mechanism to encrypt and decrypt ePHI.</x:t>
        </x:is>
      </x:c>
      <x:c r="D23" s="5" t="inlineStr">
        <x:is>
          <x:t xml:space="preserve">Addressable implementation specification</x:t>
        </x:is>
      </x:c>
      <x:c r="E23" s="5" t="inlineStr">
        <x:is>
          <x:t xml:space="preserve">Technical Safeguards</x:t>
        </x:is>
      </x:c>
      <x:c r="F23" s="28" t="inlineStr">
        <x:is>
          <x:t xml:space="preserve">https://www.ecfr.gov/current/title-45/subtitle-A/subchapter-C/part-164/section-164.312</x:t>
        </x:is>
      </x:c>
      <x:c r="G23" s="28" t="inlineStr">
        <x:is>
          <x:t xml:space="preserve">https://www.hhs.gov/hipaa/for-professionals/faq/2001/is-the-use-of-encryption-mandatory-in-the-security-rule/index.html</x:t>
        </x:is>
      </x:c>
      <x:c r="H23" s="28" t="inlineStr">
        <x:is>
          <x:t xml:space="preserve">https://www.hhs.gov/sites/default/files/ocr/privacy/hipaa/administrative/combined/hipaa-simplification-201303.pdf</x:t>
        </x:is>
      </x:c>
      <x:c r="I23" s="28" t="inlineStr">
        <x:is>
          <x:t xml:space="preserve">https://www.hhs.gov/hipaa/for-professionals/compliance-enforcement/audit/protocol-edited/index.html</x:t>
        </x:is>
      </x:c>
      <x:c r="J23" s="5" t="inlineStr">
        <x:is>
          <x:t xml:space="preserve">Used for encryption at rest and decryption capability controls.</x:t>
        </x:is>
      </x:c>
    </x:row>
    <x:row r="24" ht="30" customHeight="1">
      <x:c r="A24" s="5" t="inlineStr">
        <x:is>
          <x:t xml:space="preserve">45 C.F.R. § 164.312(d)</x:t>
        </x:is>
      </x:c>
      <x:c r="B24" s="5" t="inlineStr">
        <x:is>
          <x:t xml:space="preserve">Person or Entity Authentication</x:t>
        </x:is>
      </x:c>
      <x:c r="C24" s="5" t="inlineStr">
        <x:is>
          <x:t xml:space="preserve">Implement procedures to verify that a person or entity seeking access to ePHI is the one claimed.</x:t>
        </x:is>
      </x:c>
      <x:c r="D24" s="5" t="inlineStr">
        <x:is>
          <x:t xml:space="preserve">Required standard</x:t>
        </x:is>
      </x:c>
      <x:c r="E24" s="5" t="inlineStr">
        <x:is>
          <x:t xml:space="preserve">Technical Safeguards</x:t>
        </x:is>
      </x:c>
      <x:c r="F24" s="28" t="inlineStr">
        <x:is>
          <x:t xml:space="preserve">https://www.ecfr.gov/current/title-45/subtitle-A/subchapter-C/part-164/section-164.312</x:t>
        </x:is>
      </x:c>
      <x:c r="G24" s="28" t="inlineStr">
        <x:is>
          <x:t xml:space="preserve">https://www.hhs.gov/hipaa/for-professionals/compliance-enforcement/audit/protocol-edited/index.html</x:t>
        </x:is>
      </x:c>
      <x:c r="H24" s="28" t="inlineStr">
        <x:is>
          <x:t xml:space="preserve">https://www.hhs.gov/sites/default/files/ocr/privacy/hipaa/administrative/combined/hipaa-simplification-201303.pdf</x:t>
        </x:is>
      </x:c>
      <x:c r="I24" s="28" t="inlineStr">
        <x:is>
          <x:t xml:space="preserve">https://www.hhs.gov/hipaa/for-professionals/compliance-enforcement/audit/protocol-edited/index.html</x:t>
        </x:is>
      </x:c>
      <x:c r="J24" s="5" t="inlineStr">
        <x:is>
          <x:t xml:space="preserve">Used for MFA / authentication controls.</x:t>
        </x:is>
      </x:c>
    </x:row>
    <x:row r="25" ht="30" customHeight="1">
      <x:c r="A25" s="5" t="inlineStr">
        <x:is>
          <x:t xml:space="preserve">45 C.F.R. § 164.312(e)(2)(ii)</x:t>
        </x:is>
      </x:c>
      <x:c r="B25" s="5" t="inlineStr">
        <x:is>
          <x:t xml:space="preserve">Transmission Security — Encryption</x:t>
        </x:is>
      </x:c>
      <x:c r="C25" s="5" t="inlineStr">
        <x:is>
          <x:t xml:space="preserve">Implement a mechanism to encrypt ePHI whenever deemed appropriate during electronic transmission.</x:t>
        </x:is>
      </x:c>
      <x:c r="D25" s="5" t="inlineStr">
        <x:is>
          <x:t xml:space="preserve">Addressable implementation specification</x:t>
        </x:is>
      </x:c>
      <x:c r="E25" s="5" t="inlineStr">
        <x:is>
          <x:t xml:space="preserve">Technical Safeguards</x:t>
        </x:is>
      </x:c>
      <x:c r="F25" s="28" t="inlineStr">
        <x:is>
          <x:t xml:space="preserve">https://www.ecfr.gov/current/title-45/subtitle-A/subchapter-C/part-164/section-164.312</x:t>
        </x:is>
      </x:c>
      <x:c r="G25" s="28" t="inlineStr">
        <x:is>
          <x:t xml:space="preserve">https://www.hhs.gov/hipaa/for-professionals/faq/2001/is-the-use-of-encryption-mandatory-in-the-security-rule/index.html</x:t>
        </x:is>
      </x:c>
      <x:c r="H25" s="28" t="inlineStr">
        <x:is>
          <x:t xml:space="preserve">https://www.hhs.gov/sites/default/files/ocr/privacy/hipaa/administrative/combined/hipaa-simplification-201303.pdf</x:t>
        </x:is>
      </x:c>
      <x:c r="I25" s="28" t="inlineStr">
        <x:is>
          <x:t xml:space="preserve">https://www.hhs.gov/hipaa/for-professionals/compliance-enforcement/audit/protocol-edited/index.html</x:t>
        </x:is>
      </x:c>
      <x:c r="J25" s="5" t="inlineStr">
        <x:is>
          <x:t xml:space="preserve">Used for TLS and encryption-in-transit controls.</x:t>
        </x:is>
      </x:c>
    </x:row>
    <x:row r="26" ht="30" customHeight="1">
      <x:c r="A26" s="5" t="inlineStr">
        <x:is>
          <x:t xml:space="preserve">45 C.F.R. § 164.316(a)</x:t>
        </x:is>
      </x:c>
      <x:c r="B26" s="5" t="inlineStr">
        <x:is>
          <x:t xml:space="preserve">Policies and Procedures</x:t>
        </x:is>
      </x:c>
      <x:c r="C26" s="5" t="inlineStr">
        <x:is>
          <x:t xml:space="preserve">Implement reasonable and appropriate policies and procedures to comply with the Security Rule standards, implementation specifications, and other requirements.</x:t>
        </x:is>
      </x:c>
      <x:c r="D26" s="5" t="inlineStr">
        <x:is>
          <x:t xml:space="preserve">Standard</x:t>
        </x:is>
      </x:c>
      <x:c r="E26" s="5" t="inlineStr">
        <x:is>
          <x:t xml:space="preserve">Policies / Documentation</x:t>
        </x:is>
      </x:c>
      <x:c r="F26" s="28" t="inlineStr">
        <x:is>
          <x:t xml:space="preserve">https://www.ecfr.gov/current/title-45/subtitle-A/subchapter-C/part-164/section-164.316</x:t>
        </x:is>
      </x:c>
      <x:c r="G26" s="28" t="inlineStr">
        <x:is>
          <x:t xml:space="preserve">https://www.hhs.gov/sites/default/files/ocr/privacy/hipaa/administrative/securityrule/pprequirements.pdf</x:t>
        </x:is>
      </x:c>
      <x:c r="H26" s="28" t="inlineStr">
        <x:is>
          <x:t xml:space="preserve">https://www.hhs.gov/sites/default/files/ocr/privacy/hipaa/administrative/combined/hipaa-simplification-201303.pdf</x:t>
        </x:is>
      </x:c>
      <x:c r="I26" s="28" t="inlineStr">
        <x:is>
          <x:t xml:space="preserve">https://www.hhs.gov/hipaa/for-professionals/compliance-enforcement/audit/protocol-edited/index.html</x:t>
        </x:is>
      </x:c>
      <x:c r="J26" s="5" t="inlineStr">
        <x:is>
          <x:t xml:space="preserve">Used for broad policy / procedure repository controls.</x:t>
        </x:is>
      </x:c>
    </x:row>
    <x:row r="27" ht="30" customHeight="1">
      <x:c r="A27" s="5" t="inlineStr">
        <x:is>
          <x:t xml:space="preserve">45 C.F.R. § 164.316(b)(1)</x:t>
        </x:is>
      </x:c>
      <x:c r="B27" s="5" t="inlineStr">
        <x:is>
          <x:t xml:space="preserve">Documentation</x:t>
        </x:is>
      </x:c>
      <x:c r="C27" s="5" t="inlineStr">
        <x:is>
          <x:t xml:space="preserve">Maintain written or electronic policies and procedures implemented to comply with the Security Rule and written or electronic records of required actions, activities, and assessments.</x:t>
        </x:is>
      </x:c>
      <x:c r="D27" s="5" t="inlineStr">
        <x:is>
          <x:t xml:space="preserve">Standard</x:t>
        </x:is>
      </x:c>
      <x:c r="E27" s="5" t="inlineStr">
        <x:is>
          <x:t xml:space="preserve">Policies / Documentation</x:t>
        </x:is>
      </x:c>
      <x:c r="F27" s="28" t="inlineStr">
        <x:is>
          <x:t xml:space="preserve">https://www.ecfr.gov/current/title-45/subtitle-A/subchapter-C/part-164/section-164.316</x:t>
        </x:is>
      </x:c>
      <x:c r="G27" s="28" t="inlineStr">
        <x:is>
          <x:t xml:space="preserve">https://www.hhs.gov/sites/default/files/ocr/privacy/hipaa/administrative/securityrule/pprequirements.pdf</x:t>
        </x:is>
      </x:c>
      <x:c r="H27" s="28" t="inlineStr">
        <x:is>
          <x:t xml:space="preserve">https://www.hhs.gov/sites/default/files/ocr/privacy/hipaa/administrative/combined/hipaa-simplification-201303.pdf</x:t>
        </x:is>
      </x:c>
      <x:c r="I27" s="28" t="inlineStr">
        <x:is>
          <x:t xml:space="preserve">https://www.hhs.gov/hipaa/for-professionals/compliance-enforcement/audit/protocol-edited/index.html</x:t>
        </x:is>
      </x:c>
      <x:c r="J27" s="5" t="inlineStr">
        <x:is>
          <x:t xml:space="preserve">Used for documentation-focused evidence and repositories.</x:t>
        </x:is>
      </x:c>
    </x:row>
    <x:row r="28" ht="30" customHeight="1">
      <x:c r="A28" s="5" t="inlineStr">
        <x:is>
          <x:t xml:space="preserve">45 C.F.R. § 164.316(b)(2)(iii)</x:t>
        </x:is>
      </x:c>
      <x:c r="B28" s="5" t="inlineStr">
        <x:is>
          <x:t xml:space="preserve">Documentation — Updates</x:t>
        </x:is>
      </x:c>
      <x:c r="C28" s="5" t="inlineStr">
        <x:is>
          <x:t xml:space="preserve">Review documentation periodically and update it as needed in response to environmental or operational changes affecting the security of ePHI.</x:t>
        </x:is>
      </x:c>
      <x:c r="D28" s="5" t="inlineStr">
        <x:is>
          <x:t xml:space="preserve">Required implementation specification</x:t>
        </x:is>
      </x:c>
      <x:c r="E28" s="5" t="inlineStr">
        <x:is>
          <x:t xml:space="preserve">Policies / Documentation</x:t>
        </x:is>
      </x:c>
      <x:c r="F28" s="28" t="inlineStr">
        <x:is>
          <x:t xml:space="preserve">https://www.ecfr.gov/current/title-45/subtitle-A/subchapter-C/part-164/section-164.316</x:t>
        </x:is>
      </x:c>
      <x:c r="G28" s="28" t="inlineStr">
        <x:is>
          <x:t xml:space="preserve">https://www.hhs.gov/sites/default/files/ocr/privacy/hipaa/administrative/combined/hipaa-simplification-201303.pdf</x:t>
        </x:is>
      </x:c>
      <x:c r="H28" s="28" t="inlineStr">
        <x:is>
          <x:t xml:space="preserve">https://www.hhs.gov/sites/default/files/ocr/privacy/hipaa/administrative/combined/hipaa-simplification-201303.pdf</x:t>
        </x:is>
      </x:c>
      <x:c r="I28" s="28" t="inlineStr">
        <x:is>
          <x:t xml:space="preserve">https://www.hhs.gov/hipaa/for-professionals/compliance-enforcement/audit/protocol-edited/index.html</x:t>
        </x:is>
      </x:c>
      <x:c r="J28" s="5" t="inlineStr">
        <x:is>
          <x:t xml:space="preserve">Used when evidence focuses on keeping documentation current.</x:t>
        </x:is>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20" customWidth="1"/>
    <x:col min="2" max="2" width="14" customWidth="1"/>
    <x:col min="3" max="3" width="15" customWidth="1"/>
    <x:col min="4" max="4" width="40" customWidth="1"/>
    <x:col min="5" max="5" width="18" customWidth="1"/>
    <x:col min="6" max="6" width="28" customWidth="1"/>
    <x:col min="7" max="7" width="26" customWidth="1"/>
    <x:col min="8" max="8" width="18" customWidth="1"/>
    <x:col min="9" max="9" width="60" customWidth="1"/>
    <x:col min="10" max="10" width="60" customWidth="1"/>
    <x:col min="11" max="11" width="33" customWidth="1"/>
    <x:col min="12" max="12" width="60" customWidth="1"/>
    <x:col min="13" max="13" width="45" customWidth="1"/>
    <x:col min="14" max="14" width="60" customWidth="1"/>
    <x:col min="15" max="15" width="28" customWidth="1"/>
    <x:col min="16" max="16" width="25" customWidth="1"/>
    <x:col min="17" max="17" width="60" customWidth="1"/>
    <x:col min="18" max="18" width="28" customWidth="1"/>
    <x:col min="19" max="19" width="32" customWidth="1"/>
    <x:col min="20" max="20" width="60" customWidth="1"/>
    <x:col min="21" max="21" width="32" customWidth="1"/>
    <x:col min="22" max="22" width="27" customWidth="1"/>
    <x:col min="23" max="23" width="45" customWidth="1"/>
    <x:col min="24" max="24" width="45" customWidth="1"/>
    <x:col min="25" max="25" width="28" customWidth="1"/>
    <x:col min="26" max="26" width="32" customWidth="1"/>
    <x:col min="27" max="27" width="60" customWidth="1"/>
    <x:col min="28" max="28" width="32" customWidth="1"/>
    <x:col min="29" max="29" width="27" customWidth="1"/>
    <x:col min="30" max="30" width="45" customWidth="1"/>
    <x:col min="31" max="31" width="45" customWidth="1"/>
    <x:col min="32" max="32" width="28" customWidth="1"/>
    <x:col min="33" max="33" width="32" customWidth="1"/>
    <x:col min="34" max="34" width="60" customWidth="1"/>
    <x:col min="35" max="35" width="32" customWidth="1"/>
    <x:col min="36" max="36" width="26" customWidth="1"/>
    <x:col min="37" max="37" width="45" customWidth="1"/>
    <x:col min="38" max="38" width="45" customWidth="1"/>
  </x:cols>
  <x:sheetData>
    <x:row r="1" ht="30" customHeight="1">
      <x:c r="A1" s="11" t="inlineStr">
        <x:is>
          <x:t xml:space="preserve">Source File</x:t>
        </x:is>
      </x:c>
      <x:c r="B1" s="11" t="inlineStr">
        <x:is>
          <x:t xml:space="preserve">Reference ID</x:t>
        </x:is>
      </x:c>
      <x:c r="C1" s="11" t="inlineStr">
        <x:is>
          <x:t xml:space="preserve">Category</x:t>
        </x:is>
      </x:c>
      <x:c r="D1" s="11" t="inlineStr">
        <x:is>
          <x:t xml:space="preserve">Action Item</x:t>
        </x:is>
      </x:c>
      <x:c r="E1" s="11" t="inlineStr">
        <x:is>
          <x:t xml:space="preserve">HIPAA Control</x:t>
        </x:is>
      </x:c>
      <x:c r="F1" s="11" t="inlineStr">
        <x:is>
          <x:t xml:space="preserve">HITRUST e1 Control</x:t>
        </x:is>
      </x:c>
      <x:c r="G1" s="11" t="inlineStr">
        <x:is>
          <x:t xml:space="preserve">Action-Item Mapping Type</x:t>
        </x:is>
      </x:c>
      <x:c r="H1" s="11" t="inlineStr">
        <x:is>
          <x:t xml:space="preserve">Pair Reuse Count</x:t>
        </x:is>
      </x:c>
      <x:c r="I1" s="11" t="inlineStr">
        <x:is>
          <x:t xml:space="preserve">HIPAA 45 CFR Citation(s)</x:t>
        </x:is>
      </x:c>
      <x:c r="J1" s="11" t="inlineStr">
        <x:is>
          <x:t xml:space="preserve">HIPAA Standard / Spec</x:t>
        </x:is>
      </x:c>
      <x:c r="K1" s="11" t="inlineStr">
        <x:is>
          <x:t xml:space="preserve">45 CFR Mapping Confidence</x:t>
        </x:is>
      </x:c>
      <x:c r="L1" s="11" t="inlineStr">
        <x:is>
          <x:t xml:space="preserve">45 CFR Mapping Basis</x:t>
        </x:is>
      </x:c>
      <x:c r="M1" s="11" t="inlineStr">
        <x:is>
          <x:t xml:space="preserve">Authoritative Public Source URL(s)</x:t>
        </x:is>
      </x:c>
      <x:c r="N1" s="11" t="inlineStr">
        <x:is>
          <x:t xml:space="preserve">45 CFR Notes</x:t>
        </x:is>
      </x:c>
      <x:c r="O1" s="11" t="inlineStr">
        <x:is>
          <x:t xml:space="preserve">HITRUST e1 Control Display</x:t>
        </x:is>
      </x:c>
      <x:c r="P1" s="11" t="inlineStr">
        <x:is>
          <x:t xml:space="preserve">Official Citation Count</x:t>
        </x:is>
      </x:c>
      <x:c r="Q1" s="11" t="inlineStr">
        <x:is>
          <x:t xml:space="preserve">Official Citation Adjustment Notes</x:t>
        </x:is>
      </x:c>
      <x:c r="R1" s="11" t="inlineStr">
        <x:is>
          <x:t xml:space="preserve">45_CFR_Citation_1</x:t>
        </x:is>
      </x:c>
      <x:c r="S1" s="11" t="inlineStr">
        <x:is>
          <x:t xml:space="preserve">HIPAA_Requirement_Title_1</x:t>
        </x:is>
      </x:c>
      <x:c r="T1" s="11" t="inlineStr">
        <x:is>
          <x:t xml:space="preserve">HIPAA_Requirement_Summary_1</x:t>
        </x:is>
      </x:c>
      <x:c r="U1" s="11" t="inlineStr">
        <x:is>
          <x:t xml:space="preserve">Implementation_Type_1</x:t>
        </x:is>
      </x:c>
      <x:c r="V1" s="11" t="inlineStr">
        <x:is>
          <x:t xml:space="preserve">Safeguard_Family_1</x:t>
        </x:is>
      </x:c>
      <x:c r="W1" s="11" t="inlineStr">
        <x:is>
          <x:t xml:space="preserve">Official_Section_URL_1</x:t>
        </x:is>
      </x:c>
      <x:c r="X1" s="11" t="inlineStr">
        <x:is>
          <x:t xml:space="preserve">Official_Support_URL_1</x:t>
        </x:is>
      </x:c>
      <x:c r="Y1" s="11" t="inlineStr">
        <x:is>
          <x:t xml:space="preserve">45_CFR_Citation_2</x:t>
        </x:is>
      </x:c>
      <x:c r="Z1" s="11" t="inlineStr">
        <x:is>
          <x:t xml:space="preserve">HIPAA_Requirement_Title_2</x:t>
        </x:is>
      </x:c>
      <x:c r="AA1" s="11" t="inlineStr">
        <x:is>
          <x:t xml:space="preserve">HIPAA_Requirement_Summary_2</x:t>
        </x:is>
      </x:c>
      <x:c r="AB1" s="11" t="inlineStr">
        <x:is>
          <x:t xml:space="preserve">Implementation_Type_2</x:t>
        </x:is>
      </x:c>
      <x:c r="AC1" s="11" t="inlineStr">
        <x:is>
          <x:t xml:space="preserve">Safeguard_Family_2</x:t>
        </x:is>
      </x:c>
      <x:c r="AD1" s="11" t="inlineStr">
        <x:is>
          <x:t xml:space="preserve">Official_Section_URL_2</x:t>
        </x:is>
      </x:c>
      <x:c r="AE1" s="11" t="inlineStr">
        <x:is>
          <x:t xml:space="preserve">Official_Support_URL_2</x:t>
        </x:is>
      </x:c>
      <x:c r="AF1" s="11" t="inlineStr">
        <x:is>
          <x:t xml:space="preserve">45_CFR_Citation_3</x:t>
        </x:is>
      </x:c>
      <x:c r="AG1" s="11" t="inlineStr">
        <x:is>
          <x:t xml:space="preserve">HIPAA_Requirement_Title_3</x:t>
        </x:is>
      </x:c>
      <x:c r="AH1" s="11" t="inlineStr">
        <x:is>
          <x:t xml:space="preserve">HIPAA_Requirement_Summary_3</x:t>
        </x:is>
      </x:c>
      <x:c r="AI1" s="11" t="inlineStr">
        <x:is>
          <x:t xml:space="preserve">Implementation_Type_3</x:t>
        </x:is>
      </x:c>
      <x:c r="AJ1" s="11" t="inlineStr">
        <x:is>
          <x:t xml:space="preserve">Safeguard_Family_3</x:t>
        </x:is>
      </x:c>
      <x:c r="AK1" s="11" t="inlineStr">
        <x:is>
          <x:t xml:space="preserve">Official_Section_URL_3</x:t>
        </x:is>
      </x:c>
      <x:c r="AL1" s="11" t="inlineStr">
        <x:is>
          <x:t xml:space="preserve">Official_Support_URL_3</x:t>
        </x:is>
      </x:c>
    </x:row>
    <x:row r="2" ht="30" customHeight="1">
      <x:c r="A2" s="5" t="inlineStr">
        <x:is>
          <x:t xml:space="preserve">HITRUST e1.csv</x:t>
        </x:is>
      </x:c>
      <x:c r="B2" s="5" t="inlineStr">
        <x:is>
          <x:t xml:space="preserve">ER-86</x:t>
        </x:is>
      </x:c>
      <x:c r="C2" s="5" t="inlineStr">
        <x:is>
          <x:t xml:space="preserve">Policy</x:t>
        </x:is>
      </x:c>
      <x:c r="D2" s="5" t="inlineStr">
        <x:is>
          <x:t xml:space="preserve">Access Control</x:t>
        </x:is>
      </x:c>
      <x:c r="E2" s="5" t="inlineStr">
        <x:is>
          <x:t xml:space="preserve">REQ-24-HIPAA</x:t>
        </x:is>
      </x:c>
      <x:c r="F2" s="5" t="inlineStr">
        <x:is>
          <x:t xml:space="preserve">11.01e1System.2</x:t>
        </x:is>
      </x:c>
      <x:c r="G2" s="5" t="inlineStr">
        <x:is>
          <x:t xml:space="preserve">Many:1</x:t>
        </x:is>
      </x:c>
      <x:c r="H2" s="5" t="n">
        <x:v>1</x:v>
      </x:c>
      <x:c r="I2" s="5" t="inlineStr">
        <x:is>
          <x:t xml:space="preserve">45 CFR § 164.312(a)(1); 45 CFR § 164.308(a)(4)(i)</x:t>
        </x:is>
      </x:c>
      <x:c r="J2" s="5" t="inlineStr">
        <x:is>
          <x:t xml:space="preserve">Access Control; Information Access Management</x:t>
        </x:is>
      </x:c>
      <x:c r="K2" s="5" t="inlineStr">
        <x:is>
          <x:t xml:space="preserve">Composite</x:t>
        </x:is>
      </x:c>
      <x:c r="L2" s="5" t="inlineStr">
        <x:is>
          <x:t xml:space="preserve">Broad access-control policy control spans both the technical access-control standard and the administrative information-access-management standard.</x:t>
        </x:is>
      </x:c>
      <x:c r="M2" s="28"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https://www.hhs.gov/sites/default/files/ocr/privacy/hipaa/administrative/combined/hipaa-simplification-201303.pdf</x:t>
        </x:is>
      </x:c>
      <x:c r="N2" s="5" t="inlineStr">
        <x:is>
          <x:t xml:space="preserve">Used when the spreadsheet row is a general access-control policy without a narrower authorization/review/termination artifact.</x:t>
        </x:is>
      </x:c>
      <x:c r="O2" s="5" t="inlineStr">
        <x:is>
          <x:t xml:space="preserve">11.01e1 System.2</x:t>
        </x:is>
      </x:c>
      <x:c r="P2" s="5" t="n">
        <x:v>2</x:v>
      </x:c>
      <x:c r="Q2" s="5" t="inlineStr">
        <x:is>
          <x:t xml:space="preserve">45 CFR § 164.308(a)(4)(i) -&gt; 45 C.F.R. § 164.308(a)(4): Standard-level citation used in enhanced sheets because the underlying Thoropass control is general information-access management, not a health-care-clearinghouse-only function.</x:t>
        </x:is>
      </x:c>
      <x:c r="R2" s="5" t="inlineStr">
        <x:is>
          <x:t xml:space="preserve">45 C.F.R. § 164.312(a)(1)</x:t>
        </x:is>
      </x:c>
      <x:c r="S2" s="5" t="inlineStr">
        <x:is>
          <x:t xml:space="preserve">Access Control</x:t>
        </x:is>
      </x:c>
      <x:c r="T2" s="5" t="inlineStr">
        <x:is>
          <x:t xml:space="preserve">Implement technical policies and procedures for electronic information systems that maintain ePHI to allow access only to persons or software programs with authorized access rights.</x:t>
        </x:is>
      </x:c>
      <x:c r="U2" s="5" t="inlineStr">
        <x:is>
          <x:t xml:space="preserve">Standard</x:t>
        </x:is>
      </x:c>
      <x:c r="V2" s="5" t="inlineStr">
        <x:is>
          <x:t xml:space="preserve">Technical Safeguards</x:t>
        </x:is>
      </x:c>
      <x:c r="W2" s="28" t="inlineStr">
        <x:is>
          <x:t xml:space="preserve">https://www.ecfr.gov/current/title-45/subtitle-A/subchapter-C/part-164/section-164.312</x:t>
        </x:is>
      </x:c>
      <x:c r="X2" s="28" t="inlineStr">
        <x:is>
          <x:t xml:space="preserve">https://www.hhs.gov/hipaa/for-professionals/compliance-enforcement/audit/protocol-edited/index.html</x:t>
        </x:is>
      </x:c>
      <x:c r="Y2" s="5" t="inlineStr">
        <x:is>
          <x:t xml:space="preserve">45 C.F.R. § 164.308(a)(4)</x:t>
        </x:is>
      </x:c>
      <x:c r="Z2" s="5" t="inlineStr">
        <x:is>
          <x:t xml:space="preserve">Information Access Management</x:t>
        </x:is>
      </x:c>
      <x:c r="AA2" s="5" t="inlineStr">
        <x:is>
          <x:t xml:space="preserve">Implement policies and procedures for authorizing access to ePHI that are consistent with the applicable requirements of the HIPAA Privacy Rule.</x:t>
        </x:is>
      </x:c>
      <x:c r="AB2" s="5" t="inlineStr">
        <x:is>
          <x:t xml:space="preserve">Standard</x:t>
        </x:is>
      </x:c>
      <x:c r="AC2" s="5" t="inlineStr">
        <x:is>
          <x:t xml:space="preserve">Administrative Safeguards</x:t>
        </x:is>
      </x:c>
      <x:c r="AD2" s="28" t="inlineStr">
        <x:is>
          <x:t xml:space="preserve">https://www.ecfr.gov/current/title-45/subtitle-A/subchapter-C/part-164/section-164.308</x:t>
        </x:is>
      </x:c>
      <x:c r="AE2" s="28" t="inlineStr">
        <x:is>
          <x:t xml:space="preserve">https://www.hhs.gov/hipaa/for-professionals/compliance-enforcement/audit/protocol-edited/index.html</x:t>
        </x:is>
      </x:c>
      <x:c r="AF2" s="5" t="n"/>
      <x:c r="AG2" s="5" t="n"/>
      <x:c r="AH2" s="5" t="n"/>
      <x:c r="AI2" s="5" t="n"/>
      <x:c r="AJ2" s="5" t="n"/>
      <x:c r="AK2" s="5" t="n"/>
      <x:c r="AL2" s="5" t="n"/>
    </x:row>
    <x:row r="3" ht="30" customHeight="1">
      <x:c r="A3" s="5" t="inlineStr">
        <x:is>
          <x:t xml:space="preserve">HITRUST e1.csv</x:t>
        </x:is>
      </x:c>
      <x:c r="B3" s="5" t="inlineStr">
        <x:is>
          <x:t xml:space="preserve">ER-86</x:t>
        </x:is>
      </x:c>
      <x:c r="C3" s="5" t="inlineStr">
        <x:is>
          <x:t xml:space="preserve">Policy</x:t>
        </x:is>
      </x:c>
      <x:c r="D3" s="5" t="inlineStr">
        <x:is>
          <x:t xml:space="preserve">Access Control</x:t>
        </x:is>
      </x:c>
      <x:c r="E3" s="5" t="inlineStr">
        <x:is>
          <x:t xml:space="preserve">REQ-29-HIPAA</x:t>
        </x:is>
      </x:c>
      <x:c r="F3" s="5" t="inlineStr">
        <x:is>
          <x:t xml:space="preserve">11.01e1System.2</x:t>
        </x:is>
      </x:c>
      <x:c r="G3" s="5" t="inlineStr">
        <x:is>
          <x:t xml:space="preserve">Many:1</x:t>
        </x:is>
      </x:c>
      <x:c r="H3" s="5" t="n">
        <x:v>2</x:v>
      </x:c>
      <x:c r="I3" s="5" t="inlineStr">
        <x:is>
          <x:t xml:space="preserve">45 CFR § 164.308(a)(4)(ii)(C)</x:t>
        </x:is>
      </x:c>
      <x:c r="J3" s="5" t="inlineStr">
        <x:is>
          <x:t xml:space="preserve">Information Access Management — Access Establishment and Modification</x:t>
        </x:is>
      </x:c>
      <x:c r="K3" s="5" t="inlineStr">
        <x:is>
          <x:t xml:space="preserve">Direct</x:t>
        </x:is>
      </x:c>
      <x:c r="L3" s="5" t="inlineStr">
        <x:is>
          <x:t xml:space="preserve">Access-review documentation aligns directly to the requirement to establish, document, review, and modify user rights of access.</x:t>
        </x:is>
      </x:c>
      <x:c r="M3"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3" s="5" t="inlineStr">
        <x:is>
          <x:t xml:space="preserve">Used for both access-review evidence and broader policy statements that emphasize periodic review/modification.</x:t>
        </x:is>
      </x:c>
      <x:c r="O3" s="5" t="inlineStr">
        <x:is>
          <x:t xml:space="preserve">11.01e1 System.2</x:t>
        </x:is>
      </x:c>
      <x:c r="P3" s="5" t="n">
        <x:v>1</x:v>
      </x:c>
      <x:c r="Q3" s="5" t="n"/>
      <x:c r="R3" s="5" t="inlineStr">
        <x:is>
          <x:t xml:space="preserve">45 C.F.R. § 164.308(a)(4)(ii)(C)</x:t>
        </x:is>
      </x:c>
      <x:c r="S3" s="5" t="inlineStr">
        <x:is>
          <x:t xml:space="preserve">Information Access Management — Access Establishment and Modification</x:t>
        </x:is>
      </x:c>
      <x:c r="T3" s="5" t="inlineStr">
        <x:is>
          <x:t xml:space="preserve">Implement policies and procedures to establish, document, review, and modify a user’s right of access to a workstation, transaction, program, or process.</x:t>
        </x:is>
      </x:c>
      <x:c r="U3" s="5" t="inlineStr">
        <x:is>
          <x:t xml:space="preserve">Addressable implementation specification</x:t>
        </x:is>
      </x:c>
      <x:c r="V3" s="5" t="inlineStr">
        <x:is>
          <x:t xml:space="preserve">Administrative Safeguards</x:t>
        </x:is>
      </x:c>
      <x:c r="W3" s="28" t="inlineStr">
        <x:is>
          <x:t xml:space="preserve">https://www.ecfr.gov/current/title-45/subtitle-A/subchapter-C/part-164/section-164.308</x:t>
        </x:is>
      </x:c>
      <x:c r="X3" s="28" t="inlineStr">
        <x:is>
          <x:t xml:space="preserve">https://www.hhs.gov/hipaa/for-professionals/compliance-enforcement/audit/protocol-edited/index.html</x:t>
        </x:is>
      </x:c>
      <x:c r="Y3" s="5" t="n"/>
      <x:c r="Z3" s="5" t="n"/>
      <x:c r="AA3" s="5" t="n"/>
      <x:c r="AB3" s="5" t="n"/>
      <x:c r="AC3" s="5" t="n"/>
      <x:c r="AD3" s="5" t="n"/>
      <x:c r="AE3" s="5" t="n"/>
      <x:c r="AF3" s="5" t="n"/>
      <x:c r="AG3" s="5" t="n"/>
      <x:c r="AH3" s="5" t="n"/>
      <x:c r="AI3" s="5" t="n"/>
      <x:c r="AJ3" s="5" t="n"/>
      <x:c r="AK3" s="5" t="n"/>
      <x:c r="AL3" s="5" t="n"/>
    </x:row>
    <x:row r="4" ht="30" customHeight="1">
      <x:c r="A4" s="5" t="inlineStr">
        <x:is>
          <x:t xml:space="preserve">HITRUST e1.csv</x:t>
        </x:is>
      </x:c>
      <x:c r="B4" s="5" t="inlineStr">
        <x:is>
          <x:t xml:space="preserve">ER-86</x:t>
        </x:is>
      </x:c>
      <x:c r="C4" s="5" t="inlineStr">
        <x:is>
          <x:t xml:space="preserve">Policy</x:t>
        </x:is>
      </x:c>
      <x:c r="D4" s="5" t="inlineStr">
        <x:is>
          <x:t xml:space="preserve">Access Control</x:t>
        </x:is>
      </x:c>
      <x:c r="E4" s="5" t="inlineStr">
        <x:is>
          <x:t xml:space="preserve">REQ-30-HIPAA</x:t>
        </x:is>
      </x:c>
      <x:c r="F4" s="5" t="inlineStr">
        <x:is>
          <x:t xml:space="preserve">11.01e1System.2</x:t>
        </x:is>
      </x:c>
      <x:c r="G4" s="5" t="inlineStr">
        <x:is>
          <x:t xml:space="preserve">Many:1</x:t>
        </x:is>
      </x:c>
      <x:c r="H4" s="5" t="n">
        <x:v>1</x:v>
      </x:c>
      <x:c r="I4" s="5" t="inlineStr">
        <x:is>
          <x:t xml:space="preserve">45 CFR § 164.308(a)(4)(ii)(B)</x:t>
        </x:is>
      </x:c>
      <x:c r="J4" s="5" t="inlineStr">
        <x:is>
          <x:t xml:space="preserve">Information Access Management — Access Authorization</x:t>
        </x:is>
      </x:c>
      <x:c r="K4" s="5" t="inlineStr">
        <x:is>
          <x:t xml:space="preserve">Direct</x:t>
        </x:is>
      </x:c>
      <x:c r="L4" s="5" t="inlineStr">
        <x:is>
          <x:t xml:space="preserve">New-hire access request and approval evidence aligns directly to access authorization.</x:t>
        </x:is>
      </x:c>
      <x:c r="M4"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4" s="5" t="inlineStr">
        <x:is>
          <x:t xml:space="preserve">Used for access-request forms/templates and access-control rows that center on approvals.</x:t>
        </x:is>
      </x:c>
      <x:c r="O4" s="5" t="inlineStr">
        <x:is>
          <x:t xml:space="preserve">11.01e1 System.2</x:t>
        </x:is>
      </x:c>
      <x:c r="P4" s="5" t="n">
        <x:v>1</x:v>
      </x:c>
      <x:c r="Q4" s="5" t="n"/>
      <x:c r="R4" s="5" t="inlineStr">
        <x:is>
          <x:t xml:space="preserve">45 C.F.R. § 164.308(a)(4)(ii)(B)</x:t>
        </x:is>
      </x:c>
      <x:c r="S4" s="5" t="inlineStr">
        <x:is>
          <x:t xml:space="preserve">Information Access Management — Access Authorization</x:t>
        </x:is>
      </x:c>
      <x:c r="T4" s="5" t="inlineStr">
        <x:is>
          <x:t xml:space="preserve">Implement policies and procedures for granting access to ePHI through appropriate mechanisms such as workstations, transactions, programs, or processes.</x:t>
        </x:is>
      </x:c>
      <x:c r="U4" s="5" t="inlineStr">
        <x:is>
          <x:t xml:space="preserve">Addressable implementation specification</x:t>
        </x:is>
      </x:c>
      <x:c r="V4" s="5" t="inlineStr">
        <x:is>
          <x:t xml:space="preserve">Administrative Safeguards</x:t>
        </x:is>
      </x:c>
      <x:c r="W4" s="28" t="inlineStr">
        <x:is>
          <x:t xml:space="preserve">https://www.ecfr.gov/current/title-45/subtitle-A/subchapter-C/part-164/section-164.308</x:t>
        </x:is>
      </x:c>
      <x:c r="X4" s="28" t="inlineStr">
        <x:is>
          <x:t xml:space="preserve">https://www.hhs.gov/hipaa/for-professionals/compliance-enforcement/audit/protocol-edited/index.html</x:t>
        </x:is>
      </x:c>
      <x:c r="Y4" s="5" t="n"/>
      <x:c r="Z4" s="5" t="n"/>
      <x:c r="AA4" s="5" t="n"/>
      <x:c r="AB4" s="5" t="n"/>
      <x:c r="AC4" s="5" t="n"/>
      <x:c r="AD4" s="5" t="n"/>
      <x:c r="AE4" s="5" t="n"/>
      <x:c r="AF4" s="5" t="n"/>
      <x:c r="AG4" s="5" t="n"/>
      <x:c r="AH4" s="5" t="n"/>
      <x:c r="AI4" s="5" t="n"/>
      <x:c r="AJ4" s="5" t="n"/>
      <x:c r="AK4" s="5" t="n"/>
      <x:c r="AL4" s="5" t="n"/>
    </x:row>
    <x:row r="5" ht="30" customHeight="1">
      <x:c r="A5" s="5" t="inlineStr">
        <x:is>
          <x:t xml:space="preserve">HITRUST e1.csv</x:t>
        </x:is>
      </x:c>
      <x:c r="B5" s="5" t="inlineStr">
        <x:is>
          <x:t xml:space="preserve">ER-86</x:t>
        </x:is>
      </x:c>
      <x:c r="C5" s="5" t="inlineStr">
        <x:is>
          <x:t xml:space="preserve">Policy</x:t>
        </x:is>
      </x:c>
      <x:c r="D5" s="5" t="inlineStr">
        <x:is>
          <x:t xml:space="preserve">Access Control</x:t>
        </x:is>
      </x:c>
      <x:c r="E5" s="5" t="inlineStr">
        <x:is>
          <x:t xml:space="preserve">REQ-31-HIPAA</x:t>
        </x:is>
      </x:c>
      <x:c r="F5" s="5" t="inlineStr">
        <x:is>
          <x:t xml:space="preserve">11.01e1System.2</x:t>
        </x:is>
      </x:c>
      <x:c r="G5" s="5" t="inlineStr">
        <x:is>
          <x:t xml:space="preserve">Many:1</x:t>
        </x:is>
      </x:c>
      <x:c r="H5" s="5" t="n">
        <x:v>1</x:v>
      </x:c>
      <x:c r="I5" s="5" t="inlineStr">
        <x:is>
          <x:t xml:space="preserve">45 CFR § 164.308(a)(3)(ii)(C); 45 CFR § 164.308(a)(4)(ii)(C)</x:t>
        </x:is>
      </x:c>
      <x:c r="J5" s="5" t="inlineStr">
        <x:is>
          <x:t xml:space="preserve">Workforce Security — Termination Procedures; Information Access Management — Access Establishment and Modification</x:t>
        </x:is>
      </x:c>
      <x:c r="K5" s="5" t="inlineStr">
        <x:is>
          <x:t xml:space="preserve">Composite</x:t>
        </x:is>
      </x:c>
      <x:c r="L5" s="5" t="inlineStr">
        <x:is>
          <x:t xml:space="preserve">The same internal control appears within a general access-control policy row; termination remains the most likely HIPAA basis, with access-right modification as supporting context.</x:t>
        </x:is>
      </x:c>
      <x:c r="M5" s="28" t="inlineStr">
        <x:is>
          <x:t xml:space="preserve">https://www.ecfr.gov/current/title-45/subtitle-A/subchapter-C/part-164/section-164.308 | https://www.hhs.gov/hipaa/for-professionals/compliance-enforcement/audit/protocol/index.html | https://www.hhs.gov/hipaa/for-professionals/security/guidance/cybersecurity-newsletter-summer-2019/index.html</x:t>
        </x:is>
      </x:c>
      <x:c r="N5" s="5" t="inlineStr">
        <x:is>
          <x:t xml:space="preserve">Mapped conservatively because the internal control ID spans both termination evidence and access-control policy language.</x:t>
        </x:is>
      </x:c>
      <x:c r="O5" s="5" t="inlineStr">
        <x:is>
          <x:t xml:space="preserve">11.01e1 System.2</x:t>
        </x:is>
      </x:c>
      <x:c r="P5" s="5" t="n">
        <x:v>2</x:v>
      </x:c>
      <x:c r="Q5" s="5" t="n"/>
      <x:c r="R5" s="5" t="inlineStr">
        <x:is>
          <x:t xml:space="preserve">45 C.F.R. § 164.308(a)(3)(ii)(C)</x:t>
        </x:is>
      </x:c>
      <x:c r="S5" s="5" t="inlineStr">
        <x:is>
          <x:t xml:space="preserve">Workforce Security — Termination Procedures</x:t>
        </x:is>
      </x:c>
      <x:c r="T5" s="5" t="inlineStr">
        <x:is>
          <x:t xml:space="preserve">Implement procedures for terminating a workforce member’s access to ePHI when employment ends or when access should otherwise be removed.</x:t>
        </x:is>
      </x:c>
      <x:c r="U5" s="5" t="inlineStr">
        <x:is>
          <x:t xml:space="preserve">Addressable implementation specification</x:t>
        </x:is>
      </x:c>
      <x:c r="V5" s="5" t="inlineStr">
        <x:is>
          <x:t xml:space="preserve">Administrative Safeguards</x:t>
        </x:is>
      </x:c>
      <x:c r="W5" s="28" t="inlineStr">
        <x:is>
          <x:t xml:space="preserve">https://www.ecfr.gov/current/title-45/subtitle-A/subchapter-C/part-164/section-164.308</x:t>
        </x:is>
      </x:c>
      <x:c r="X5" s="28" t="inlineStr">
        <x:is>
          <x:t xml:space="preserve">https://www.hhs.gov/hipaa/for-professionals/security/guidance/cybersecurity-newsletter-summer-2019/index.html</x:t>
        </x:is>
      </x:c>
      <x:c r="Y5" s="5" t="inlineStr">
        <x:is>
          <x:t xml:space="preserve">45 C.F.R. § 164.308(a)(4)(ii)(C)</x:t>
        </x:is>
      </x:c>
      <x:c r="Z5" s="5" t="inlineStr">
        <x:is>
          <x:t xml:space="preserve">Information Access Management — Access Establishment and Modification</x:t>
        </x:is>
      </x:c>
      <x:c r="AA5" s="5" t="inlineStr">
        <x:is>
          <x:t xml:space="preserve">Implement policies and procedures to establish, document, review, and modify a user’s right of access to a workstation, transaction, program, or process.</x:t>
        </x:is>
      </x:c>
      <x:c r="AB5" s="5" t="inlineStr">
        <x:is>
          <x:t xml:space="preserve">Addressable implementation specification</x:t>
        </x:is>
      </x:c>
      <x:c r="AC5" s="5" t="inlineStr">
        <x:is>
          <x:t xml:space="preserve">Administrative Safeguards</x:t>
        </x:is>
      </x:c>
      <x:c r="AD5" s="28" t="inlineStr">
        <x:is>
          <x:t xml:space="preserve">https://www.ecfr.gov/current/title-45/subtitle-A/subchapter-C/part-164/section-164.308</x:t>
        </x:is>
      </x:c>
      <x:c r="AE5" s="28" t="inlineStr">
        <x:is>
          <x:t xml:space="preserve">https://www.hhs.gov/hipaa/for-professionals/compliance-enforcement/audit/protocol-edited/index.html</x:t>
        </x:is>
      </x:c>
      <x:c r="AF5" s="5" t="n"/>
      <x:c r="AG5" s="5" t="n"/>
      <x:c r="AH5" s="5" t="n"/>
      <x:c r="AI5" s="5" t="n"/>
      <x:c r="AJ5" s="5" t="n"/>
      <x:c r="AK5" s="5" t="n"/>
      <x:c r="AL5" s="5" t="n"/>
    </x:row>
    <x:row r="6" ht="30" customHeight="1">
      <x:c r="A6" s="5" t="inlineStr">
        <x:is>
          <x:t xml:space="preserve">HITRUST e1.csv</x:t>
        </x:is>
      </x:c>
      <x:c r="B6" s="5" t="inlineStr">
        <x:is>
          <x:t xml:space="preserve">ER-87</x:t>
        </x:is>
      </x:c>
      <x:c r="C6" s="5" t="inlineStr">
        <x:is>
          <x:t xml:space="preserve">Sample</x:t>
        </x:is>
      </x:c>
      <x:c r="D6" s="5" t="inlineStr">
        <x:is>
          <x:t xml:space="preserve">Access Review Documentation</x:t>
        </x:is>
      </x:c>
      <x:c r="E6" s="5" t="inlineStr">
        <x:is>
          <x:t xml:space="preserve">REQ-29-HIPAA</x:t>
        </x:is>
      </x:c>
      <x:c r="F6" s="5" t="inlineStr">
        <x:is>
          <x:t xml:space="preserve">11.01e1System.2</x:t>
        </x:is>
      </x:c>
      <x:c r="G6" s="5" t="inlineStr">
        <x:is>
          <x:t xml:space="preserve">1:1</x:t>
        </x:is>
      </x:c>
      <x:c r="H6" s="5" t="n">
        <x:v>2</x:v>
      </x:c>
      <x:c r="I6" s="5" t="inlineStr">
        <x:is>
          <x:t xml:space="preserve">45 CFR § 164.308(a)(4)(ii)(C)</x:t>
        </x:is>
      </x:c>
      <x:c r="J6" s="5" t="inlineStr">
        <x:is>
          <x:t xml:space="preserve">Information Access Management — Access Establishment and Modification</x:t>
        </x:is>
      </x:c>
      <x:c r="K6" s="5" t="inlineStr">
        <x:is>
          <x:t xml:space="preserve">Direct</x:t>
        </x:is>
      </x:c>
      <x:c r="L6" s="5" t="inlineStr">
        <x:is>
          <x:t xml:space="preserve">Access-review documentation aligns directly to the requirement to establish, document, review, and modify user rights of access.</x:t>
        </x:is>
      </x:c>
      <x:c r="M6"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6" s="5" t="inlineStr">
        <x:is>
          <x:t xml:space="preserve">Used for both access-review evidence and broader policy statements that emphasize periodic review/modification.</x:t>
        </x:is>
      </x:c>
      <x:c r="O6" s="5" t="inlineStr">
        <x:is>
          <x:t xml:space="preserve">11.01e1 System.2</x:t>
        </x:is>
      </x:c>
      <x:c r="P6" s="5" t="n">
        <x:v>1</x:v>
      </x:c>
      <x:c r="Q6" s="5" t="n"/>
      <x:c r="R6" s="5" t="inlineStr">
        <x:is>
          <x:t xml:space="preserve">45 C.F.R. § 164.308(a)(4)(ii)(C)</x:t>
        </x:is>
      </x:c>
      <x:c r="S6" s="5" t="inlineStr">
        <x:is>
          <x:t xml:space="preserve">Information Access Management — Access Establishment and Modification</x:t>
        </x:is>
      </x:c>
      <x:c r="T6" s="5" t="inlineStr">
        <x:is>
          <x:t xml:space="preserve">Implement policies and procedures to establish, document, review, and modify a user’s right of access to a workstation, transaction, program, or process.</x:t>
        </x:is>
      </x:c>
      <x:c r="U6" s="5" t="inlineStr">
        <x:is>
          <x:t xml:space="preserve">Addressable implementation specification</x:t>
        </x:is>
      </x:c>
      <x:c r="V6" s="5" t="inlineStr">
        <x:is>
          <x:t xml:space="preserve">Administrative Safeguards</x:t>
        </x:is>
      </x:c>
      <x:c r="W6" s="28" t="inlineStr">
        <x:is>
          <x:t xml:space="preserve">https://www.ecfr.gov/current/title-45/subtitle-A/subchapter-C/part-164/section-164.308</x:t>
        </x:is>
      </x:c>
      <x:c r="X6" s="28" t="inlineStr">
        <x:is>
          <x:t xml:space="preserve">https://www.hhs.gov/hipaa/for-professionals/compliance-enforcement/audit/protocol-edited/index.html</x:t>
        </x:is>
      </x:c>
      <x:c r="Y6" s="5" t="n"/>
      <x:c r="Z6" s="5" t="n"/>
      <x:c r="AA6" s="5" t="n"/>
      <x:c r="AB6" s="5" t="n"/>
      <x:c r="AC6" s="5" t="n"/>
      <x:c r="AD6" s="5" t="n"/>
      <x:c r="AE6" s="5" t="n"/>
      <x:c r="AF6" s="5" t="n"/>
      <x:c r="AG6" s="5" t="n"/>
      <x:c r="AH6" s="5" t="n"/>
      <x:c r="AI6" s="5" t="n"/>
      <x:c r="AJ6" s="5" t="n"/>
      <x:c r="AK6" s="5" t="n"/>
      <x:c r="AL6" s="5" t="n"/>
    </x:row>
    <x:row r="7" ht="30" customHeight="1">
      <x:c r="A7" s="5" t="inlineStr">
        <x:is>
          <x:t xml:space="preserve">HITRUST e1.csv</x:t>
        </x:is>
      </x:c>
      <x:c r="B7" s="5" t="inlineStr">
        <x:is>
          <x:t xml:space="preserve">ER-141</x:t>
        </x:is>
      </x:c>
      <x:c r="C7" s="5" t="inlineStr">
        <x:is>
          <x:t xml:space="preserve">Population</x:t>
        </x:is>
      </x:c>
      <x:c r="D7" s="5" t="inlineStr">
        <x:is>
          <x:t xml:space="preserve">All Incidents Identified During the Review Period [INSERT EXAM PERIOD]</x:t>
        </x:is>
      </x:c>
      <x:c r="E7" s="5" t="inlineStr">
        <x:is>
          <x:t xml:space="preserve">REQ-50-HIPAA</x:t>
        </x:is>
      </x:c>
      <x:c r="F7" s="5" t="inlineStr">
        <x:is>
          <x:t xml:space="preserve">1561.11c1Organizational.4</x:t>
        </x:is>
      </x:c>
      <x:c r="G7" s="5" t="inlineStr">
        <x:is>
          <x:t xml:space="preserve">Many:1</x:t>
        </x:is>
      </x:c>
      <x:c r="H7" s="5" t="n">
        <x:v>1</x:v>
      </x:c>
      <x:c r="I7" s="5" t="inlineStr">
        <x:is>
          <x:t xml:space="preserve">45 CFR § 164.308(a)(6)(ii); 45 CFR § 164.316(b)(1)</x:t>
        </x:is>
      </x:c>
      <x:c r="J7" s="5" t="inlineStr">
        <x:is>
          <x:t xml:space="preserve">Security Incident Procedures — Response and Reporting; Documentation</x:t>
        </x:is>
      </x:c>
      <x:c r="K7" s="5" t="inlineStr">
        <x:is>
          <x:t xml:space="preserve">Composite</x:t>
        </x:is>
      </x:c>
      <x:c r="L7" s="5" t="inlineStr">
        <x:is>
          <x:t xml:space="preserve">Incident tickets/population evidence show response/reporting activities and the required documentation of incidents and outcomes.</x:t>
        </x:is>
      </x:c>
      <x:c r="M7" s="28"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N7" s="5" t="inlineStr">
        <x:is>
          <x:t xml:space="preserve">Documentation is added because the evidence row is a ticket/log of incidents during the review period.</x:t>
        </x:is>
      </x:c>
      <x:c r="O7" s="5" t="inlineStr">
        <x:is>
          <x:t xml:space="preserve">1561.11c1 Organizational.4</x:t>
        </x:is>
      </x:c>
      <x:c r="P7" s="5" t="n">
        <x:v>2</x:v>
      </x:c>
      <x:c r="Q7" s="5" t="n"/>
      <x:c r="R7" s="5" t="inlineStr">
        <x:is>
          <x:t xml:space="preserve">45 C.F.R. § 164.308(a)(6)(ii)</x:t>
        </x:is>
      </x:c>
      <x:c r="S7" s="5" t="inlineStr">
        <x:is>
          <x:t xml:space="preserve">Security Incident Procedures — Response and Reporting</x:t>
        </x:is>
      </x:c>
      <x:c r="T7" s="5" t="inlineStr">
        <x:is>
          <x:t xml:space="preserve">Identify and respond to suspected or known security incidents, mitigate harmful effects to the extent practicable, and document incidents and outcomes.</x:t>
        </x:is>
      </x:c>
      <x:c r="U7" s="5" t="inlineStr">
        <x:is>
          <x:t xml:space="preserve">Required implementation specification</x:t>
        </x:is>
      </x:c>
      <x:c r="V7" s="5" t="inlineStr">
        <x:is>
          <x:t xml:space="preserve">Administrative Safeguards</x:t>
        </x:is>
      </x:c>
      <x:c r="W7" s="28" t="inlineStr">
        <x:is>
          <x:t xml:space="preserve">https://www.ecfr.gov/current/title-45/subtitle-A/subchapter-C/part-164/section-164.308</x:t>
        </x:is>
      </x:c>
      <x:c r="X7" s="28" t="inlineStr">
        <x:is>
          <x:t xml:space="preserve">https://www.hhs.gov/hipaa/for-professionals/faq/2002/what-does-the-security-rule-require-a-covered-entity-to-do-to-comply/index.html</x:t>
        </x:is>
      </x:c>
      <x:c r="Y7" s="5" t="inlineStr">
        <x:is>
          <x:t xml:space="preserve">45 C.F.R. § 164.316(b)(1)</x:t>
        </x:is>
      </x:c>
      <x:c r="Z7" s="5" t="inlineStr">
        <x:is>
          <x:t xml:space="preserve">Documentation</x:t>
        </x:is>
      </x:c>
      <x:c r="AA7" s="5" t="inlineStr">
        <x:is>
          <x:t xml:space="preserve">Maintain written or electronic policies and procedures implemented to comply with the Security Rule and written or electronic records of required actions, activities, and assessments.</x:t>
        </x:is>
      </x:c>
      <x:c r="AB7" s="5" t="inlineStr">
        <x:is>
          <x:t xml:space="preserve">Standard</x:t>
        </x:is>
      </x:c>
      <x:c r="AC7" s="5" t="inlineStr">
        <x:is>
          <x:t xml:space="preserve">Policies / Documentation</x:t>
        </x:is>
      </x:c>
      <x:c r="AD7" s="28" t="inlineStr">
        <x:is>
          <x:t xml:space="preserve">https://www.ecfr.gov/current/title-45/subtitle-A/subchapter-C/part-164/section-164.316</x:t>
        </x:is>
      </x:c>
      <x:c r="AE7" s="28" t="inlineStr">
        <x:is>
          <x:t xml:space="preserve">https://www.hhs.gov/sites/default/files/ocr/privacy/hipaa/administrative/securityrule/pprequirements.pdf</x:t>
        </x:is>
      </x:c>
      <x:c r="AF7" s="5" t="n"/>
      <x:c r="AG7" s="5" t="n"/>
      <x:c r="AH7" s="5" t="n"/>
      <x:c r="AI7" s="5" t="n"/>
      <x:c r="AJ7" s="5" t="n"/>
      <x:c r="AK7" s="5" t="n"/>
      <x:c r="AL7" s="5" t="n"/>
    </x:row>
    <x:row r="8" ht="30" customHeight="1">
      <x:c r="A8" s="5" t="inlineStr">
        <x:is>
          <x:t xml:space="preserve">HITRUST e1.csv</x:t>
        </x:is>
      </x:c>
      <x:c r="B8" s="5" t="inlineStr">
        <x:is>
          <x:t xml:space="preserve">ER-141</x:t>
        </x:is>
      </x:c>
      <x:c r="C8" s="5" t="inlineStr">
        <x:is>
          <x:t xml:space="preserve">Population</x:t>
        </x:is>
      </x:c>
      <x:c r="D8" s="5" t="inlineStr">
        <x:is>
          <x:t xml:space="preserve">All Incidents Identified During the Review Period [INSERT EXAM PERIOD]</x:t>
        </x:is>
      </x:c>
      <x:c r="E8" s="5" t="inlineStr">
        <x:is>
          <x:t xml:space="preserve">REQ-995-HIPAA</x:t>
        </x:is>
      </x:c>
      <x:c r="F8" s="5" t="inlineStr">
        <x:is>
          <x:t xml:space="preserve">1561.11c1Organizational.4</x:t>
        </x:is>
      </x:c>
      <x:c r="G8" s="5" t="inlineStr">
        <x:is>
          <x:t xml:space="preserve">Many:1</x:t>
        </x:is>
      </x:c>
      <x:c r="H8" s="5" t="n">
        <x:v>1</x:v>
      </x:c>
      <x:c r="I8" s="5" t="inlineStr">
        <x:is>
          <x:t xml:space="preserve">45 CFR § 164.308(a)(6)(ii); 45 CFR § 164.316(b)(1)</x:t>
        </x:is>
      </x:c>
      <x:c r="J8" s="5" t="inlineStr">
        <x:is>
          <x:t xml:space="preserve">Security Incident Procedures — Response and Reporting; Documentation</x:t>
        </x:is>
      </x:c>
      <x:c r="K8" s="5" t="inlineStr">
        <x:is>
          <x:t xml:space="preserve">Best-fit composite</x:t>
        </x:is>
      </x:c>
      <x:c r="L8" s="5" t="inlineStr">
        <x:is>
          <x:t xml:space="preserve">Generic population/evidence control used to show incidents and outcomes during the review period.</x:t>
        </x:is>
      </x:c>
      <x:c r="M8" s="28"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N8" s="5" t="inlineStr">
        <x:is>
          <x:t xml:space="preserve">Internal control is generic; citation follows the specific evidence row context.</x:t>
        </x:is>
      </x:c>
      <x:c r="O8" s="5" t="inlineStr">
        <x:is>
          <x:t xml:space="preserve">1561.11c1 Organizational.4</x:t>
        </x:is>
      </x:c>
      <x:c r="P8" s="5" t="n">
        <x:v>2</x:v>
      </x:c>
      <x:c r="Q8" s="5" t="n"/>
      <x:c r="R8" s="5" t="inlineStr">
        <x:is>
          <x:t xml:space="preserve">45 C.F.R. § 164.308(a)(6)(ii)</x:t>
        </x:is>
      </x:c>
      <x:c r="S8" s="5" t="inlineStr">
        <x:is>
          <x:t xml:space="preserve">Security Incident Procedures — Response and Reporting</x:t>
        </x:is>
      </x:c>
      <x:c r="T8" s="5" t="inlineStr">
        <x:is>
          <x:t xml:space="preserve">Identify and respond to suspected or known security incidents, mitigate harmful effects to the extent practicable, and document incidents and outcomes.</x:t>
        </x:is>
      </x:c>
      <x:c r="U8" s="5" t="inlineStr">
        <x:is>
          <x:t xml:space="preserve">Required implementation specification</x:t>
        </x:is>
      </x:c>
      <x:c r="V8" s="5" t="inlineStr">
        <x:is>
          <x:t xml:space="preserve">Administrative Safeguards</x:t>
        </x:is>
      </x:c>
      <x:c r="W8" s="28" t="inlineStr">
        <x:is>
          <x:t xml:space="preserve">https://www.ecfr.gov/current/title-45/subtitle-A/subchapter-C/part-164/section-164.308</x:t>
        </x:is>
      </x:c>
      <x:c r="X8" s="28" t="inlineStr">
        <x:is>
          <x:t xml:space="preserve">https://www.hhs.gov/hipaa/for-professionals/faq/2002/what-does-the-security-rule-require-a-covered-entity-to-do-to-comply/index.html</x:t>
        </x:is>
      </x:c>
      <x:c r="Y8" s="5" t="inlineStr">
        <x:is>
          <x:t xml:space="preserve">45 C.F.R. § 164.316(b)(1)</x:t>
        </x:is>
      </x:c>
      <x:c r="Z8" s="5" t="inlineStr">
        <x:is>
          <x:t xml:space="preserve">Documentation</x:t>
        </x:is>
      </x:c>
      <x:c r="AA8" s="5" t="inlineStr">
        <x:is>
          <x:t xml:space="preserve">Maintain written or electronic policies and procedures implemented to comply with the Security Rule and written or electronic records of required actions, activities, and assessments.</x:t>
        </x:is>
      </x:c>
      <x:c r="AB8" s="5" t="inlineStr">
        <x:is>
          <x:t xml:space="preserve">Standard</x:t>
        </x:is>
      </x:c>
      <x:c r="AC8" s="5" t="inlineStr">
        <x:is>
          <x:t xml:space="preserve">Policies / Documentation</x:t>
        </x:is>
      </x:c>
      <x:c r="AD8" s="28" t="inlineStr">
        <x:is>
          <x:t xml:space="preserve">https://www.ecfr.gov/current/title-45/subtitle-A/subchapter-C/part-164/section-164.316</x:t>
        </x:is>
      </x:c>
      <x:c r="AE8" s="28" t="inlineStr">
        <x:is>
          <x:t xml:space="preserve">https://www.hhs.gov/sites/default/files/ocr/privacy/hipaa/administrative/securityrule/pprequirements.pdf</x:t>
        </x:is>
      </x:c>
      <x:c r="AF8" s="5" t="n"/>
      <x:c r="AG8" s="5" t="n"/>
      <x:c r="AH8" s="5" t="n"/>
      <x:c r="AI8" s="5" t="n"/>
      <x:c r="AJ8" s="5" t="n"/>
      <x:c r="AK8" s="5" t="n"/>
      <x:c r="AL8" s="5" t="n"/>
    </x:row>
    <x:row r="9" ht="30" customHeight="1">
      <x:c r="A9" s="5" t="inlineStr">
        <x:is>
          <x:t xml:space="preserve">HITRUST e1.csv</x:t>
        </x:is>
      </x:c>
      <x:c r="B9" s="5" t="inlineStr">
        <x:is>
          <x:t xml:space="preserve">ER-139</x:t>
        </x:is>
      </x:c>
      <x:c r="C9" s="5" t="inlineStr">
        <x:is>
          <x:t xml:space="preserve">Population</x:t>
        </x:is>
      </x:c>
      <x:c r="D9" s="5" t="inlineStr">
        <x:is>
          <x:t xml:space="preserve">All Software and Infrastructure Production Changes During the Review Period [INSERT EXAM PERIOD]</x:t>
        </x:is>
      </x:c>
      <x:c r="E9" s="5" t="inlineStr">
        <x:is>
          <x:t xml:space="preserve">REQ-55-HIPAA</x:t>
        </x:is>
      </x:c>
      <x:c r="F9" s="5" t="inlineStr">
        <x:is>
          <x:t xml:space="preserve">06.09b1System.2</x:t>
        </x:is>
      </x:c>
      <x:c r="G9" s="5" t="inlineStr">
        <x:is>
          <x:t xml:space="preserve">Many:Many</x:t>
        </x:is>
      </x:c>
      <x:c r="H9" s="5" t="n">
        <x:v>2</x:v>
      </x:c>
      <x:c r="I9" s="5" t="inlineStr">
        <x:is>
          <x:t xml:space="preserve">45 CFR § 164.308(a)(8); 45 CFR § 164.316(b)(1)</x:t>
        </x:is>
      </x:c>
      <x:c r="J9" s="5" t="inlineStr">
        <x:is>
          <x:t xml:space="preserve">Evaluation; Documentation</x:t>
        </x:is>
      </x:c>
      <x:c r="K9" s="5" t="inlineStr">
        <x:is>
          <x:t xml:space="preserve">Best-fit composite</x:t>
        </x:is>
      </x:c>
      <x:c r="L9" s="5" t="inlineStr">
        <x:is>
          <x:t xml:space="preserve">Production-change tickets/population evidence are not a named HIPAA specification, but they are strong evidence of evaluating and documenting operational changes affecting ePHI safeguards.</x:t>
        </x:is>
      </x:c>
      <x:c r="M9"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9" s="5" t="inlineStr">
        <x:is>
          <x:t xml:space="preserve">Best-fit evidence mapping; HIPAA does not mandate a particular ticketing mechanism.</x:t>
        </x:is>
      </x:c>
      <x:c r="O9" s="5" t="inlineStr">
        <x:is>
          <x:t xml:space="preserve">06.09b1 System.2</x:t>
        </x:is>
      </x:c>
      <x:c r="P9" s="5" t="n">
        <x:v>2</x:v>
      </x:c>
      <x:c r="Q9" s="5" t="n"/>
      <x:c r="R9" s="5" t="inlineStr">
        <x:is>
          <x:t xml:space="preserve">45 C.F.R. § 164.308(a)(8)</x:t>
        </x:is>
      </x:c>
      <x:c r="S9" s="5" t="inlineStr">
        <x:is>
          <x:t xml:space="preserve">Evaluation</x:t>
        </x:is>
      </x:c>
      <x:c r="T9" s="5" t="inlineStr">
        <x:is>
          <x:t xml:space="preserve">Perform periodic technical and nontechnical evaluations, and repeat them in response to environmental or operational changes affecting the security of ePHI.</x:t>
        </x:is>
      </x:c>
      <x:c r="U9" s="5" t="inlineStr">
        <x:is>
          <x:t xml:space="preserve">Required standard</x:t>
        </x:is>
      </x:c>
      <x:c r="V9" s="5" t="inlineStr">
        <x:is>
          <x:t xml:space="preserve">Administrative Safeguards</x:t>
        </x:is>
      </x:c>
      <x:c r="W9" s="28" t="inlineStr">
        <x:is>
          <x:t xml:space="preserve">https://www.ecfr.gov/current/title-45/subtitle-A/subchapter-C/part-164/section-164.308</x:t>
        </x:is>
      </x:c>
      <x:c r="X9" s="28" t="inlineStr">
        <x:is>
          <x:t xml:space="preserve">https://www.hhs.gov/ocr/privacy/hipaa/administrative/securityrule/index.html</x:t>
        </x:is>
      </x:c>
      <x:c r="Y9" s="5" t="inlineStr">
        <x:is>
          <x:t xml:space="preserve">45 C.F.R. § 164.316(b)(1)</x:t>
        </x:is>
      </x:c>
      <x:c r="Z9" s="5" t="inlineStr">
        <x:is>
          <x:t xml:space="preserve">Documentation</x:t>
        </x:is>
      </x:c>
      <x:c r="AA9" s="5" t="inlineStr">
        <x:is>
          <x:t xml:space="preserve">Maintain written or electronic policies and procedures implemented to comply with the Security Rule and written or electronic records of required actions, activities, and assessments.</x:t>
        </x:is>
      </x:c>
      <x:c r="AB9" s="5" t="inlineStr">
        <x:is>
          <x:t xml:space="preserve">Standard</x:t>
        </x:is>
      </x:c>
      <x:c r="AC9" s="5" t="inlineStr">
        <x:is>
          <x:t xml:space="preserve">Policies / Documentation</x:t>
        </x:is>
      </x:c>
      <x:c r="AD9" s="28" t="inlineStr">
        <x:is>
          <x:t xml:space="preserve">https://www.ecfr.gov/current/title-45/subtitle-A/subchapter-C/part-164/section-164.316</x:t>
        </x:is>
      </x:c>
      <x:c r="AE9" s="28" t="inlineStr">
        <x:is>
          <x:t xml:space="preserve">https://www.hhs.gov/sites/default/files/ocr/privacy/hipaa/administrative/securityrule/pprequirements.pdf</x:t>
        </x:is>
      </x:c>
      <x:c r="AF9" s="5" t="n"/>
      <x:c r="AG9" s="5" t="n"/>
      <x:c r="AH9" s="5" t="n"/>
      <x:c r="AI9" s="5" t="n"/>
      <x:c r="AJ9" s="5" t="n"/>
      <x:c r="AK9" s="5" t="n"/>
      <x:c r="AL9" s="5" t="n"/>
    </x:row>
    <x:row r="10" ht="30" customHeight="1">
      <x:c r="A10" s="5" t="inlineStr">
        <x:is>
          <x:t xml:space="preserve">HITRUST e1.csv</x:t>
        </x:is>
      </x:c>
      <x:c r="B10" s="5" t="inlineStr">
        <x:is>
          <x:t xml:space="preserve">ER-139</x:t>
        </x:is>
      </x:c>
      <x:c r="C10" s="5" t="inlineStr">
        <x:is>
          <x:t xml:space="preserve">Population</x:t>
        </x:is>
      </x:c>
      <x:c r="D10" s="5" t="inlineStr">
        <x:is>
          <x:t xml:space="preserve">All Software and Infrastructure Production Changes During the Review Period [INSERT EXAM PERIOD]</x:t>
        </x:is>
      </x:c>
      <x:c r="E10" s="5" t="inlineStr">
        <x:is>
          <x:t xml:space="preserve">REQ-55-HIPAA</x:t>
        </x:is>
      </x:c>
      <x:c r="F10" s="5" t="inlineStr">
        <x:is>
          <x:t xml:space="preserve">1704.03b1Organizational.12</x:t>
        </x:is>
      </x:c>
      <x:c r="G10" s="5" t="inlineStr">
        <x:is>
          <x:t xml:space="preserve">Many:Many</x:t>
        </x:is>
      </x:c>
      <x:c r="H10" s="5" t="n">
        <x:v>1</x:v>
      </x:c>
      <x:c r="I10" s="5" t="inlineStr">
        <x:is>
          <x:t xml:space="preserve">45 CFR § 164.308(a)(8); 45 CFR § 164.316(b)(1)</x:t>
        </x:is>
      </x:c>
      <x:c r="J10" s="5" t="inlineStr">
        <x:is>
          <x:t xml:space="preserve">Evaluation; Documentation</x:t>
        </x:is>
      </x:c>
      <x:c r="K10" s="5" t="inlineStr">
        <x:is>
          <x:t xml:space="preserve">Best-fit composite</x:t>
        </x:is>
      </x:c>
      <x:c r="L10" s="5" t="inlineStr">
        <x:is>
          <x:t xml:space="preserve">Production-change tickets/population evidence are not a named HIPAA specification, but they are strong evidence of evaluating and documenting operational changes affecting ePHI safeguards.</x:t>
        </x:is>
      </x:c>
      <x:c r="M10"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0" s="5" t="inlineStr">
        <x:is>
          <x:t xml:space="preserve">Best-fit evidence mapping; HIPAA does not mandate a particular ticketing mechanism.</x:t>
        </x:is>
      </x:c>
      <x:c r="O10" s="5" t="inlineStr">
        <x:is>
          <x:t xml:space="preserve">1704.03b1 Organizational.12</x:t>
        </x:is>
      </x:c>
      <x:c r="P10" s="5" t="n">
        <x:v>2</x:v>
      </x:c>
      <x:c r="Q10" s="5" t="n"/>
      <x:c r="R10" s="5" t="inlineStr">
        <x:is>
          <x:t xml:space="preserve">45 C.F.R. § 164.308(a)(8)</x:t>
        </x:is>
      </x:c>
      <x:c r="S10" s="5" t="inlineStr">
        <x:is>
          <x:t xml:space="preserve">Evaluation</x:t>
        </x:is>
      </x:c>
      <x:c r="T10" s="5" t="inlineStr">
        <x:is>
          <x:t xml:space="preserve">Perform periodic technical and nontechnical evaluations, and repeat them in response to environmental or operational changes affecting the security of ePHI.</x:t>
        </x:is>
      </x:c>
      <x:c r="U10" s="5" t="inlineStr">
        <x:is>
          <x:t xml:space="preserve">Required standard</x:t>
        </x:is>
      </x:c>
      <x:c r="V10" s="5" t="inlineStr">
        <x:is>
          <x:t xml:space="preserve">Administrative Safeguards</x:t>
        </x:is>
      </x:c>
      <x:c r="W10" s="28" t="inlineStr">
        <x:is>
          <x:t xml:space="preserve">https://www.ecfr.gov/current/title-45/subtitle-A/subchapter-C/part-164/section-164.308</x:t>
        </x:is>
      </x:c>
      <x:c r="X10" s="28" t="inlineStr">
        <x:is>
          <x:t xml:space="preserve">https://www.hhs.gov/ocr/privacy/hipaa/administrative/securityrule/index.html</x:t>
        </x:is>
      </x:c>
      <x:c r="Y10" s="5" t="inlineStr">
        <x:is>
          <x:t xml:space="preserve">45 C.F.R. § 164.316(b)(1)</x:t>
        </x:is>
      </x:c>
      <x:c r="Z10" s="5" t="inlineStr">
        <x:is>
          <x:t xml:space="preserve">Documentation</x:t>
        </x:is>
      </x:c>
      <x:c r="AA10" s="5" t="inlineStr">
        <x:is>
          <x:t xml:space="preserve">Maintain written or electronic policies and procedures implemented to comply with the Security Rule and written or electronic records of required actions, activities, and assessments.</x:t>
        </x:is>
      </x:c>
      <x:c r="AB10" s="5" t="inlineStr">
        <x:is>
          <x:t xml:space="preserve">Standard</x:t>
        </x:is>
      </x:c>
      <x:c r="AC10" s="5" t="inlineStr">
        <x:is>
          <x:t xml:space="preserve">Policies / Documentation</x:t>
        </x:is>
      </x:c>
      <x:c r="AD10" s="28" t="inlineStr">
        <x:is>
          <x:t xml:space="preserve">https://www.ecfr.gov/current/title-45/subtitle-A/subchapter-C/part-164/section-164.316</x:t>
        </x:is>
      </x:c>
      <x:c r="AE10" s="28" t="inlineStr">
        <x:is>
          <x:t xml:space="preserve">https://www.hhs.gov/sites/default/files/ocr/privacy/hipaa/administrative/securityrule/pprequirements.pdf</x:t>
        </x:is>
      </x:c>
      <x:c r="AF10" s="5" t="n"/>
      <x:c r="AG10" s="5" t="n"/>
      <x:c r="AH10" s="5" t="n"/>
      <x:c r="AI10" s="5" t="n"/>
      <x:c r="AJ10" s="5" t="n"/>
      <x:c r="AK10" s="5" t="n"/>
      <x:c r="AL10" s="5" t="n"/>
    </x:row>
    <x:row r="11" ht="30" customHeight="1">
      <x:c r="A11" s="5" t="inlineStr">
        <x:is>
          <x:t xml:space="preserve">HITRUST e1.csv</x:t>
        </x:is>
      </x:c>
      <x:c r="B11" s="5" t="inlineStr">
        <x:is>
          <x:t xml:space="preserve">ER-139</x:t>
        </x:is>
      </x:c>
      <x:c r="C11" s="5" t="inlineStr">
        <x:is>
          <x:t xml:space="preserve">Population</x:t>
        </x:is>
      </x:c>
      <x:c r="D11" s="5" t="inlineStr">
        <x:is>
          <x:t xml:space="preserve">All Software and Infrastructure Production Changes During the Review Period [INSERT EXAM PERIOD]</x:t>
        </x:is>
      </x:c>
      <x:c r="E11" s="5" t="inlineStr">
        <x:is>
          <x:t xml:space="preserve">REQ-995-HIPAA</x:t>
        </x:is>
      </x:c>
      <x:c r="F11" s="5" t="inlineStr">
        <x:is>
          <x:t xml:space="preserve">06.09b1System.2</x:t>
        </x:is>
      </x:c>
      <x:c r="G11" s="5" t="inlineStr">
        <x:is>
          <x:t xml:space="preserve">Many:Many</x:t>
        </x:is>
      </x:c>
      <x:c r="H11" s="5" t="n">
        <x:v>1</x:v>
      </x:c>
      <x:c r="I11" s="5" t="inlineStr">
        <x:is>
          <x:t xml:space="preserve">45 CFR § 164.308(a)(8); 45 CFR § 164.316(b)(1)</x:t>
        </x:is>
      </x:c>
      <x:c r="J11" s="5" t="inlineStr">
        <x:is>
          <x:t xml:space="preserve">Evaluation; Documentation</x:t>
        </x:is>
      </x:c>
      <x:c r="K11" s="5" t="inlineStr">
        <x:is>
          <x:t xml:space="preserve">Best-fit composite</x:t>
        </x:is>
      </x:c>
      <x:c r="L11" s="5" t="inlineStr">
        <x:is>
          <x:t xml:space="preserve">Generic population/evidence control used to show production changes during the review period.</x:t>
        </x:is>
      </x:c>
      <x:c r="M11"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1" s="5" t="inlineStr">
        <x:is>
          <x:t xml:space="preserve">Internal control is generic; citation follows the specific evidence row context.</x:t>
        </x:is>
      </x:c>
      <x:c r="O11" s="5" t="inlineStr">
        <x:is>
          <x:t xml:space="preserve">06.09b1 System.2</x:t>
        </x:is>
      </x:c>
      <x:c r="P11" s="5" t="n">
        <x:v>2</x:v>
      </x:c>
      <x:c r="Q11" s="5" t="n"/>
      <x:c r="R11" s="5" t="inlineStr">
        <x:is>
          <x:t xml:space="preserve">45 C.F.R. § 164.308(a)(8)</x:t>
        </x:is>
      </x:c>
      <x:c r="S11" s="5" t="inlineStr">
        <x:is>
          <x:t xml:space="preserve">Evaluation</x:t>
        </x:is>
      </x:c>
      <x:c r="T11" s="5" t="inlineStr">
        <x:is>
          <x:t xml:space="preserve">Perform periodic technical and nontechnical evaluations, and repeat them in response to environmental or operational changes affecting the security of ePHI.</x:t>
        </x:is>
      </x:c>
      <x:c r="U11" s="5" t="inlineStr">
        <x:is>
          <x:t xml:space="preserve">Required standard</x:t>
        </x:is>
      </x:c>
      <x:c r="V11" s="5" t="inlineStr">
        <x:is>
          <x:t xml:space="preserve">Administrative Safeguards</x:t>
        </x:is>
      </x:c>
      <x:c r="W11" s="28" t="inlineStr">
        <x:is>
          <x:t xml:space="preserve">https://www.ecfr.gov/current/title-45/subtitle-A/subchapter-C/part-164/section-164.308</x:t>
        </x:is>
      </x:c>
      <x:c r="X11" s="28" t="inlineStr">
        <x:is>
          <x:t xml:space="preserve">https://www.hhs.gov/ocr/privacy/hipaa/administrative/securityrule/index.html</x:t>
        </x:is>
      </x:c>
      <x:c r="Y11" s="5" t="inlineStr">
        <x:is>
          <x:t xml:space="preserve">45 C.F.R. § 164.316(b)(1)</x:t>
        </x:is>
      </x:c>
      <x:c r="Z11" s="5" t="inlineStr">
        <x:is>
          <x:t xml:space="preserve">Documentation</x:t>
        </x:is>
      </x:c>
      <x:c r="AA11" s="5" t="inlineStr">
        <x:is>
          <x:t xml:space="preserve">Maintain written or electronic policies and procedures implemented to comply with the Security Rule and written or electronic records of required actions, activities, and assessments.</x:t>
        </x:is>
      </x:c>
      <x:c r="AB11" s="5" t="inlineStr">
        <x:is>
          <x:t xml:space="preserve">Standard</x:t>
        </x:is>
      </x:c>
      <x:c r="AC11" s="5" t="inlineStr">
        <x:is>
          <x:t xml:space="preserve">Policies / Documentation</x:t>
        </x:is>
      </x:c>
      <x:c r="AD11" s="28" t="inlineStr">
        <x:is>
          <x:t xml:space="preserve">https://www.ecfr.gov/current/title-45/subtitle-A/subchapter-C/part-164/section-164.316</x:t>
        </x:is>
      </x:c>
      <x:c r="AE11" s="28" t="inlineStr">
        <x:is>
          <x:t xml:space="preserve">https://www.hhs.gov/sites/default/files/ocr/privacy/hipaa/administrative/securityrule/pprequirements.pdf</x:t>
        </x:is>
      </x:c>
      <x:c r="AF11" s="5" t="n"/>
      <x:c r="AG11" s="5" t="n"/>
      <x:c r="AH11" s="5" t="n"/>
      <x:c r="AI11" s="5" t="n"/>
      <x:c r="AJ11" s="5" t="n"/>
      <x:c r="AK11" s="5" t="n"/>
      <x:c r="AL11" s="5" t="n"/>
    </x:row>
    <x:row r="12" ht="30" customHeight="1">
      <x:c r="A12" s="5" t="inlineStr">
        <x:is>
          <x:t xml:space="preserve">HITRUST e1.csv</x:t>
        </x:is>
      </x:c>
      <x:c r="B12" s="5" t="inlineStr">
        <x:is>
          <x:t xml:space="preserve">ER-139</x:t>
        </x:is>
      </x:c>
      <x:c r="C12" s="5" t="inlineStr">
        <x:is>
          <x:t xml:space="preserve">Population</x:t>
        </x:is>
      </x:c>
      <x:c r="D12" s="5" t="inlineStr">
        <x:is>
          <x:t xml:space="preserve">All Software and Infrastructure Production Changes During the Review Period [INSERT EXAM PERIOD]</x:t>
        </x:is>
      </x:c>
      <x:c r="E12" s="5" t="inlineStr">
        <x:is>
          <x:t xml:space="preserve">REQ-995-HIPAA</x:t>
        </x:is>
      </x:c>
      <x:c r="F12" s="5" t="inlineStr">
        <x:is>
          <x:t xml:space="preserve">1704.03b1Organizational.12</x:t>
        </x:is>
      </x:c>
      <x:c r="G12" s="5" t="inlineStr">
        <x:is>
          <x:t xml:space="preserve">Many:Many</x:t>
        </x:is>
      </x:c>
      <x:c r="H12" s="5" t="n">
        <x:v>1</x:v>
      </x:c>
      <x:c r="I12" s="5" t="inlineStr">
        <x:is>
          <x:t xml:space="preserve">45 CFR § 164.308(a)(8); 45 CFR § 164.316(b)(1)</x:t>
        </x:is>
      </x:c>
      <x:c r="J12" s="5" t="inlineStr">
        <x:is>
          <x:t xml:space="preserve">Evaluation; Documentation</x:t>
        </x:is>
      </x:c>
      <x:c r="K12" s="5" t="inlineStr">
        <x:is>
          <x:t xml:space="preserve">Best-fit composite</x:t>
        </x:is>
      </x:c>
      <x:c r="L12" s="5" t="inlineStr">
        <x:is>
          <x:t xml:space="preserve">Generic population/evidence control used to show production changes during the review period.</x:t>
        </x:is>
      </x:c>
      <x:c r="M12"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2" s="5" t="inlineStr">
        <x:is>
          <x:t xml:space="preserve">Internal control is generic; citation follows the specific evidence row context.</x:t>
        </x:is>
      </x:c>
      <x:c r="O12" s="5" t="inlineStr">
        <x:is>
          <x:t xml:space="preserve">1704.03b1 Organizational.12</x:t>
        </x:is>
      </x:c>
      <x:c r="P12" s="5" t="n">
        <x:v>2</x:v>
      </x:c>
      <x:c r="Q12" s="5" t="n"/>
      <x:c r="R12" s="5" t="inlineStr">
        <x:is>
          <x:t xml:space="preserve">45 C.F.R. § 164.308(a)(8)</x:t>
        </x:is>
      </x:c>
      <x:c r="S12" s="5" t="inlineStr">
        <x:is>
          <x:t xml:space="preserve">Evaluation</x:t>
        </x:is>
      </x:c>
      <x:c r="T12" s="5" t="inlineStr">
        <x:is>
          <x:t xml:space="preserve">Perform periodic technical and nontechnical evaluations, and repeat them in response to environmental or operational changes affecting the security of ePHI.</x:t>
        </x:is>
      </x:c>
      <x:c r="U12" s="5" t="inlineStr">
        <x:is>
          <x:t xml:space="preserve">Required standard</x:t>
        </x:is>
      </x:c>
      <x:c r="V12" s="5" t="inlineStr">
        <x:is>
          <x:t xml:space="preserve">Administrative Safeguards</x:t>
        </x:is>
      </x:c>
      <x:c r="W12" s="28" t="inlineStr">
        <x:is>
          <x:t xml:space="preserve">https://www.ecfr.gov/current/title-45/subtitle-A/subchapter-C/part-164/section-164.308</x:t>
        </x:is>
      </x:c>
      <x:c r="X12" s="28" t="inlineStr">
        <x:is>
          <x:t xml:space="preserve">https://www.hhs.gov/ocr/privacy/hipaa/administrative/securityrule/index.html</x:t>
        </x:is>
      </x:c>
      <x:c r="Y12" s="5" t="inlineStr">
        <x:is>
          <x:t xml:space="preserve">45 C.F.R. § 164.316(b)(1)</x:t>
        </x:is>
      </x:c>
      <x:c r="Z12" s="5" t="inlineStr">
        <x:is>
          <x:t xml:space="preserve">Documentation</x:t>
        </x:is>
      </x:c>
      <x:c r="AA12" s="5" t="inlineStr">
        <x:is>
          <x:t xml:space="preserve">Maintain written or electronic policies and procedures implemented to comply with the Security Rule and written or electronic records of required actions, activities, and assessments.</x:t>
        </x:is>
      </x:c>
      <x:c r="AB12" s="5" t="inlineStr">
        <x:is>
          <x:t xml:space="preserve">Standard</x:t>
        </x:is>
      </x:c>
      <x:c r="AC12" s="5" t="inlineStr">
        <x:is>
          <x:t xml:space="preserve">Policies / Documentation</x:t>
        </x:is>
      </x:c>
      <x:c r="AD12" s="28" t="inlineStr">
        <x:is>
          <x:t xml:space="preserve">https://www.ecfr.gov/current/title-45/subtitle-A/subchapter-C/part-164/section-164.316</x:t>
        </x:is>
      </x:c>
      <x:c r="AE12" s="28" t="inlineStr">
        <x:is>
          <x:t xml:space="preserve">https://www.hhs.gov/sites/default/files/ocr/privacy/hipaa/administrative/securityrule/pprequirements.pdf</x:t>
        </x:is>
      </x:c>
      <x:c r="AF12" s="5" t="n"/>
      <x:c r="AG12" s="5" t="n"/>
      <x:c r="AH12" s="5" t="n"/>
      <x:c r="AI12" s="5" t="n"/>
      <x:c r="AJ12" s="5" t="n"/>
      <x:c r="AK12" s="5" t="n"/>
      <x:c r="AL12" s="5" t="n"/>
    </x:row>
    <x:row r="13" ht="30" customHeight="1">
      <x:c r="A13" s="5" t="inlineStr">
        <x:is>
          <x:t xml:space="preserve">HITRUST e1.csv</x:t>
        </x:is>
      </x:c>
      <x:c r="B13" s="5" t="inlineStr">
        <x:is>
          <x:t xml:space="preserve">ER-136</x:t>
        </x:is>
      </x:c>
      <x:c r="C13" s="5" t="inlineStr">
        <x:is>
          <x:t xml:space="preserve">Population</x:t>
        </x:is>
      </x:c>
      <x:c r="D13" s="5" t="inlineStr">
        <x:is>
          <x:t xml:space="preserve">All Terminated Employees During the Review Period [INSERT EXAM PERIOD]</x:t>
        </x:is>
      </x:c>
      <x:c r="E13" s="5" t="inlineStr">
        <x:is>
          <x:t xml:space="preserve">REQ-31-HIPAA</x:t>
        </x:is>
      </x:c>
      <x:c r="F13" s="5" t="inlineStr">
        <x:is>
          <x:t xml:space="preserve">11143.02i1Organizational.3</x:t>
        </x:is>
      </x:c>
      <x:c r="G13" s="5" t="inlineStr">
        <x:is>
          <x:t xml:space="preserve">Many:1</x:t>
        </x:is>
      </x:c>
      <x:c r="H13" s="5" t="n">
        <x:v>2</x:v>
      </x:c>
      <x:c r="I13" s="5" t="inlineStr">
        <x:is>
          <x:t xml:space="preserve">45 CFR § 164.308(a)(3)(ii)(C); 45 CFR § 164.316(b)(1)</x:t>
        </x:is>
      </x:c>
      <x:c r="J13" s="5" t="inlineStr">
        <x:is>
          <x:t xml:space="preserve">Workforce Security — Termination Procedures; Documentation</x:t>
        </x:is>
      </x:c>
      <x:c r="K13" s="5" t="inlineStr">
        <x:is>
          <x:t xml:space="preserve">Composite</x:t>
        </x:is>
      </x:c>
      <x:c r="L13" s="5" t="inlineStr">
        <x:is>
          <x:t xml:space="preserve">Termination tickets/population evidence align directly to terminating access and documenting the action taken.</x:t>
        </x:is>
      </x:c>
      <x:c r="M13" s="28"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N13" s="5" t="inlineStr">
        <x:is>
          <x:t xml:space="preserve">Documentation is added because the row is explicit evidence that access-removal events were carried out and recorded.</x:t>
        </x:is>
      </x:c>
      <x:c r="O13" s="5" t="inlineStr">
        <x:is>
          <x:t xml:space="preserve">11143.02i1 Organizational.3</x:t>
        </x:is>
      </x:c>
      <x:c r="P13" s="5" t="n">
        <x:v>2</x:v>
      </x:c>
      <x:c r="Q13" s="5" t="n"/>
      <x:c r="R13" s="5" t="inlineStr">
        <x:is>
          <x:t xml:space="preserve">45 C.F.R. § 164.308(a)(3)(ii)(C)</x:t>
        </x:is>
      </x:c>
      <x:c r="S13" s="5" t="inlineStr">
        <x:is>
          <x:t xml:space="preserve">Workforce Security — Termination Procedures</x:t>
        </x:is>
      </x:c>
      <x:c r="T13" s="5" t="inlineStr">
        <x:is>
          <x:t xml:space="preserve">Implement procedures for terminating a workforce member’s access to ePHI when employment ends or when access should otherwise be removed.</x:t>
        </x:is>
      </x:c>
      <x:c r="U13" s="5" t="inlineStr">
        <x:is>
          <x:t xml:space="preserve">Addressable implementation specification</x:t>
        </x:is>
      </x:c>
      <x:c r="V13" s="5" t="inlineStr">
        <x:is>
          <x:t xml:space="preserve">Administrative Safeguards</x:t>
        </x:is>
      </x:c>
      <x:c r="W13" s="28" t="inlineStr">
        <x:is>
          <x:t xml:space="preserve">https://www.ecfr.gov/current/title-45/subtitle-A/subchapter-C/part-164/section-164.308</x:t>
        </x:is>
      </x:c>
      <x:c r="X13" s="28" t="inlineStr">
        <x:is>
          <x:t xml:space="preserve">https://www.hhs.gov/hipaa/for-professionals/security/guidance/cybersecurity-newsletter-summer-2019/index.html</x:t>
        </x:is>
      </x:c>
      <x:c r="Y13" s="5" t="inlineStr">
        <x:is>
          <x:t xml:space="preserve">45 C.F.R. § 164.316(b)(1)</x:t>
        </x:is>
      </x:c>
      <x:c r="Z13" s="5" t="inlineStr">
        <x:is>
          <x:t xml:space="preserve">Documentation</x:t>
        </x:is>
      </x:c>
      <x:c r="AA13" s="5" t="inlineStr">
        <x:is>
          <x:t xml:space="preserve">Maintain written or electronic policies and procedures implemented to comply with the Security Rule and written or electronic records of required actions, activities, and assessments.</x:t>
        </x:is>
      </x:c>
      <x:c r="AB13" s="5" t="inlineStr">
        <x:is>
          <x:t xml:space="preserve">Standard</x:t>
        </x:is>
      </x:c>
      <x:c r="AC13" s="5" t="inlineStr">
        <x:is>
          <x:t xml:space="preserve">Policies / Documentation</x:t>
        </x:is>
      </x:c>
      <x:c r="AD13" s="28" t="inlineStr">
        <x:is>
          <x:t xml:space="preserve">https://www.ecfr.gov/current/title-45/subtitle-A/subchapter-C/part-164/section-164.316</x:t>
        </x:is>
      </x:c>
      <x:c r="AE13" s="28" t="inlineStr">
        <x:is>
          <x:t xml:space="preserve">https://www.hhs.gov/sites/default/files/ocr/privacy/hipaa/administrative/securityrule/pprequirements.pdf</x:t>
        </x:is>
      </x:c>
      <x:c r="AF13" s="5" t="n"/>
      <x:c r="AG13" s="5" t="n"/>
      <x:c r="AH13" s="5" t="n"/>
      <x:c r="AI13" s="5" t="n"/>
      <x:c r="AJ13" s="5" t="n"/>
      <x:c r="AK13" s="5" t="n"/>
      <x:c r="AL13" s="5" t="n"/>
    </x:row>
    <x:row r="14" ht="30" customHeight="1">
      <x:c r="A14" s="5" t="inlineStr">
        <x:is>
          <x:t xml:space="preserve">HITRUST e1.csv</x:t>
        </x:is>
      </x:c>
      <x:c r="B14" s="5" t="inlineStr">
        <x:is>
          <x:t xml:space="preserve">ER-136</x:t>
        </x:is>
      </x:c>
      <x:c r="C14" s="5" t="inlineStr">
        <x:is>
          <x:t xml:space="preserve">Population</x:t>
        </x:is>
      </x:c>
      <x:c r="D14" s="5" t="inlineStr">
        <x:is>
          <x:t xml:space="preserve">All Terminated Employees During the Review Period [INSERT EXAM PERIOD]</x:t>
        </x:is>
      </x:c>
      <x:c r="E14" s="5" t="inlineStr">
        <x:is>
          <x:t xml:space="preserve">REQ-995-HIPAA</x:t>
        </x:is>
      </x:c>
      <x:c r="F14" s="5" t="inlineStr">
        <x:is>
          <x:t xml:space="preserve">11143.02i1Organizational.3</x:t>
        </x:is>
      </x:c>
      <x:c r="G14" s="5" t="inlineStr">
        <x:is>
          <x:t xml:space="preserve">Many:1</x:t>
        </x:is>
      </x:c>
      <x:c r="H14" s="5" t="n">
        <x:v>1</x:v>
      </x:c>
      <x:c r="I14" s="5" t="inlineStr">
        <x:is>
          <x:t xml:space="preserve">45 CFR § 164.308(a)(3)(ii)(C); 45 CFR § 164.316(b)(1)</x:t>
        </x:is>
      </x:c>
      <x:c r="J14" s="5" t="inlineStr">
        <x:is>
          <x:t xml:space="preserve">Workforce Security — Termination Procedures; Documentation</x:t>
        </x:is>
      </x:c>
      <x:c r="K14" s="5" t="inlineStr">
        <x:is>
          <x:t xml:space="preserve">Best-fit composite</x:t>
        </x:is>
      </x:c>
      <x:c r="L14" s="5" t="inlineStr">
        <x:is>
          <x:t xml:space="preserve">Generic population/evidence control used to show termination-related access removals during the review period.</x:t>
        </x:is>
      </x:c>
      <x:c r="M14" s="28"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N14" s="5" t="inlineStr">
        <x:is>
          <x:t xml:space="preserve">Internal control is generic; citation follows the specific evidence row context.</x:t>
        </x:is>
      </x:c>
      <x:c r="O14" s="5" t="inlineStr">
        <x:is>
          <x:t xml:space="preserve">11143.02i1 Organizational.3</x:t>
        </x:is>
      </x:c>
      <x:c r="P14" s="5" t="n">
        <x:v>2</x:v>
      </x:c>
      <x:c r="Q14" s="5" t="n"/>
      <x:c r="R14" s="5" t="inlineStr">
        <x:is>
          <x:t xml:space="preserve">45 C.F.R. § 164.308(a)(3)(ii)(C)</x:t>
        </x:is>
      </x:c>
      <x:c r="S14" s="5" t="inlineStr">
        <x:is>
          <x:t xml:space="preserve">Workforce Security — Termination Procedures</x:t>
        </x:is>
      </x:c>
      <x:c r="T14" s="5" t="inlineStr">
        <x:is>
          <x:t xml:space="preserve">Implement procedures for terminating a workforce member’s access to ePHI when employment ends or when access should otherwise be removed.</x:t>
        </x:is>
      </x:c>
      <x:c r="U14" s="5" t="inlineStr">
        <x:is>
          <x:t xml:space="preserve">Addressable implementation specification</x:t>
        </x:is>
      </x:c>
      <x:c r="V14" s="5" t="inlineStr">
        <x:is>
          <x:t xml:space="preserve">Administrative Safeguards</x:t>
        </x:is>
      </x:c>
      <x:c r="W14" s="28" t="inlineStr">
        <x:is>
          <x:t xml:space="preserve">https://www.ecfr.gov/current/title-45/subtitle-A/subchapter-C/part-164/section-164.308</x:t>
        </x:is>
      </x:c>
      <x:c r="X14" s="28" t="inlineStr">
        <x:is>
          <x:t xml:space="preserve">https://www.hhs.gov/hipaa/for-professionals/security/guidance/cybersecurity-newsletter-summer-2019/index.html</x:t>
        </x:is>
      </x:c>
      <x:c r="Y14" s="5" t="inlineStr">
        <x:is>
          <x:t xml:space="preserve">45 C.F.R. § 164.316(b)(1)</x:t>
        </x:is>
      </x:c>
      <x:c r="Z14" s="5" t="inlineStr">
        <x:is>
          <x:t xml:space="preserve">Documentation</x:t>
        </x:is>
      </x:c>
      <x:c r="AA14" s="5" t="inlineStr">
        <x:is>
          <x:t xml:space="preserve">Maintain written or electronic policies and procedures implemented to comply with the Security Rule and written or electronic records of required actions, activities, and assessments.</x:t>
        </x:is>
      </x:c>
      <x:c r="AB14" s="5" t="inlineStr">
        <x:is>
          <x:t xml:space="preserve">Standard</x:t>
        </x:is>
      </x:c>
      <x:c r="AC14" s="5" t="inlineStr">
        <x:is>
          <x:t xml:space="preserve">Policies / Documentation</x:t>
        </x:is>
      </x:c>
      <x:c r="AD14" s="28" t="inlineStr">
        <x:is>
          <x:t xml:space="preserve">https://www.ecfr.gov/current/title-45/subtitle-A/subchapter-C/part-164/section-164.316</x:t>
        </x:is>
      </x:c>
      <x:c r="AE14" s="28" t="inlineStr">
        <x:is>
          <x:t xml:space="preserve">https://www.hhs.gov/sites/default/files/ocr/privacy/hipaa/administrative/securityrule/pprequirements.pdf</x:t>
        </x:is>
      </x:c>
      <x:c r="AF14" s="5" t="n"/>
      <x:c r="AG14" s="5" t="n"/>
      <x:c r="AH14" s="5" t="n"/>
      <x:c r="AI14" s="5" t="n"/>
      <x:c r="AJ14" s="5" t="n"/>
      <x:c r="AK14" s="5" t="n"/>
      <x:c r="AL14" s="5" t="n"/>
    </x:row>
    <x:row r="15" ht="30" customHeight="1">
      <x:c r="A15" s="5" t="inlineStr">
        <x:is>
          <x:t xml:space="preserve">HITRUST e1.csv</x:t>
        </x:is>
      </x:c>
      <x:c r="B15" s="5" t="inlineStr">
        <x:is>
          <x:t xml:space="preserve">ER-18</x:t>
        </x:is>
      </x:c>
      <x:c r="C15" s="5" t="inlineStr">
        <x:is>
          <x:t xml:space="preserve">Configuration</x:t>
        </x:is>
      </x:c>
      <x:c r="D15" s="5" t="inlineStr">
        <x:is>
          <x:t xml:space="preserve">Anti-malware and Alerts</x:t>
        </x:is>
      </x:c>
      <x:c r="E15" s="5" t="inlineStr">
        <x:is>
          <x:t xml:space="preserve">REQ-38-HIPAA</x:t>
        </x:is>
      </x:c>
      <x:c r="F15" s="5" t="inlineStr">
        <x:is>
          <x:t xml:space="preserve">0207.09j1Organizational.6</x:t>
        </x:is>
      </x:c>
      <x:c r="G15" s="5" t="inlineStr">
        <x:is>
          <x:t xml:space="preserve">1:Many</x:t>
        </x:is>
      </x:c>
      <x:c r="H15" s="5" t="n">
        <x:v>1</x:v>
      </x:c>
      <x:c r="I15" s="5" t="inlineStr">
        <x:is>
          <x:t xml:space="preserve">45 CFR § 164.308(a)(5)(ii)(B)</x:t>
        </x:is>
      </x:c>
      <x:c r="J15" s="5" t="inlineStr">
        <x:is>
          <x:t xml:space="preserve">Security Awareness and Training — Protection from Malicious Software</x:t>
        </x:is>
      </x:c>
      <x:c r="K15" s="5" t="inlineStr">
        <x:is>
          <x:t xml:space="preserve">Direct</x:t>
        </x:is>
      </x:c>
      <x:c r="L15" s="5" t="inlineStr">
        <x:is>
          <x:t xml:space="preserve">Anti-malware evidence aligns directly to guarding against, detecting, and reporting malicious software.</x:t>
        </x:is>
      </x:c>
      <x:c r="M15"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5" s="5" t="inlineStr">
        <x:is>
          <x:t xml:space="preserve">Alerts are treated as part of guarding against/detecting malicious software.</x:t>
        </x:is>
      </x:c>
      <x:c r="O15" s="5" t="inlineStr">
        <x:is>
          <x:t xml:space="preserve">0207.09j1 Organizational.6</x:t>
        </x:is>
      </x:c>
      <x:c r="P15" s="5" t="n">
        <x:v>1</x:v>
      </x:c>
      <x:c r="Q15" s="5" t="n"/>
      <x:c r="R15" s="5" t="inlineStr">
        <x:is>
          <x:t xml:space="preserve">45 C.F.R. § 164.308(a)(5)(ii)(B)</x:t>
        </x:is>
      </x:c>
      <x:c r="S15" s="5" t="inlineStr">
        <x:is>
          <x:t xml:space="preserve">Security Awareness and Training — Protection from Malicious Software</x:t>
        </x:is>
      </x:c>
      <x:c r="T15" s="5" t="inlineStr">
        <x:is>
          <x:t xml:space="preserve">Implement procedures for guarding against, detecting, and reporting malicious software.</x:t>
        </x:is>
      </x:c>
      <x:c r="U15" s="5" t="inlineStr">
        <x:is>
          <x:t xml:space="preserve">Addressable implementation specification</x:t>
        </x:is>
      </x:c>
      <x:c r="V15" s="5" t="inlineStr">
        <x:is>
          <x:t xml:space="preserve">Administrative Safeguards</x:t>
        </x:is>
      </x:c>
      <x:c r="W15" s="28" t="inlineStr">
        <x:is>
          <x:t xml:space="preserve">https://www.ecfr.gov/current/title-45/subtitle-A/subchapter-C/part-164/section-164.308</x:t>
        </x:is>
      </x:c>
      <x:c r="X15" s="28" t="inlineStr">
        <x:is>
          <x:t xml:space="preserve">https://www.hhs.gov/hipaa/for-professionals/compliance-enforcement/audit/protocol-edited/index.html</x:t>
        </x:is>
      </x:c>
      <x:c r="Y15" s="5" t="n"/>
      <x:c r="Z15" s="5" t="n"/>
      <x:c r="AA15" s="5" t="n"/>
      <x:c r="AB15" s="5" t="n"/>
      <x:c r="AC15" s="5" t="n"/>
      <x:c r="AD15" s="5" t="n"/>
      <x:c r="AE15" s="5" t="n"/>
      <x:c r="AF15" s="5" t="n"/>
      <x:c r="AG15" s="5" t="n"/>
      <x:c r="AH15" s="5" t="n"/>
      <x:c r="AI15" s="5" t="n"/>
      <x:c r="AJ15" s="5" t="n"/>
      <x:c r="AK15" s="5" t="n"/>
      <x:c r="AL15" s="5" t="n"/>
    </x:row>
    <x:row r="16" ht="30" customHeight="1">
      <x:c r="A16" s="5" t="inlineStr">
        <x:is>
          <x:t xml:space="preserve">HITRUST e1.csv</x:t>
        </x:is>
      </x:c>
      <x:c r="B16" s="5" t="inlineStr">
        <x:is>
          <x:t xml:space="preserve">ER-18</x:t>
        </x:is>
      </x:c>
      <x:c r="C16" s="5" t="inlineStr">
        <x:is>
          <x:t xml:space="preserve">Configuration</x:t>
        </x:is>
      </x:c>
      <x:c r="D16" s="5" t="inlineStr">
        <x:is>
          <x:t xml:space="preserve">Anti-malware and Alerts</x:t>
        </x:is>
      </x:c>
      <x:c r="E16" s="5" t="inlineStr">
        <x:is>
          <x:t xml:space="preserve">REQ-38-HIPAA</x:t>
        </x:is>
      </x:c>
      <x:c r="F16" s="5" t="inlineStr">
        <x:is>
          <x:t xml:space="preserve">0226.09k1Organizational.2</x:t>
        </x:is>
      </x:c>
      <x:c r="G16" s="5" t="inlineStr">
        <x:is>
          <x:t xml:space="preserve">1:Many</x:t>
        </x:is>
      </x:c>
      <x:c r="H16" s="5" t="n">
        <x:v>1</x:v>
      </x:c>
      <x:c r="I16" s="5" t="inlineStr">
        <x:is>
          <x:t xml:space="preserve">45 CFR § 164.308(a)(5)(ii)(B)</x:t>
        </x:is>
      </x:c>
      <x:c r="J16" s="5" t="inlineStr">
        <x:is>
          <x:t xml:space="preserve">Security Awareness and Training — Protection from Malicious Software</x:t>
        </x:is>
      </x:c>
      <x:c r="K16" s="5" t="inlineStr">
        <x:is>
          <x:t xml:space="preserve">Direct</x:t>
        </x:is>
      </x:c>
      <x:c r="L16" s="5" t="inlineStr">
        <x:is>
          <x:t xml:space="preserve">Anti-malware evidence aligns directly to guarding against, detecting, and reporting malicious software.</x:t>
        </x:is>
      </x:c>
      <x:c r="M16"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6" s="5" t="inlineStr">
        <x:is>
          <x:t xml:space="preserve">Alerts are treated as part of guarding against/detecting malicious software.</x:t>
        </x:is>
      </x:c>
      <x:c r="O16" s="5" t="inlineStr">
        <x:is>
          <x:t xml:space="preserve">0226.09k1 Organizational.2</x:t>
        </x:is>
      </x:c>
      <x:c r="P16" s="5" t="n">
        <x:v>1</x:v>
      </x:c>
      <x:c r="Q16" s="5" t="n"/>
      <x:c r="R16" s="5" t="inlineStr">
        <x:is>
          <x:t xml:space="preserve">45 C.F.R. § 164.308(a)(5)(ii)(B)</x:t>
        </x:is>
      </x:c>
      <x:c r="S16" s="5" t="inlineStr">
        <x:is>
          <x:t xml:space="preserve">Security Awareness and Training — Protection from Malicious Software</x:t>
        </x:is>
      </x:c>
      <x:c r="T16" s="5" t="inlineStr">
        <x:is>
          <x:t xml:space="preserve">Implement procedures for guarding against, detecting, and reporting malicious software.</x:t>
        </x:is>
      </x:c>
      <x:c r="U16" s="5" t="inlineStr">
        <x:is>
          <x:t xml:space="preserve">Addressable implementation specification</x:t>
        </x:is>
      </x:c>
      <x:c r="V16" s="5" t="inlineStr">
        <x:is>
          <x:t xml:space="preserve">Administrative Safeguards</x:t>
        </x:is>
      </x:c>
      <x:c r="W16" s="28" t="inlineStr">
        <x:is>
          <x:t xml:space="preserve">https://www.ecfr.gov/current/title-45/subtitle-A/subchapter-C/part-164/section-164.308</x:t>
        </x:is>
      </x:c>
      <x:c r="X16" s="28" t="inlineStr">
        <x:is>
          <x:t xml:space="preserve">https://www.hhs.gov/hipaa/for-professionals/compliance-enforcement/audit/protocol-edited/index.html</x:t>
        </x:is>
      </x:c>
      <x:c r="Y16" s="5" t="n"/>
      <x:c r="Z16" s="5" t="n"/>
      <x:c r="AA16" s="5" t="n"/>
      <x:c r="AB16" s="5" t="n"/>
      <x:c r="AC16" s="5" t="n"/>
      <x:c r="AD16" s="5" t="n"/>
      <x:c r="AE16" s="5" t="n"/>
      <x:c r="AF16" s="5" t="n"/>
      <x:c r="AG16" s="5" t="n"/>
      <x:c r="AH16" s="5" t="n"/>
      <x:c r="AI16" s="5" t="n"/>
      <x:c r="AJ16" s="5" t="n"/>
      <x:c r="AK16" s="5" t="n"/>
      <x:c r="AL16" s="5" t="n"/>
    </x:row>
    <x:row r="17" ht="30" customHeight="1">
      <x:c r="A17" s="5" t="inlineStr">
        <x:is>
          <x:t xml:space="preserve">HITRUST e1.csv</x:t>
        </x:is>
      </x:c>
      <x:c r="B17" s="5" t="inlineStr">
        <x:is>
          <x:t xml:space="preserve">ER-18</x:t>
        </x:is>
      </x:c>
      <x:c r="C17" s="5" t="inlineStr">
        <x:is>
          <x:t xml:space="preserve">Configuration</x:t>
        </x:is>
      </x:c>
      <x:c r="D17" s="5" t="inlineStr">
        <x:is>
          <x:t xml:space="preserve">Anti-malware and Alerts</x:t>
        </x:is>
      </x:c>
      <x:c r="E17" s="5" t="inlineStr">
        <x:is>
          <x:t xml:space="preserve">REQ-38-HIPAA</x:t>
        </x:is>
      </x:c>
      <x:c r="F17" s="5" t="inlineStr">
        <x:is>
          <x:t xml:space="preserve">02962.09j1Organizational.5</x:t>
        </x:is>
      </x:c>
      <x:c r="G17" s="5" t="inlineStr">
        <x:is>
          <x:t xml:space="preserve">1:Many</x:t>
        </x:is>
      </x:c>
      <x:c r="H17" s="5" t="n">
        <x:v>1</x:v>
      </x:c>
      <x:c r="I17" s="5" t="inlineStr">
        <x:is>
          <x:t xml:space="preserve">45 CFR § 164.308(a)(5)(ii)(B)</x:t>
        </x:is>
      </x:c>
      <x:c r="J17" s="5" t="inlineStr">
        <x:is>
          <x:t xml:space="preserve">Security Awareness and Training — Protection from Malicious Software</x:t>
        </x:is>
      </x:c>
      <x:c r="K17" s="5" t="inlineStr">
        <x:is>
          <x:t xml:space="preserve">Direct</x:t>
        </x:is>
      </x:c>
      <x:c r="L17" s="5" t="inlineStr">
        <x:is>
          <x:t xml:space="preserve">Anti-malware evidence aligns directly to guarding against, detecting, and reporting malicious software.</x:t>
        </x:is>
      </x:c>
      <x:c r="M17"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7" s="5" t="inlineStr">
        <x:is>
          <x:t xml:space="preserve">Alerts are treated as part of guarding against/detecting malicious software.</x:t>
        </x:is>
      </x:c>
      <x:c r="O17" s="5" t="inlineStr">
        <x:is>
          <x:t xml:space="preserve">02962.09j1 Organizational.5</x:t>
        </x:is>
      </x:c>
      <x:c r="P17" s="5" t="n">
        <x:v>1</x:v>
      </x:c>
      <x:c r="Q17" s="5" t="n"/>
      <x:c r="R17" s="5" t="inlineStr">
        <x:is>
          <x:t xml:space="preserve">45 C.F.R. § 164.308(a)(5)(ii)(B)</x:t>
        </x:is>
      </x:c>
      <x:c r="S17" s="5" t="inlineStr">
        <x:is>
          <x:t xml:space="preserve">Security Awareness and Training — Protection from Malicious Software</x:t>
        </x:is>
      </x:c>
      <x:c r="T17" s="5" t="inlineStr">
        <x:is>
          <x:t xml:space="preserve">Implement procedures for guarding against, detecting, and reporting malicious software.</x:t>
        </x:is>
      </x:c>
      <x:c r="U17" s="5" t="inlineStr">
        <x:is>
          <x:t xml:space="preserve">Addressable implementation specification</x:t>
        </x:is>
      </x:c>
      <x:c r="V17" s="5" t="inlineStr">
        <x:is>
          <x:t xml:space="preserve">Administrative Safeguards</x:t>
        </x:is>
      </x:c>
      <x:c r="W17" s="28" t="inlineStr">
        <x:is>
          <x:t xml:space="preserve">https://www.ecfr.gov/current/title-45/subtitle-A/subchapter-C/part-164/section-164.308</x:t>
        </x:is>
      </x:c>
      <x:c r="X17" s="28" t="inlineStr">
        <x:is>
          <x:t xml:space="preserve">https://www.hhs.gov/hipaa/for-professionals/compliance-enforcement/audit/protocol-edited/index.html</x:t>
        </x:is>
      </x:c>
      <x:c r="Y17" s="5" t="n"/>
      <x:c r="Z17" s="5" t="n"/>
      <x:c r="AA17" s="5" t="n"/>
      <x:c r="AB17" s="5" t="n"/>
      <x:c r="AC17" s="5" t="n"/>
      <x:c r="AD17" s="5" t="n"/>
      <x:c r="AE17" s="5" t="n"/>
      <x:c r="AF17" s="5" t="n"/>
      <x:c r="AG17" s="5" t="n"/>
      <x:c r="AH17" s="5" t="n"/>
      <x:c r="AI17" s="5" t="n"/>
      <x:c r="AJ17" s="5" t="n"/>
      <x:c r="AK17" s="5" t="n"/>
      <x:c r="AL17" s="5" t="n"/>
    </x:row>
    <x:row r="18" ht="30" customHeight="1">
      <x:c r="A18" s="5" t="inlineStr">
        <x:is>
          <x:t xml:space="preserve">HITRUST e1.csv</x:t>
        </x:is>
      </x:c>
      <x:c r="B18" s="5" t="inlineStr">
        <x:is>
          <x:t xml:space="preserve">ER-18</x:t>
        </x:is>
      </x:c>
      <x:c r="C18" s="5" t="inlineStr">
        <x:is>
          <x:t xml:space="preserve">Configuration</x:t>
        </x:is>
      </x:c>
      <x:c r="D18" s="5" t="inlineStr">
        <x:is>
          <x:t xml:space="preserve">Anti-malware and Alerts</x:t>
        </x:is>
      </x:c>
      <x:c r="E18" s="5" t="inlineStr">
        <x:is>
          <x:t xml:space="preserve">REQ-38-HIPAA</x:t>
        </x:is>
      </x:c>
      <x:c r="F18" s="5" t="inlineStr">
        <x:is>
          <x:t xml:space="preserve">08.09m1Organizational.8</x:t>
        </x:is>
      </x:c>
      <x:c r="G18" s="5" t="inlineStr">
        <x:is>
          <x:t xml:space="preserve">1:Many</x:t>
        </x:is>
      </x:c>
      <x:c r="H18" s="5" t="n">
        <x:v>1</x:v>
      </x:c>
      <x:c r="I18" s="5" t="inlineStr">
        <x:is>
          <x:t xml:space="preserve">45 CFR § 164.308(a)(5)(ii)(B)</x:t>
        </x:is>
      </x:c>
      <x:c r="J18" s="5" t="inlineStr">
        <x:is>
          <x:t xml:space="preserve">Security Awareness and Training — Protection from Malicious Software</x:t>
        </x:is>
      </x:c>
      <x:c r="K18" s="5" t="inlineStr">
        <x:is>
          <x:t xml:space="preserve">Direct</x:t>
        </x:is>
      </x:c>
      <x:c r="L18" s="5" t="inlineStr">
        <x:is>
          <x:t xml:space="preserve">Anti-malware evidence aligns directly to guarding against, detecting, and reporting malicious software.</x:t>
        </x:is>
      </x:c>
      <x:c r="M18"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N18" s="5" t="inlineStr">
        <x:is>
          <x:t xml:space="preserve">Alerts are treated as part of guarding against/detecting malicious software.</x:t>
        </x:is>
      </x:c>
      <x:c r="O18" s="5" t="inlineStr">
        <x:is>
          <x:t xml:space="preserve">08.09m1 Organizational.8</x:t>
        </x:is>
      </x:c>
      <x:c r="P18" s="5" t="n">
        <x:v>1</x:v>
      </x:c>
      <x:c r="Q18" s="5" t="n"/>
      <x:c r="R18" s="5" t="inlineStr">
        <x:is>
          <x:t xml:space="preserve">45 C.F.R. § 164.308(a)(5)(ii)(B)</x:t>
        </x:is>
      </x:c>
      <x:c r="S18" s="5" t="inlineStr">
        <x:is>
          <x:t xml:space="preserve">Security Awareness and Training — Protection from Malicious Software</x:t>
        </x:is>
      </x:c>
      <x:c r="T18" s="5" t="inlineStr">
        <x:is>
          <x:t xml:space="preserve">Implement procedures for guarding against, detecting, and reporting malicious software.</x:t>
        </x:is>
      </x:c>
      <x:c r="U18" s="5" t="inlineStr">
        <x:is>
          <x:t xml:space="preserve">Addressable implementation specification</x:t>
        </x:is>
      </x:c>
      <x:c r="V18" s="5" t="inlineStr">
        <x:is>
          <x:t xml:space="preserve">Administrative Safeguards</x:t>
        </x:is>
      </x:c>
      <x:c r="W18" s="28" t="inlineStr">
        <x:is>
          <x:t xml:space="preserve">https://www.ecfr.gov/current/title-45/subtitle-A/subchapter-C/part-164/section-164.308</x:t>
        </x:is>
      </x:c>
      <x:c r="X18" s="28" t="inlineStr">
        <x:is>
          <x:t xml:space="preserve">https://www.hhs.gov/hipaa/for-professionals/compliance-enforcement/audit/protocol-edited/index.html</x:t>
        </x:is>
      </x:c>
      <x:c r="Y18" s="5" t="n"/>
      <x:c r="Z18" s="5" t="n"/>
      <x:c r="AA18" s="5" t="n"/>
      <x:c r="AB18" s="5" t="n"/>
      <x:c r="AC18" s="5" t="n"/>
      <x:c r="AD18" s="5" t="n"/>
      <x:c r="AE18" s="5" t="n"/>
      <x:c r="AF18" s="5" t="n"/>
      <x:c r="AG18" s="5" t="n"/>
      <x:c r="AH18" s="5" t="n"/>
      <x:c r="AI18" s="5" t="n"/>
      <x:c r="AJ18" s="5" t="n"/>
      <x:c r="AK18" s="5" t="n"/>
      <x:c r="AL18" s="5" t="n"/>
    </x:row>
    <x:row r="19" ht="30" customHeight="1">
      <x:c r="A19" s="5" t="inlineStr">
        <x:is>
          <x:t xml:space="preserve">HIPAA Security.csv</x:t>
        </x:is>
      </x:c>
      <x:c r="B19" s="5" t="inlineStr">
        <x:is>
          <x:t xml:space="preserve">ER-271</x:t>
        </x:is>
      </x:c>
      <x:c r="C19" s="5" t="inlineStr">
        <x:is>
          <x:t xml:space="preserve">Operational</x:t>
        </x:is>
      </x:c>
      <x:c r="D19" s="5" t="inlineStr">
        <x:is>
          <x:t xml:space="preserve">Asset Custody Log</x:t>
        </x:is>
      </x:c>
      <x:c r="E19" s="5" t="inlineStr">
        <x:is>
          <x:t xml:space="preserve">REQ-109-HIPAA</x:t>
        </x:is>
      </x:c>
      <x:c r="F19" s="5" t="inlineStr">
        <x:is>
          <x:t xml:space="preserve">0701.07a1Organizational.8</x:t>
        </x:is>
      </x:c>
      <x:c r="G19" s="5" t="inlineStr">
        <x:is>
          <x:t xml:space="preserve">1:Many</x:t>
        </x:is>
      </x:c>
      <x:c r="H19" s="5" t="n">
        <x:v>1</x:v>
      </x:c>
      <x:c r="I19" s="5" t="inlineStr">
        <x:is>
          <x:t xml:space="preserve">45 CFR § 164.310(d)(2)(iii)</x:t>
        </x:is>
      </x:c>
      <x:c r="J19" s="5" t="inlineStr">
        <x:is>
          <x:t xml:space="preserve">Device and Media Controls — Accountability</x:t>
        </x:is>
      </x:c>
      <x:c r="K19" s="5" t="inlineStr">
        <x:is>
          <x:t xml:space="preserve">Direct</x:t>
        </x:is>
      </x:c>
      <x:c r="L19" s="5" t="inlineStr">
        <x:is>
          <x:t xml:space="preserve">Asset custody logs align directly to maintaining a record of the movements of hardware/electronic media and the person responsible.</x:t>
        </x:is>
      </x:c>
      <x:c r="M19" s="28"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N19" s="5" t="inlineStr">
        <x:is>
          <x:t xml:space="preserve">Used for custody/chain-of-responsibility evidence.</x:t>
        </x:is>
      </x:c>
      <x:c r="O19" s="5" t="inlineStr">
        <x:is>
          <x:t xml:space="preserve">0701.07a1 Organizational.8</x:t>
        </x:is>
      </x:c>
      <x:c r="P19" s="5" t="n">
        <x:v>1</x:v>
      </x:c>
      <x:c r="Q19" s="5" t="n"/>
      <x:c r="R19" s="5" t="inlineStr">
        <x:is>
          <x:t xml:space="preserve">45 C.F.R. § 164.310(d)(2)(iii)</x:t>
        </x:is>
      </x:c>
      <x:c r="S19" s="5" t="inlineStr">
        <x:is>
          <x:t xml:space="preserve">Device and Media Controls — Accountability</x:t>
        </x:is>
      </x:c>
      <x:c r="T19" s="5" t="inlineStr">
        <x:is>
          <x:t xml:space="preserve">Maintain a record of the movements of hardware and electronic media and the person responsible for them.</x:t>
        </x:is>
      </x:c>
      <x:c r="U19" s="5" t="inlineStr">
        <x:is>
          <x:t xml:space="preserve">Addressable implementation specification</x:t>
        </x:is>
      </x:c>
      <x:c r="V19" s="5" t="inlineStr">
        <x:is>
          <x:t xml:space="preserve">Physical Safeguards</x:t>
        </x:is>
      </x:c>
      <x:c r="W19" s="28" t="inlineStr">
        <x:is>
          <x:t xml:space="preserve">https://www.ecfr.gov/current/title-45/subtitle-A/subchapter-C/part-164/section-164.310</x:t>
        </x:is>
      </x:c>
      <x:c r="X19" s="28" t="inlineStr">
        <x:is>
          <x:t xml:space="preserve">https://www.hhs.gov/sites/default/files/ocr/privacy/hipaa/administrative/combined/hipaa-simplification-201303.pdf</x:t>
        </x:is>
      </x:c>
      <x:c r="Y19" s="5" t="n"/>
      <x:c r="Z19" s="5" t="n"/>
      <x:c r="AA19" s="5" t="n"/>
      <x:c r="AB19" s="5" t="n"/>
      <x:c r="AC19" s="5" t="n"/>
      <x:c r="AD19" s="5" t="n"/>
      <x:c r="AE19" s="5" t="n"/>
      <x:c r="AF19" s="5" t="n"/>
      <x:c r="AG19" s="5" t="n"/>
      <x:c r="AH19" s="5" t="n"/>
      <x:c r="AI19" s="5" t="n"/>
      <x:c r="AJ19" s="5" t="n"/>
      <x:c r="AK19" s="5" t="n"/>
      <x:c r="AL19" s="5" t="n"/>
    </x:row>
    <x:row r="20" ht="30" customHeight="1">
      <x:c r="A20" s="5" t="inlineStr">
        <x:is>
          <x:t xml:space="preserve">HIPAA Security.csv</x:t>
        </x:is>
      </x:c>
      <x:c r="B20" s="5" t="inlineStr">
        <x:is>
          <x:t xml:space="preserve">ER-271</x:t>
        </x:is>
      </x:c>
      <x:c r="C20" s="5" t="inlineStr">
        <x:is>
          <x:t xml:space="preserve">Operational</x:t>
        </x:is>
      </x:c>
      <x:c r="D20" s="5" t="inlineStr">
        <x:is>
          <x:t xml:space="preserve">Asset Custody Log</x:t>
        </x:is>
      </x:c>
      <x:c r="E20" s="5" t="inlineStr">
        <x:is>
          <x:t xml:space="preserve">REQ-109-HIPAA</x:t>
        </x:is>
      </x:c>
      <x:c r="F20" s="5" t="inlineStr">
        <x:is>
          <x:t xml:space="preserve">0704.07a1Organizational.8</x:t>
        </x:is>
      </x:c>
      <x:c r="G20" s="5" t="inlineStr">
        <x:is>
          <x:t xml:space="preserve">1:Many</x:t>
        </x:is>
      </x:c>
      <x:c r="H20" s="5" t="n">
        <x:v>1</x:v>
      </x:c>
      <x:c r="I20" s="5" t="inlineStr">
        <x:is>
          <x:t xml:space="preserve">45 CFR § 164.310(d)(2)(iii)</x:t>
        </x:is>
      </x:c>
      <x:c r="J20" s="5" t="inlineStr">
        <x:is>
          <x:t xml:space="preserve">Device and Media Controls — Accountability</x:t>
        </x:is>
      </x:c>
      <x:c r="K20" s="5" t="inlineStr">
        <x:is>
          <x:t xml:space="preserve">Direct</x:t>
        </x:is>
      </x:c>
      <x:c r="L20" s="5" t="inlineStr">
        <x:is>
          <x:t xml:space="preserve">Asset custody logs align directly to maintaining a record of the movements of hardware/electronic media and the person responsible.</x:t>
        </x:is>
      </x:c>
      <x:c r="M20" s="28"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N20" s="5" t="inlineStr">
        <x:is>
          <x:t xml:space="preserve">Used for custody/chain-of-responsibility evidence.</x:t>
        </x:is>
      </x:c>
      <x:c r="O20" s="5" t="inlineStr">
        <x:is>
          <x:t xml:space="preserve">0704.07a1 Organizational.8</x:t>
        </x:is>
      </x:c>
      <x:c r="P20" s="5" t="n">
        <x:v>1</x:v>
      </x:c>
      <x:c r="Q20" s="5" t="n"/>
      <x:c r="R20" s="5" t="inlineStr">
        <x:is>
          <x:t xml:space="preserve">45 C.F.R. § 164.310(d)(2)(iii)</x:t>
        </x:is>
      </x:c>
      <x:c r="S20" s="5" t="inlineStr">
        <x:is>
          <x:t xml:space="preserve">Device and Media Controls — Accountability</x:t>
        </x:is>
      </x:c>
      <x:c r="T20" s="5" t="inlineStr">
        <x:is>
          <x:t xml:space="preserve">Maintain a record of the movements of hardware and electronic media and the person responsible for them.</x:t>
        </x:is>
      </x:c>
      <x:c r="U20" s="5" t="inlineStr">
        <x:is>
          <x:t xml:space="preserve">Addressable implementation specification</x:t>
        </x:is>
      </x:c>
      <x:c r="V20" s="5" t="inlineStr">
        <x:is>
          <x:t xml:space="preserve">Physical Safeguards</x:t>
        </x:is>
      </x:c>
      <x:c r="W20" s="28" t="inlineStr">
        <x:is>
          <x:t xml:space="preserve">https://www.ecfr.gov/current/title-45/subtitle-A/subchapter-C/part-164/section-164.310</x:t>
        </x:is>
      </x:c>
      <x:c r="X20" s="28" t="inlineStr">
        <x:is>
          <x:t xml:space="preserve">https://www.hhs.gov/sites/default/files/ocr/privacy/hipaa/administrative/combined/hipaa-simplification-201303.pdf</x:t>
        </x:is>
      </x:c>
      <x:c r="Y20" s="5" t="n"/>
      <x:c r="Z20" s="5" t="n"/>
      <x:c r="AA20" s="5" t="n"/>
      <x:c r="AB20" s="5" t="n"/>
      <x:c r="AC20" s="5" t="n"/>
      <x:c r="AD20" s="5" t="n"/>
      <x:c r="AE20" s="5" t="n"/>
      <x:c r="AF20" s="5" t="n"/>
      <x:c r="AG20" s="5" t="n"/>
      <x:c r="AH20" s="5" t="n"/>
      <x:c r="AI20" s="5" t="n"/>
      <x:c r="AJ20" s="5" t="n"/>
      <x:c r="AK20" s="5" t="n"/>
      <x:c r="AL20" s="5" t="n"/>
    </x:row>
    <x:row r="21" ht="30" customHeight="1">
      <x:c r="A21" s="5" t="inlineStr">
        <x:is>
          <x:t xml:space="preserve">HITRUST e1.csv</x:t>
        </x:is>
      </x:c>
      <x:c r="B21" s="5" t="inlineStr">
        <x:is>
          <x:t xml:space="preserve">ER-115</x:t>
        </x:is>
      </x:c>
      <x:c r="C21" s="5" t="inlineStr">
        <x:is>
          <x:t xml:space="preserve">Policy</x:t>
        </x:is>
      </x:c>
      <x:c r="D21" s="5" t="inlineStr">
        <x:is>
          <x:t xml:space="preserve">Backups</x:t>
        </x:is>
      </x:c>
      <x:c r="E21" s="5" t="inlineStr">
        <x:is>
          <x:t xml:space="preserve">REQ-60-HIPAA</x:t>
        </x:is>
      </x:c>
      <x:c r="F21" s="5" t="inlineStr">
        <x:is>
          <x:t xml:space="preserve">1616.09l1Organizational.16</x:t>
        </x:is>
      </x:c>
      <x:c r="G21" s="5" t="inlineStr">
        <x:is>
          <x:t xml:space="preserve">Many:1</x:t>
        </x:is>
      </x:c>
      <x:c r="H21" s="5" t="n">
        <x:v>1</x:v>
      </x:c>
      <x:c r="I21" s="5" t="inlineStr">
        <x:is>
          <x:t xml:space="preserve">45 CFR § 164.308(a)(7)(ii)(A)</x:t>
        </x:is>
      </x:c>
      <x:c r="J21" s="5" t="inlineStr">
        <x:is>
          <x:t xml:space="preserve">Contingency Plan — Data Backup Plan</x:t>
        </x:is>
      </x:c>
      <x:c r="K21" s="5" t="inlineStr">
        <x:is>
          <x:t xml:space="preserve">Direct</x:t>
        </x:is>
      </x:c>
      <x:c r="L21" s="5" t="inlineStr">
        <x:is>
          <x:t xml:space="preserve">Backup policy aligns directly to creation and maintenance of retrievable exact copies of ePHI.</x:t>
        </x:is>
      </x:c>
      <x:c r="M21"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1" s="5" t="inlineStr">
        <x:is>
          <x:t xml:space="preserve">Used for backup-policy rows.</x:t>
        </x:is>
      </x:c>
      <x:c r="O21" s="5" t="inlineStr">
        <x:is>
          <x:t xml:space="preserve">1616.09l1 Organizational.16</x:t>
        </x:is>
      </x:c>
      <x:c r="P21" s="5" t="n">
        <x:v>1</x:v>
      </x:c>
      <x:c r="Q21" s="5" t="n"/>
      <x:c r="R21" s="5" t="inlineStr">
        <x:is>
          <x:t xml:space="preserve">45 C.F.R. § 164.308(a)(7)(ii)(A)</x:t>
        </x:is>
      </x:c>
      <x:c r="S21" s="5" t="inlineStr">
        <x:is>
          <x:t xml:space="preserve">Contingency Plan — Data Backup Plan</x:t>
        </x:is>
      </x:c>
      <x:c r="T21" s="5" t="inlineStr">
        <x:is>
          <x:t xml:space="preserve">Establish and implement procedures to create and maintain retrievable exact copies of ePHI.</x:t>
        </x:is>
      </x:c>
      <x:c r="U21" s="5" t="inlineStr">
        <x:is>
          <x:t xml:space="preserve">Required implementation specification</x:t>
        </x:is>
      </x:c>
      <x:c r="V21" s="5" t="inlineStr">
        <x:is>
          <x:t xml:space="preserve">Administrative Safeguards</x:t>
        </x:is>
      </x:c>
      <x:c r="W21" s="28" t="inlineStr">
        <x:is>
          <x:t xml:space="preserve">https://www.ecfr.gov/current/title-45/subtitle-A/subchapter-C/part-164/section-164.308</x:t>
        </x:is>
      </x:c>
      <x:c r="X21" s="28" t="inlineStr">
        <x:is>
          <x:t xml:space="preserve">https://www.hhs.gov/hipaa/for-professionals/security/guidance/cybersecurity/ransomware-fact-sheet/index.html</x:t>
        </x:is>
      </x:c>
      <x:c r="Y21" s="5" t="n"/>
      <x:c r="Z21" s="5" t="n"/>
      <x:c r="AA21" s="5" t="n"/>
      <x:c r="AB21" s="5" t="n"/>
      <x:c r="AC21" s="5" t="n"/>
      <x:c r="AD21" s="5" t="n"/>
      <x:c r="AE21" s="5" t="n"/>
      <x:c r="AF21" s="5" t="n"/>
      <x:c r="AG21" s="5" t="n"/>
      <x:c r="AH21" s="5" t="n"/>
      <x:c r="AI21" s="5" t="n"/>
      <x:c r="AJ21" s="5" t="n"/>
      <x:c r="AK21" s="5" t="n"/>
      <x:c r="AL21" s="5" t="n"/>
    </x:row>
    <x:row r="22" ht="30" customHeight="1">
      <x:c r="A22" s="5" t="inlineStr">
        <x:is>
          <x:t xml:space="preserve">HITRUST e1.csv</x:t>
        </x:is>
      </x:c>
      <x:c r="B22" s="5" t="inlineStr">
        <x:is>
          <x:t xml:space="preserve">ER-115</x:t>
        </x:is>
      </x:c>
      <x:c r="C22" s="5" t="inlineStr">
        <x:is>
          <x:t xml:space="preserve">Policy</x:t>
        </x:is>
      </x:c>
      <x:c r="D22" s="5" t="inlineStr">
        <x:is>
          <x:t xml:space="preserve">Backups</x:t>
        </x:is>
      </x:c>
      <x:c r="E22" s="5" t="inlineStr">
        <x:is>
          <x:t xml:space="preserve">REQ-61-HIPAA</x:t>
        </x:is>
      </x:c>
      <x:c r="F22" s="5" t="inlineStr">
        <x:is>
          <x:t xml:space="preserve">1616.09l1Organizational.16</x:t>
        </x:is>
      </x:c>
      <x:c r="G22" s="5" t="inlineStr">
        <x:is>
          <x:t xml:space="preserve">Many:1</x:t>
        </x:is>
      </x:c>
      <x:c r="H22" s="5" t="n">
        <x:v>2</x:v>
      </x:c>
      <x:c r="I22" s="5" t="inlineStr">
        <x:is>
          <x:t xml:space="preserve">45 CFR § 164.308(a)(7)(ii)(A); 45 CFR § 164.308(a)(7)(ii)(D)</x:t>
        </x:is>
      </x:c>
      <x:c r="J22" s="5" t="inlineStr">
        <x:is>
          <x:t xml:space="preserve">Contingency Plan — Data Backup Plan; Contingency Plan — Testing and Revision Procedure</x:t>
        </x:is>
      </x:c>
      <x:c r="K22" s="5" t="inlineStr">
        <x:is>
          <x:t xml:space="preserve">Composite</x:t>
        </x:is>
      </x:c>
      <x:c r="L22" s="5" t="inlineStr">
        <x:is>
          <x:t xml:space="preserve">This internal control appears on general backup-policy rows and explicit backup-test rows, so both backup-plan and test/revision citations are included.</x:t>
        </x:is>
      </x:c>
      <x:c r="M22"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2" s="5" t="inlineStr">
        <x:is>
          <x:t xml:space="preserve">Broader than a single implementation specification because the source spreadsheet uses the same control across planning and testing evidence.</x:t>
        </x:is>
      </x:c>
      <x:c r="O22" s="5" t="inlineStr">
        <x:is>
          <x:t xml:space="preserve">1616.09l1 Organizational.16</x:t>
        </x:is>
      </x:c>
      <x:c r="P22" s="5" t="n">
        <x:v>2</x:v>
      </x:c>
      <x:c r="Q22" s="5" t="n"/>
      <x:c r="R22" s="5" t="inlineStr">
        <x:is>
          <x:t xml:space="preserve">45 C.F.R. § 164.308(a)(7)(ii)(A)</x:t>
        </x:is>
      </x:c>
      <x:c r="S22" s="5" t="inlineStr">
        <x:is>
          <x:t xml:space="preserve">Contingency Plan — Data Backup Plan</x:t>
        </x:is>
      </x:c>
      <x:c r="T22" s="5" t="inlineStr">
        <x:is>
          <x:t xml:space="preserve">Establish and implement procedures to create and maintain retrievable exact copies of ePHI.</x:t>
        </x:is>
      </x:c>
      <x:c r="U22" s="5" t="inlineStr">
        <x:is>
          <x:t xml:space="preserve">Required implementation specification</x:t>
        </x:is>
      </x:c>
      <x:c r="V22" s="5" t="inlineStr">
        <x:is>
          <x:t xml:space="preserve">Administrative Safeguards</x:t>
        </x:is>
      </x:c>
      <x:c r="W22" s="28" t="inlineStr">
        <x:is>
          <x:t xml:space="preserve">https://www.ecfr.gov/current/title-45/subtitle-A/subchapter-C/part-164/section-164.308</x:t>
        </x:is>
      </x:c>
      <x:c r="X22" s="28" t="inlineStr">
        <x:is>
          <x:t xml:space="preserve">https://www.hhs.gov/hipaa/for-professionals/security/guidance/cybersecurity/ransomware-fact-sheet/index.html</x:t>
        </x:is>
      </x:c>
      <x:c r="Y22" s="5" t="inlineStr">
        <x:is>
          <x:t xml:space="preserve">45 C.F.R. § 164.308(a)(7)(ii)(D)</x:t>
        </x:is>
      </x:c>
      <x:c r="Z22" s="5" t="inlineStr">
        <x:is>
          <x:t xml:space="preserve">Contingency Plan — Applications and Data Criticality Analysis</x:t>
        </x:is>
      </x:c>
      <x:c r="AA22" s="5" t="inlineStr">
        <x:is>
          <x:t xml:space="preserve">Assess the relative criticality of specific applications and data in support of contingency planning.</x:t>
        </x:is>
      </x:c>
      <x:c r="AB22" s="5" t="inlineStr">
        <x:is>
          <x:t xml:space="preserve">Addressable implementation specification</x:t>
        </x:is>
      </x:c>
      <x:c r="AC22" s="5" t="inlineStr">
        <x:is>
          <x:t xml:space="preserve">Administrative Safeguards</x:t>
        </x:is>
      </x:c>
      <x:c r="AD22" s="28" t="inlineStr">
        <x:is>
          <x:t xml:space="preserve">https://www.ecfr.gov/current/title-45/subtitle-A/subchapter-C/part-164/section-164.308</x:t>
        </x:is>
      </x:c>
      <x:c r="AE22" s="28" t="inlineStr">
        <x:is>
          <x:t xml:space="preserve">https://www.hhs.gov/hipaa/for-professionals/compliance-enforcement/audit/protocol-edited/index.html</x:t>
        </x:is>
      </x:c>
      <x:c r="AF22" s="5" t="n"/>
      <x:c r="AG22" s="5" t="n"/>
      <x:c r="AH22" s="5" t="n"/>
      <x:c r="AI22" s="5" t="n"/>
      <x:c r="AJ22" s="5" t="n"/>
      <x:c r="AK22" s="5" t="n"/>
      <x:c r="AL22" s="5" t="n"/>
    </x:row>
    <x:row r="23" ht="30" customHeight="1">
      <x:c r="A23" s="5" t="inlineStr">
        <x:is>
          <x:t xml:space="preserve">HITRUST e1.csv</x:t>
        </x:is>
      </x:c>
      <x:c r="B23" s="5" t="inlineStr">
        <x:is>
          <x:t xml:space="preserve">ER-114</x:t>
        </x:is>
      </x:c>
      <x:c r="C23" s="5" t="inlineStr">
        <x:is>
          <x:t xml:space="preserve">Configuration</x:t>
        </x:is>
      </x:c>
      <x:c r="D23" s="5" t="inlineStr">
        <x:is>
          <x:t xml:space="preserve">Backups and Schedules</x:t>
        </x:is>
      </x:c>
      <x:c r="E23" s="5" t="inlineStr">
        <x:is>
          <x:t xml:space="preserve">REQ-62-HIPAA</x:t>
        </x:is>
      </x:c>
      <x:c r="F23" s="5" t="inlineStr">
        <x:is>
          <x:t xml:space="preserve">16.09l1Organizational.4</x:t>
        </x:is>
      </x:c>
      <x:c r="G23" s="5" t="inlineStr">
        <x:is>
          <x:t xml:space="preserve">Many:Many</x:t>
        </x:is>
      </x:c>
      <x:c r="H23" s="5" t="n">
        <x:v>1</x:v>
      </x:c>
      <x:c r="I23" s="5" t="inlineStr">
        <x:is>
          <x:t xml:space="preserve">45 CFR § 164.308(a)(7)(ii)(A)</x:t>
        </x:is>
      </x:c>
      <x:c r="J23" s="5" t="inlineStr">
        <x:is>
          <x:t xml:space="preserve">Contingency Plan — Data Backup Plan</x:t>
        </x:is>
      </x:c>
      <x:c r="K23" s="5" t="inlineStr">
        <x:is>
          <x:t xml:space="preserve">Direct</x:t>
        </x:is>
      </x:c>
      <x:c r="L23" s="5" t="inlineStr">
        <x:is>
          <x:t xml:space="preserve">Backup schedules most directly align to maintaining retrievable exact copies of ePHI.</x:t>
        </x:is>
      </x:c>
      <x:c r="M23"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3" s="5" t="inlineStr">
        <x:is>
          <x:t xml:space="preserve">Used for backup schedule evidence.</x:t>
        </x:is>
      </x:c>
      <x:c r="O23" s="5" t="inlineStr">
        <x:is>
          <x:t xml:space="preserve">16.09l1 Organizational.4</x:t>
        </x:is>
      </x:c>
      <x:c r="P23" s="5" t="n">
        <x:v>1</x:v>
      </x:c>
      <x:c r="Q23" s="5" t="n"/>
      <x:c r="R23" s="5" t="inlineStr">
        <x:is>
          <x:t xml:space="preserve">45 C.F.R. § 164.308(a)(7)(ii)(A)</x:t>
        </x:is>
      </x:c>
      <x:c r="S23" s="5" t="inlineStr">
        <x:is>
          <x:t xml:space="preserve">Contingency Plan — Data Backup Plan</x:t>
        </x:is>
      </x:c>
      <x:c r="T23" s="5" t="inlineStr">
        <x:is>
          <x:t xml:space="preserve">Establish and implement procedures to create and maintain retrievable exact copies of ePHI.</x:t>
        </x:is>
      </x:c>
      <x:c r="U23" s="5" t="inlineStr">
        <x:is>
          <x:t xml:space="preserve">Required implementation specification</x:t>
        </x:is>
      </x:c>
      <x:c r="V23" s="5" t="inlineStr">
        <x:is>
          <x:t xml:space="preserve">Administrative Safeguards</x:t>
        </x:is>
      </x:c>
      <x:c r="W23" s="28" t="inlineStr">
        <x:is>
          <x:t xml:space="preserve">https://www.ecfr.gov/current/title-45/subtitle-A/subchapter-C/part-164/section-164.308</x:t>
        </x:is>
      </x:c>
      <x:c r="X23" s="28" t="inlineStr">
        <x:is>
          <x:t xml:space="preserve">https://www.hhs.gov/hipaa/for-professionals/security/guidance/cybersecurity/ransomware-fact-sheet/index.html</x:t>
        </x:is>
      </x:c>
      <x:c r="Y23" s="5" t="n"/>
      <x:c r="Z23" s="5" t="n"/>
      <x:c r="AA23" s="5" t="n"/>
      <x:c r="AB23" s="5" t="n"/>
      <x:c r="AC23" s="5" t="n"/>
      <x:c r="AD23" s="5" t="n"/>
      <x:c r="AE23" s="5" t="n"/>
      <x:c r="AF23" s="5" t="n"/>
      <x:c r="AG23" s="5" t="n"/>
      <x:c r="AH23" s="5" t="n"/>
      <x:c r="AI23" s="5" t="n"/>
      <x:c r="AJ23" s="5" t="n"/>
      <x:c r="AK23" s="5" t="n"/>
      <x:c r="AL23" s="5" t="n"/>
    </x:row>
    <x:row r="24" ht="30" customHeight="1">
      <x:c r="A24" s="5" t="inlineStr">
        <x:is>
          <x:t xml:space="preserve">HITRUST e1.csv</x:t>
        </x:is>
      </x:c>
      <x:c r="B24" s="5" t="inlineStr">
        <x:is>
          <x:t xml:space="preserve">ER-114</x:t>
        </x:is>
      </x:c>
      <x:c r="C24" s="5" t="inlineStr">
        <x:is>
          <x:t xml:space="preserve">Configuration</x:t>
        </x:is>
      </x:c>
      <x:c r="D24" s="5" t="inlineStr">
        <x:is>
          <x:t xml:space="preserve">Backups and Schedules</x:t>
        </x:is>
      </x:c>
      <x:c r="E24" s="5" t="inlineStr">
        <x:is>
          <x:t xml:space="preserve">REQ-62-HIPAA</x:t>
        </x:is>
      </x:c>
      <x:c r="F24" s="5" t="inlineStr">
        <x:is>
          <x:t xml:space="preserve">1616.09l1Organizational.16</x:t>
        </x:is>
      </x:c>
      <x:c r="G24" s="5" t="inlineStr">
        <x:is>
          <x:t xml:space="preserve">Many:Many</x:t>
        </x:is>
      </x:c>
      <x:c r="H24" s="5" t="n">
        <x:v>1</x:v>
      </x:c>
      <x:c r="I24" s="5" t="inlineStr">
        <x:is>
          <x:t xml:space="preserve">45 CFR § 164.308(a)(7)(ii)(A)</x:t>
        </x:is>
      </x:c>
      <x:c r="J24" s="5" t="inlineStr">
        <x:is>
          <x:t xml:space="preserve">Contingency Plan — Data Backup Plan</x:t>
        </x:is>
      </x:c>
      <x:c r="K24" s="5" t="inlineStr">
        <x:is>
          <x:t xml:space="preserve">Direct</x:t>
        </x:is>
      </x:c>
      <x:c r="L24" s="5" t="inlineStr">
        <x:is>
          <x:t xml:space="preserve">Backup schedules most directly align to maintaining retrievable exact copies of ePHI.</x:t>
        </x:is>
      </x:c>
      <x:c r="M24"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4" s="5" t="inlineStr">
        <x:is>
          <x:t xml:space="preserve">Used for backup schedule evidence.</x:t>
        </x:is>
      </x:c>
      <x:c r="O24" s="5" t="inlineStr">
        <x:is>
          <x:t xml:space="preserve">1616.09l1 Organizational.16</x:t>
        </x:is>
      </x:c>
      <x:c r="P24" s="5" t="n">
        <x:v>1</x:v>
      </x:c>
      <x:c r="Q24" s="5" t="n"/>
      <x:c r="R24" s="5" t="inlineStr">
        <x:is>
          <x:t xml:space="preserve">45 C.F.R. § 164.308(a)(7)(ii)(A)</x:t>
        </x:is>
      </x:c>
      <x:c r="S24" s="5" t="inlineStr">
        <x:is>
          <x:t xml:space="preserve">Contingency Plan — Data Backup Plan</x:t>
        </x:is>
      </x:c>
      <x:c r="T24" s="5" t="inlineStr">
        <x:is>
          <x:t xml:space="preserve">Establish and implement procedures to create and maintain retrievable exact copies of ePHI.</x:t>
        </x:is>
      </x:c>
      <x:c r="U24" s="5" t="inlineStr">
        <x:is>
          <x:t xml:space="preserve">Required implementation specification</x:t>
        </x:is>
      </x:c>
      <x:c r="V24" s="5" t="inlineStr">
        <x:is>
          <x:t xml:space="preserve">Administrative Safeguards</x:t>
        </x:is>
      </x:c>
      <x:c r="W24" s="28" t="inlineStr">
        <x:is>
          <x:t xml:space="preserve">https://www.ecfr.gov/current/title-45/subtitle-A/subchapter-C/part-164/section-164.308</x:t>
        </x:is>
      </x:c>
      <x:c r="X24" s="28" t="inlineStr">
        <x:is>
          <x:t xml:space="preserve">https://www.hhs.gov/hipaa/for-professionals/security/guidance/cybersecurity/ransomware-fact-sheet/index.html</x:t>
        </x:is>
      </x:c>
      <x:c r="Y24" s="5" t="n"/>
      <x:c r="Z24" s="5" t="n"/>
      <x:c r="AA24" s="5" t="n"/>
      <x:c r="AB24" s="5" t="n"/>
      <x:c r="AC24" s="5" t="n"/>
      <x:c r="AD24" s="5" t="n"/>
      <x:c r="AE24" s="5" t="n"/>
      <x:c r="AF24" s="5" t="n"/>
      <x:c r="AG24" s="5" t="n"/>
      <x:c r="AH24" s="5" t="n"/>
      <x:c r="AI24" s="5" t="n"/>
      <x:c r="AJ24" s="5" t="n"/>
      <x:c r="AK24" s="5" t="n"/>
      <x:c r="AL24" s="5" t="n"/>
    </x:row>
    <x:row r="25" ht="30" customHeight="1">
      <x:c r="A25" s="5" t="inlineStr">
        <x:is>
          <x:t xml:space="preserve">HITRUST e1.csv</x:t>
        </x:is>
      </x:c>
      <x:c r="B25" s="5" t="inlineStr">
        <x:is>
          <x:t xml:space="preserve">ER-114</x:t>
        </x:is>
      </x:c>
      <x:c r="C25" s="5" t="inlineStr">
        <x:is>
          <x:t xml:space="preserve">Configuration</x:t>
        </x:is>
      </x:c>
      <x:c r="D25" s="5" t="inlineStr">
        <x:is>
          <x:t xml:space="preserve">Backups and Schedules</x:t>
        </x:is>
      </x:c>
      <x:c r="E25" s="5" t="inlineStr">
        <x:is>
          <x:t xml:space="preserve">REQ-62-HIPAA</x:t>
        </x:is>
      </x:c>
      <x:c r="F25" s="5" t="inlineStr">
        <x:is>
          <x:t xml:space="preserve">1618.09l1Organizational.45</x:t>
        </x:is>
      </x:c>
      <x:c r="G25" s="5" t="inlineStr">
        <x:is>
          <x:t xml:space="preserve">Many:Many</x:t>
        </x:is>
      </x:c>
      <x:c r="H25" s="5" t="n">
        <x:v>1</x:v>
      </x:c>
      <x:c r="I25" s="5" t="inlineStr">
        <x:is>
          <x:t xml:space="preserve">45 CFR § 164.308(a)(7)(ii)(A)</x:t>
        </x:is>
      </x:c>
      <x:c r="J25" s="5" t="inlineStr">
        <x:is>
          <x:t xml:space="preserve">Contingency Plan — Data Backup Plan</x:t>
        </x:is>
      </x:c>
      <x:c r="K25" s="5" t="inlineStr">
        <x:is>
          <x:t xml:space="preserve">Direct</x:t>
        </x:is>
      </x:c>
      <x:c r="L25" s="5" t="inlineStr">
        <x:is>
          <x:t xml:space="preserve">Backup schedules most directly align to maintaining retrievable exact copies of ePHI.</x:t>
        </x:is>
      </x:c>
      <x:c r="M25"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25" s="5" t="inlineStr">
        <x:is>
          <x:t xml:space="preserve">Used for backup schedule evidence.</x:t>
        </x:is>
      </x:c>
      <x:c r="O25" s="5" t="inlineStr">
        <x:is>
          <x:t xml:space="preserve">1618.09l1 Organizational.45</x:t>
        </x:is>
      </x:c>
      <x:c r="P25" s="5" t="n">
        <x:v>1</x:v>
      </x:c>
      <x:c r="Q25" s="5" t="n"/>
      <x:c r="R25" s="5" t="inlineStr">
        <x:is>
          <x:t xml:space="preserve">45 C.F.R. § 164.308(a)(7)(ii)(A)</x:t>
        </x:is>
      </x:c>
      <x:c r="S25" s="5" t="inlineStr">
        <x:is>
          <x:t xml:space="preserve">Contingency Plan — Data Backup Plan</x:t>
        </x:is>
      </x:c>
      <x:c r="T25" s="5" t="inlineStr">
        <x:is>
          <x:t xml:space="preserve">Establish and implement procedures to create and maintain retrievable exact copies of ePHI.</x:t>
        </x:is>
      </x:c>
      <x:c r="U25" s="5" t="inlineStr">
        <x:is>
          <x:t xml:space="preserve">Required implementation specification</x:t>
        </x:is>
      </x:c>
      <x:c r="V25" s="5" t="inlineStr">
        <x:is>
          <x:t xml:space="preserve">Administrative Safeguards</x:t>
        </x:is>
      </x:c>
      <x:c r="W25" s="28" t="inlineStr">
        <x:is>
          <x:t xml:space="preserve">https://www.ecfr.gov/current/title-45/subtitle-A/subchapter-C/part-164/section-164.308</x:t>
        </x:is>
      </x:c>
      <x:c r="X25" s="28" t="inlineStr">
        <x:is>
          <x:t xml:space="preserve">https://www.hhs.gov/hipaa/for-professionals/security/guidance/cybersecurity/ransomware-fact-sheet/index.html</x:t>
        </x:is>
      </x:c>
      <x:c r="Y25" s="5" t="n"/>
      <x:c r="Z25" s="5" t="n"/>
      <x:c r="AA25" s="5" t="n"/>
      <x:c r="AB25" s="5" t="n"/>
      <x:c r="AC25" s="5" t="n"/>
      <x:c r="AD25" s="5" t="n"/>
      <x:c r="AE25" s="5" t="n"/>
      <x:c r="AF25" s="5" t="n"/>
      <x:c r="AG25" s="5" t="n"/>
      <x:c r="AH25" s="5" t="n"/>
      <x:c r="AI25" s="5" t="n"/>
      <x:c r="AJ25" s="5" t="n"/>
      <x:c r="AK25" s="5" t="n"/>
      <x:c r="AL25" s="5" t="n"/>
    </x:row>
    <x:row r="26" ht="30" customHeight="1">
      <x:c r="A26" s="5" t="inlineStr">
        <x:is>
          <x:t xml:space="preserve">HITRUST e1.csv</x:t>
        </x:is>
      </x:c>
      <x:c r="B26" s="5" t="inlineStr">
        <x:is>
          <x:t xml:space="preserve">ER-114</x:t>
        </x:is>
      </x:c>
      <x:c r="C26" s="5" t="inlineStr">
        <x:is>
          <x:t xml:space="preserve">Configuration</x:t>
        </x:is>
      </x:c>
      <x:c r="D26" s="5" t="inlineStr">
        <x:is>
          <x:t xml:space="preserve">Backups and Schedules</x:t>
        </x:is>
      </x:c>
      <x:c r="E26" s="5" t="inlineStr">
        <x:is>
          <x:t xml:space="preserve">REQ-63-HIPAA</x:t>
        </x:is>
      </x:c>
      <x:c r="F26" s="5" t="inlineStr">
        <x:is>
          <x:t xml:space="preserve">16.09l1Organizational.4</x:t>
        </x:is>
      </x:c>
      <x:c r="G26" s="5" t="inlineStr">
        <x:is>
          <x:t xml:space="preserve">Many:Many</x:t>
        </x:is>
      </x:c>
      <x:c r="H26" s="5" t="n">
        <x:v>1</x:v>
      </x:c>
      <x:c r="I26" s="5" t="inlineStr">
        <x:is>
          <x:t xml:space="preserve">45 CFR § 164.308(a)(7)(ii)(B)</x:t>
        </x:is>
      </x:c>
      <x:c r="J26" s="5" t="inlineStr">
        <x:is>
          <x:t xml:space="preserve">Contingency Plan — Disaster Recovery Plan</x:t>
        </x:is>
      </x:c>
      <x:c r="K26" s="5" t="inlineStr">
        <x:is>
          <x:t xml:space="preserve">Best-fit</x:t>
        </x:is>
      </x:c>
      <x:c r="L26" s="5" t="inlineStr">
        <x:is>
          <x:t xml:space="preserve">Backup/replication planning most closely aligns to restoring lost data and recovering operations after a disruption.</x:t>
        </x:is>
      </x:c>
      <x:c r="M26"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6" s="5" t="inlineStr">
        <x:is>
          <x:t xml:space="preserve">Used for schedule-level backup rows when the internal control appears to emphasize recoverability/replication.</x:t>
        </x:is>
      </x:c>
      <x:c r="O26" s="5" t="inlineStr">
        <x:is>
          <x:t xml:space="preserve">16.09l1 Organizational.4</x:t>
        </x:is>
      </x:c>
      <x:c r="P26" s="5" t="n">
        <x:v>1</x:v>
      </x:c>
      <x:c r="Q26" s="5" t="n"/>
      <x:c r="R26" s="5" t="inlineStr">
        <x:is>
          <x:t xml:space="preserve">45 C.F.R. § 164.308(a)(7)(ii)(B)</x:t>
        </x:is>
      </x:c>
      <x:c r="S26" s="5" t="inlineStr">
        <x:is>
          <x:t xml:space="preserve">Contingency Plan — Disaster Recovery Plan</x:t>
        </x:is>
      </x:c>
      <x:c r="T26" s="5" t="inlineStr">
        <x:is>
          <x:t xml:space="preserve">Establish and implement procedures to restore any loss of data.</x:t>
        </x:is>
      </x:c>
      <x:c r="U26" s="5" t="inlineStr">
        <x:is>
          <x:t xml:space="preserve">Required implementation specification</x:t>
        </x:is>
      </x:c>
      <x:c r="V26" s="5" t="inlineStr">
        <x:is>
          <x:t xml:space="preserve">Administrative Safeguards</x:t>
        </x:is>
      </x:c>
      <x:c r="W26" s="28" t="inlineStr">
        <x:is>
          <x:t xml:space="preserve">https://www.ecfr.gov/current/title-45/subtitle-A/subchapter-C/part-164/section-164.308</x:t>
        </x:is>
      </x:c>
      <x:c r="X26" s="28" t="inlineStr">
        <x:is>
          <x:t xml:space="preserve">https://www.hhs.gov/hipaa/for-professionals/security/guidance/cybersecurity/ransomware-fact-sheet/index.html</x:t>
        </x:is>
      </x:c>
      <x:c r="Y26" s="5" t="n"/>
      <x:c r="Z26" s="5" t="n"/>
      <x:c r="AA26" s="5" t="n"/>
      <x:c r="AB26" s="5" t="n"/>
      <x:c r="AC26" s="5" t="n"/>
      <x:c r="AD26" s="5" t="n"/>
      <x:c r="AE26" s="5" t="n"/>
      <x:c r="AF26" s="5" t="n"/>
      <x:c r="AG26" s="5" t="n"/>
      <x:c r="AH26" s="5" t="n"/>
      <x:c r="AI26" s="5" t="n"/>
      <x:c r="AJ26" s="5" t="n"/>
      <x:c r="AK26" s="5" t="n"/>
      <x:c r="AL26" s="5" t="n"/>
    </x:row>
    <x:row r="27" ht="30" customHeight="1">
      <x:c r="A27" s="5" t="inlineStr">
        <x:is>
          <x:t xml:space="preserve">HITRUST e1.csv</x:t>
        </x:is>
      </x:c>
      <x:c r="B27" s="5" t="inlineStr">
        <x:is>
          <x:t xml:space="preserve">ER-114</x:t>
        </x:is>
      </x:c>
      <x:c r="C27" s="5" t="inlineStr">
        <x:is>
          <x:t xml:space="preserve">Configuration</x:t>
        </x:is>
      </x:c>
      <x:c r="D27" s="5" t="inlineStr">
        <x:is>
          <x:t xml:space="preserve">Backups and Schedules</x:t>
        </x:is>
      </x:c>
      <x:c r="E27" s="5" t="inlineStr">
        <x:is>
          <x:t xml:space="preserve">REQ-63-HIPAA</x:t>
        </x:is>
      </x:c>
      <x:c r="F27" s="5" t="inlineStr">
        <x:is>
          <x:t xml:space="preserve">1616.09l1Organizational.16</x:t>
        </x:is>
      </x:c>
      <x:c r="G27" s="5" t="inlineStr">
        <x:is>
          <x:t xml:space="preserve">Many:Many</x:t>
        </x:is>
      </x:c>
      <x:c r="H27" s="5" t="n">
        <x:v>1</x:v>
      </x:c>
      <x:c r="I27" s="5" t="inlineStr">
        <x:is>
          <x:t xml:space="preserve">45 CFR § 164.308(a)(7)(ii)(B)</x:t>
        </x:is>
      </x:c>
      <x:c r="J27" s="5" t="inlineStr">
        <x:is>
          <x:t xml:space="preserve">Contingency Plan — Disaster Recovery Plan</x:t>
        </x:is>
      </x:c>
      <x:c r="K27" s="5" t="inlineStr">
        <x:is>
          <x:t xml:space="preserve">Best-fit</x:t>
        </x:is>
      </x:c>
      <x:c r="L27" s="5" t="inlineStr">
        <x:is>
          <x:t xml:space="preserve">Backup/replication planning most closely aligns to restoring lost data and recovering operations after a disruption.</x:t>
        </x:is>
      </x:c>
      <x:c r="M27"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7" s="5" t="inlineStr">
        <x:is>
          <x:t xml:space="preserve">Used for schedule-level backup rows when the internal control appears to emphasize recoverability/replication.</x:t>
        </x:is>
      </x:c>
      <x:c r="O27" s="5" t="inlineStr">
        <x:is>
          <x:t xml:space="preserve">1616.09l1 Organizational.16</x:t>
        </x:is>
      </x:c>
      <x:c r="P27" s="5" t="n">
        <x:v>1</x:v>
      </x:c>
      <x:c r="Q27" s="5" t="n"/>
      <x:c r="R27" s="5" t="inlineStr">
        <x:is>
          <x:t xml:space="preserve">45 C.F.R. § 164.308(a)(7)(ii)(B)</x:t>
        </x:is>
      </x:c>
      <x:c r="S27" s="5" t="inlineStr">
        <x:is>
          <x:t xml:space="preserve">Contingency Plan — Disaster Recovery Plan</x:t>
        </x:is>
      </x:c>
      <x:c r="T27" s="5" t="inlineStr">
        <x:is>
          <x:t xml:space="preserve">Establish and implement procedures to restore any loss of data.</x:t>
        </x:is>
      </x:c>
      <x:c r="U27" s="5" t="inlineStr">
        <x:is>
          <x:t xml:space="preserve">Required implementation specification</x:t>
        </x:is>
      </x:c>
      <x:c r="V27" s="5" t="inlineStr">
        <x:is>
          <x:t xml:space="preserve">Administrative Safeguards</x:t>
        </x:is>
      </x:c>
      <x:c r="W27" s="28" t="inlineStr">
        <x:is>
          <x:t xml:space="preserve">https://www.ecfr.gov/current/title-45/subtitle-A/subchapter-C/part-164/section-164.308</x:t>
        </x:is>
      </x:c>
      <x:c r="X27" s="28" t="inlineStr">
        <x:is>
          <x:t xml:space="preserve">https://www.hhs.gov/hipaa/for-professionals/security/guidance/cybersecurity/ransomware-fact-sheet/index.html</x:t>
        </x:is>
      </x:c>
      <x:c r="Y27" s="5" t="n"/>
      <x:c r="Z27" s="5" t="n"/>
      <x:c r="AA27" s="5" t="n"/>
      <x:c r="AB27" s="5" t="n"/>
      <x:c r="AC27" s="5" t="n"/>
      <x:c r="AD27" s="5" t="n"/>
      <x:c r="AE27" s="5" t="n"/>
      <x:c r="AF27" s="5" t="n"/>
      <x:c r="AG27" s="5" t="n"/>
      <x:c r="AH27" s="5" t="n"/>
      <x:c r="AI27" s="5" t="n"/>
      <x:c r="AJ27" s="5" t="n"/>
      <x:c r="AK27" s="5" t="n"/>
      <x:c r="AL27" s="5" t="n"/>
    </x:row>
    <x:row r="28" ht="30" customHeight="1">
      <x:c r="A28" s="5" t="inlineStr">
        <x:is>
          <x:t xml:space="preserve">HITRUST e1.csv</x:t>
        </x:is>
      </x:c>
      <x:c r="B28" s="5" t="inlineStr">
        <x:is>
          <x:t xml:space="preserve">ER-114</x:t>
        </x:is>
      </x:c>
      <x:c r="C28" s="5" t="inlineStr">
        <x:is>
          <x:t xml:space="preserve">Configuration</x:t>
        </x:is>
      </x:c>
      <x:c r="D28" s="5" t="inlineStr">
        <x:is>
          <x:t xml:space="preserve">Backups and Schedules</x:t>
        </x:is>
      </x:c>
      <x:c r="E28" s="5" t="inlineStr">
        <x:is>
          <x:t xml:space="preserve">REQ-63-HIPAA</x:t>
        </x:is>
      </x:c>
      <x:c r="F28" s="5" t="inlineStr">
        <x:is>
          <x:t xml:space="preserve">1618.09l1Organizational.45</x:t>
        </x:is>
      </x:c>
      <x:c r="G28" s="5" t="inlineStr">
        <x:is>
          <x:t xml:space="preserve">Many:Many</x:t>
        </x:is>
      </x:c>
      <x:c r="H28" s="5" t="n">
        <x:v>1</x:v>
      </x:c>
      <x:c r="I28" s="5" t="inlineStr">
        <x:is>
          <x:t xml:space="preserve">45 CFR § 164.308(a)(7)(ii)(B)</x:t>
        </x:is>
      </x:c>
      <x:c r="J28" s="5" t="inlineStr">
        <x:is>
          <x:t xml:space="preserve">Contingency Plan — Disaster Recovery Plan</x:t>
        </x:is>
      </x:c>
      <x:c r="K28" s="5" t="inlineStr">
        <x:is>
          <x:t xml:space="preserve">Best-fit</x:t>
        </x:is>
      </x:c>
      <x:c r="L28" s="5" t="inlineStr">
        <x:is>
          <x:t xml:space="preserve">Backup/replication planning most closely aligns to restoring lost data and recovering operations after a disruption.</x:t>
        </x:is>
      </x:c>
      <x:c r="M28"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N28" s="5" t="inlineStr">
        <x:is>
          <x:t xml:space="preserve">Used for schedule-level backup rows when the internal control appears to emphasize recoverability/replication.</x:t>
        </x:is>
      </x:c>
      <x:c r="O28" s="5" t="inlineStr">
        <x:is>
          <x:t xml:space="preserve">1618.09l1 Organizational.45</x:t>
        </x:is>
      </x:c>
      <x:c r="P28" s="5" t="n">
        <x:v>1</x:v>
      </x:c>
      <x:c r="Q28" s="5" t="n"/>
      <x:c r="R28" s="5" t="inlineStr">
        <x:is>
          <x:t xml:space="preserve">45 C.F.R. § 164.308(a)(7)(ii)(B)</x:t>
        </x:is>
      </x:c>
      <x:c r="S28" s="5" t="inlineStr">
        <x:is>
          <x:t xml:space="preserve">Contingency Plan — Disaster Recovery Plan</x:t>
        </x:is>
      </x:c>
      <x:c r="T28" s="5" t="inlineStr">
        <x:is>
          <x:t xml:space="preserve">Establish and implement procedures to restore any loss of data.</x:t>
        </x:is>
      </x:c>
      <x:c r="U28" s="5" t="inlineStr">
        <x:is>
          <x:t xml:space="preserve">Required implementation specification</x:t>
        </x:is>
      </x:c>
      <x:c r="V28" s="5" t="inlineStr">
        <x:is>
          <x:t xml:space="preserve">Administrative Safeguards</x:t>
        </x:is>
      </x:c>
      <x:c r="W28" s="28" t="inlineStr">
        <x:is>
          <x:t xml:space="preserve">https://www.ecfr.gov/current/title-45/subtitle-A/subchapter-C/part-164/section-164.308</x:t>
        </x:is>
      </x:c>
      <x:c r="X28" s="28" t="inlineStr">
        <x:is>
          <x:t xml:space="preserve">https://www.hhs.gov/hipaa/for-professionals/security/guidance/cybersecurity/ransomware-fact-sheet/index.html</x:t>
        </x:is>
      </x:c>
      <x:c r="Y28" s="5" t="n"/>
      <x:c r="Z28" s="5" t="n"/>
      <x:c r="AA28" s="5" t="n"/>
      <x:c r="AB28" s="5" t="n"/>
      <x:c r="AC28" s="5" t="n"/>
      <x:c r="AD28" s="5" t="n"/>
      <x:c r="AE28" s="5" t="n"/>
      <x:c r="AF28" s="5" t="n"/>
      <x:c r="AG28" s="5" t="n"/>
      <x:c r="AH28" s="5" t="n"/>
      <x:c r="AI28" s="5" t="n"/>
      <x:c r="AJ28" s="5" t="n"/>
      <x:c r="AK28" s="5" t="n"/>
      <x:c r="AL28" s="5" t="n"/>
    </x:row>
    <x:row r="29" ht="30" customHeight="1">
      <x:c r="A29" s="5" t="inlineStr">
        <x:is>
          <x:t xml:space="preserve">HITRUST e1.csv</x:t>
        </x:is>
      </x:c>
      <x:c r="B29" s="5" t="inlineStr">
        <x:is>
          <x:t xml:space="preserve">ER-61</x:t>
        </x:is>
      </x:c>
      <x:c r="C29" s="5" t="inlineStr">
        <x:is>
          <x:t xml:space="preserve">Policy</x:t>
        </x:is>
      </x:c>
      <x:c r="D29" s="5" t="inlineStr">
        <x:is>
          <x:t xml:space="preserve">Change Management</x:t>
        </x:is>
      </x:c>
      <x:c r="E29" s="5" t="inlineStr">
        <x:is>
          <x:t xml:space="preserve">REQ-53-HIPAA</x:t>
        </x:is>
      </x:c>
      <x:c r="F29" s="5" t="inlineStr">
        <x:is>
          <x:t xml:space="preserve">06.09b1System.2</x:t>
        </x:is>
      </x:c>
      <x:c r="G29" s="5" t="inlineStr">
        <x:is>
          <x:t xml:space="preserve">1:Many</x:t>
        </x:is>
      </x:c>
      <x:c r="H29" s="5" t="n">
        <x:v>1</x:v>
      </x:c>
      <x:c r="I29" s="5" t="inlineStr">
        <x:is>
          <x:t xml:space="preserve">45 CFR § 164.308(a)(8); 45 CFR § 164.306(e); 45 CFR § 164.316(b)(2)(iii)</x:t>
        </x:is>
      </x:c>
      <x:c r="J29" s="5" t="inlineStr">
        <x:is>
          <x:t xml:space="preserve">Evaluation; Maintenance; Documentation — Updates</x:t>
        </x:is>
      </x:c>
      <x:c r="K29" s="5" t="inlineStr">
        <x:is>
          <x:t xml:space="preserve">Best-fit composite</x:t>
        </x:is>
      </x:c>
      <x:c r="L29" s="5" t="inlineStr">
        <x:is>
          <x:t xml:space="preserve">HIPAA does not expressly name change management, but OCR guidance links environmental/operational changes to ongoing evaluation, maintenance, and updating of security documentation.</x:t>
        </x:is>
      </x:c>
      <x:c r="M29" s="28"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N29" s="5" t="inlineStr">
        <x:is>
          <x:t xml:space="preserve">Used for the change-management policy row as the closest HIPAA analogue.</x:t>
        </x:is>
      </x:c>
      <x:c r="O29" s="5" t="inlineStr">
        <x:is>
          <x:t xml:space="preserve">06.09b1 System.2</x:t>
        </x:is>
      </x:c>
      <x:c r="P29" s="5" t="n">
        <x:v>3</x:v>
      </x:c>
      <x:c r="Q29" s="5" t="n"/>
      <x:c r="R29" s="5" t="inlineStr">
        <x:is>
          <x:t xml:space="preserve">45 C.F.R. § 164.308(a)(8)</x:t>
        </x:is>
      </x:c>
      <x:c r="S29" s="5" t="inlineStr">
        <x:is>
          <x:t xml:space="preserve">Evaluation</x:t>
        </x:is>
      </x:c>
      <x:c r="T29" s="5" t="inlineStr">
        <x:is>
          <x:t xml:space="preserve">Perform periodic technical and nontechnical evaluations, and repeat them in response to environmental or operational changes affecting the security of ePHI.</x:t>
        </x:is>
      </x:c>
      <x:c r="U29" s="5" t="inlineStr">
        <x:is>
          <x:t xml:space="preserve">Required standard</x:t>
        </x:is>
      </x:c>
      <x:c r="V29" s="5" t="inlineStr">
        <x:is>
          <x:t xml:space="preserve">Administrative Safeguards</x:t>
        </x:is>
      </x:c>
      <x:c r="W29" s="28" t="inlineStr">
        <x:is>
          <x:t xml:space="preserve">https://www.ecfr.gov/current/title-45/subtitle-A/subchapter-C/part-164/section-164.308</x:t>
        </x:is>
      </x:c>
      <x:c r="X29" s="28" t="inlineStr">
        <x:is>
          <x:t xml:space="preserve">https://www.hhs.gov/ocr/privacy/hipaa/administrative/securityrule/index.html</x:t>
        </x:is>
      </x:c>
      <x:c r="Y29" s="5" t="inlineStr">
        <x:is>
          <x:t xml:space="preserve">45 C.F.R. § 164.306(e)</x:t>
        </x:is>
      </x:c>
      <x:c r="Z29" s="5" t="inlineStr">
        <x:is>
          <x:t xml:space="preserve">Maintenance</x:t>
        </x:is>
      </x:c>
      <x:c r="AA29" s="5" t="inlineStr">
        <x:is>
          <x:t xml:space="preserve">Review and modify security measures as needed to continue providing reasonable and appropriate protection of ePHI, and update related documentation.</x:t>
        </x:is>
      </x:c>
      <x:c r="AB29" s="5" t="inlineStr">
        <x:is>
          <x:t xml:space="preserve">Standard maintenance requirement</x:t>
        </x:is>
      </x:c>
      <x:c r="AC29" s="5" t="inlineStr">
        <x:is>
          <x:t xml:space="preserve">General Rules</x:t>
        </x:is>
      </x:c>
      <x:c r="AD29" s="28" t="inlineStr">
        <x:is>
          <x:t xml:space="preserve">https://www.ecfr.gov/current/title-45/subtitle-A/subchapter-C/part-164/section-164.306</x:t>
        </x:is>
      </x:c>
      <x:c r="AE29" s="28" t="inlineStr">
        <x:is>
          <x:t xml:space="preserve">https://www.hhs.gov/sites/default/files/ocr/privacy/hipaa/administrative/combined/hipaa-simplification-201303.pdf</x:t>
        </x:is>
      </x:c>
      <x:c r="AF29" s="5" t="inlineStr">
        <x:is>
          <x:t xml:space="preserve">45 C.F.R. § 164.316(b)(2)(iii)</x:t>
        </x:is>
      </x:c>
      <x:c r="AG29" s="5" t="inlineStr">
        <x:is>
          <x:t xml:space="preserve">Documentation — Updates</x:t>
        </x:is>
      </x:c>
      <x:c r="AH29" s="5" t="inlineStr">
        <x:is>
          <x:t xml:space="preserve">Review documentation periodically and update it as needed in response to environmental or operational changes affecting the security of ePHI.</x:t>
        </x:is>
      </x:c>
      <x:c r="AI29" s="5" t="inlineStr">
        <x:is>
          <x:t xml:space="preserve">Required implementation specification</x:t>
        </x:is>
      </x:c>
      <x:c r="AJ29" s="5" t="inlineStr">
        <x:is>
          <x:t xml:space="preserve">Policies / Documentation</x:t>
        </x:is>
      </x:c>
      <x:c r="AK29" s="28" t="inlineStr">
        <x:is>
          <x:t xml:space="preserve">https://www.ecfr.gov/current/title-45/subtitle-A/subchapter-C/part-164/section-164.316</x:t>
        </x:is>
      </x:c>
      <x:c r="AL29" s="28" t="inlineStr">
        <x:is>
          <x:t xml:space="preserve">https://www.hhs.gov/sites/default/files/ocr/privacy/hipaa/administrative/combined/hipaa-simplification-201303.pdf</x:t>
        </x:is>
      </x:c>
    </x:row>
    <x:row r="30" ht="30" customHeight="1">
      <x:c r="A30" s="5" t="inlineStr">
        <x:is>
          <x:t xml:space="preserve">HITRUST e1.csv</x:t>
        </x:is>
      </x:c>
      <x:c r="B30" s="5" t="inlineStr">
        <x:is>
          <x:t xml:space="preserve">ER-61</x:t>
        </x:is>
      </x:c>
      <x:c r="C30" s="5" t="inlineStr">
        <x:is>
          <x:t xml:space="preserve">Policy</x:t>
        </x:is>
      </x:c>
      <x:c r="D30" s="5" t="inlineStr">
        <x:is>
          <x:t xml:space="preserve">Change Management</x:t>
        </x:is>
      </x:c>
      <x:c r="E30" s="5" t="inlineStr">
        <x:is>
          <x:t xml:space="preserve">REQ-53-HIPAA</x:t>
        </x:is>
      </x:c>
      <x:c r="F30" s="5" t="inlineStr">
        <x:is>
          <x:t xml:space="preserve">1769.09i1System.12</x:t>
        </x:is>
      </x:c>
      <x:c r="G30" s="5" t="inlineStr">
        <x:is>
          <x:t xml:space="preserve">1:Many</x:t>
        </x:is>
      </x:c>
      <x:c r="H30" s="5" t="n">
        <x:v>1</x:v>
      </x:c>
      <x:c r="I30" s="5" t="inlineStr">
        <x:is>
          <x:t xml:space="preserve">45 CFR § 164.308(a)(8); 45 CFR § 164.306(e); 45 CFR § 164.316(b)(2)(iii)</x:t>
        </x:is>
      </x:c>
      <x:c r="J30" s="5" t="inlineStr">
        <x:is>
          <x:t xml:space="preserve">Evaluation; Maintenance; Documentation — Updates</x:t>
        </x:is>
      </x:c>
      <x:c r="K30" s="5" t="inlineStr">
        <x:is>
          <x:t xml:space="preserve">Best-fit composite</x:t>
        </x:is>
      </x:c>
      <x:c r="L30" s="5" t="inlineStr">
        <x:is>
          <x:t xml:space="preserve">HIPAA does not expressly name change management, but OCR guidance links environmental/operational changes to ongoing evaluation, maintenance, and updating of security documentation.</x:t>
        </x:is>
      </x:c>
      <x:c r="M30" s="28"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N30" s="5" t="inlineStr">
        <x:is>
          <x:t xml:space="preserve">Used for the change-management policy row as the closest HIPAA analogue.</x:t>
        </x:is>
      </x:c>
      <x:c r="O30" s="5" t="inlineStr">
        <x:is>
          <x:t xml:space="preserve">1769.09i1 System.12</x:t>
        </x:is>
      </x:c>
      <x:c r="P30" s="5" t="n">
        <x:v>3</x:v>
      </x:c>
      <x:c r="Q30" s="5" t="n"/>
      <x:c r="R30" s="5" t="inlineStr">
        <x:is>
          <x:t xml:space="preserve">45 C.F.R. § 164.308(a)(8)</x:t>
        </x:is>
      </x:c>
      <x:c r="S30" s="5" t="inlineStr">
        <x:is>
          <x:t xml:space="preserve">Evaluation</x:t>
        </x:is>
      </x:c>
      <x:c r="T30" s="5" t="inlineStr">
        <x:is>
          <x:t xml:space="preserve">Perform periodic technical and nontechnical evaluations, and repeat them in response to environmental or operational changes affecting the security of ePHI.</x:t>
        </x:is>
      </x:c>
      <x:c r="U30" s="5" t="inlineStr">
        <x:is>
          <x:t xml:space="preserve">Required standard</x:t>
        </x:is>
      </x:c>
      <x:c r="V30" s="5" t="inlineStr">
        <x:is>
          <x:t xml:space="preserve">Administrative Safeguards</x:t>
        </x:is>
      </x:c>
      <x:c r="W30" s="28" t="inlineStr">
        <x:is>
          <x:t xml:space="preserve">https://www.ecfr.gov/current/title-45/subtitle-A/subchapter-C/part-164/section-164.308</x:t>
        </x:is>
      </x:c>
      <x:c r="X30" s="28" t="inlineStr">
        <x:is>
          <x:t xml:space="preserve">https://www.hhs.gov/ocr/privacy/hipaa/administrative/securityrule/index.html</x:t>
        </x:is>
      </x:c>
      <x:c r="Y30" s="5" t="inlineStr">
        <x:is>
          <x:t xml:space="preserve">45 C.F.R. § 164.306(e)</x:t>
        </x:is>
      </x:c>
      <x:c r="Z30" s="5" t="inlineStr">
        <x:is>
          <x:t xml:space="preserve">Maintenance</x:t>
        </x:is>
      </x:c>
      <x:c r="AA30" s="5" t="inlineStr">
        <x:is>
          <x:t xml:space="preserve">Review and modify security measures as needed to continue providing reasonable and appropriate protection of ePHI, and update related documentation.</x:t>
        </x:is>
      </x:c>
      <x:c r="AB30" s="5" t="inlineStr">
        <x:is>
          <x:t xml:space="preserve">Standard maintenance requirement</x:t>
        </x:is>
      </x:c>
      <x:c r="AC30" s="5" t="inlineStr">
        <x:is>
          <x:t xml:space="preserve">General Rules</x:t>
        </x:is>
      </x:c>
      <x:c r="AD30" s="28" t="inlineStr">
        <x:is>
          <x:t xml:space="preserve">https://www.ecfr.gov/current/title-45/subtitle-A/subchapter-C/part-164/section-164.306</x:t>
        </x:is>
      </x:c>
      <x:c r="AE30" s="28" t="inlineStr">
        <x:is>
          <x:t xml:space="preserve">https://www.hhs.gov/sites/default/files/ocr/privacy/hipaa/administrative/combined/hipaa-simplification-201303.pdf</x:t>
        </x:is>
      </x:c>
      <x:c r="AF30" s="5" t="inlineStr">
        <x:is>
          <x:t xml:space="preserve">45 C.F.R. § 164.316(b)(2)(iii)</x:t>
        </x:is>
      </x:c>
      <x:c r="AG30" s="5" t="inlineStr">
        <x:is>
          <x:t xml:space="preserve">Documentation — Updates</x:t>
        </x:is>
      </x:c>
      <x:c r="AH30" s="5" t="inlineStr">
        <x:is>
          <x:t xml:space="preserve">Review documentation periodically and update it as needed in response to environmental or operational changes affecting the security of ePHI.</x:t>
        </x:is>
      </x:c>
      <x:c r="AI30" s="5" t="inlineStr">
        <x:is>
          <x:t xml:space="preserve">Required implementation specification</x:t>
        </x:is>
      </x:c>
      <x:c r="AJ30" s="5" t="inlineStr">
        <x:is>
          <x:t xml:space="preserve">Policies / Documentation</x:t>
        </x:is>
      </x:c>
      <x:c r="AK30" s="28" t="inlineStr">
        <x:is>
          <x:t xml:space="preserve">https://www.ecfr.gov/current/title-45/subtitle-A/subchapter-C/part-164/section-164.316</x:t>
        </x:is>
      </x:c>
      <x:c r="AL30" s="28" t="inlineStr">
        <x:is>
          <x:t xml:space="preserve">https://www.hhs.gov/sites/default/files/ocr/privacy/hipaa/administrative/combined/hipaa-simplification-201303.pdf</x:t>
        </x:is>
      </x:c>
    </x:row>
    <x:row r="31" ht="30" customHeight="1">
      <x:c r="A31" s="5" t="inlineStr">
        <x:is>
          <x:t xml:space="preserve">HITRUST e1.csv</x:t>
        </x:is>
      </x:c>
      <x:c r="B31" s="5" t="inlineStr">
        <x:is>
          <x:t xml:space="preserve">ER-123</x:t>
        </x:is>
      </x:c>
      <x:c r="C31" s="5" t="inlineStr">
        <x:is>
          <x:t xml:space="preserve">Operational</x:t>
        </x:is>
      </x:c>
      <x:c r="D31" s="5" t="inlineStr">
        <x:is>
          <x:t xml:space="preserve">Completed Production Data Backup Test</x:t>
        </x:is>
      </x:c>
      <x:c r="E31" s="5" t="inlineStr">
        <x:is>
          <x:t xml:space="preserve">REQ-61-HIPAA</x:t>
        </x:is>
      </x:c>
      <x:c r="F31" s="5" t="inlineStr">
        <x:is>
          <x:t xml:space="preserve">1616.09l1Organizational.16</x:t>
        </x:is>
      </x:c>
      <x:c r="G31" s="5" t="inlineStr">
        <x:is>
          <x:t xml:space="preserve">1:1</x:t>
        </x:is>
      </x:c>
      <x:c r="H31" s="5" t="n">
        <x:v>2</x:v>
      </x:c>
      <x:c r="I31" s="5" t="inlineStr">
        <x:is>
          <x:t xml:space="preserve">45 CFR § 164.308(a)(7)(ii)(D)</x:t>
        </x:is>
      </x:c>
      <x:c r="J31" s="5" t="inlineStr">
        <x:is>
          <x:t xml:space="preserve">Contingency Plan — Testing and Revision Procedure</x:t>
        </x:is>
      </x:c>
      <x:c r="K31" s="5" t="inlineStr">
        <x:is>
          <x:t xml:space="preserve">Direct</x:t>
        </x:is>
      </x:c>
      <x:c r="L31" s="5" t="inlineStr">
        <x:is>
          <x:t xml:space="preserve">A completed backup test aligns directly to periodic testing/revision of contingency plans.</x:t>
        </x:is>
      </x:c>
      <x:c r="M31"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N31" s="5" t="inlineStr">
        <x:is>
          <x:t xml:space="preserve">Used for explicit backup-test evidence.</x:t>
        </x:is>
      </x:c>
      <x:c r="O31" s="5" t="inlineStr">
        <x:is>
          <x:t xml:space="preserve">1616.09l1 Organizational.16</x:t>
        </x:is>
      </x:c>
      <x:c r="P31" s="5" t="n">
        <x:v>1</x:v>
      </x:c>
      <x:c r="Q31" s="5" t="n"/>
      <x:c r="R31" s="5" t="inlineStr">
        <x:is>
          <x:t xml:space="preserve">45 C.F.R. § 164.308(a)(7)(ii)(D)</x:t>
        </x:is>
      </x:c>
      <x:c r="S31" s="5" t="inlineStr">
        <x:is>
          <x:t xml:space="preserve">Contingency Plan — Applications and Data Criticality Analysis</x:t>
        </x:is>
      </x:c>
      <x:c r="T31" s="5" t="inlineStr">
        <x:is>
          <x:t xml:space="preserve">Assess the relative criticality of specific applications and data in support of contingency planning.</x:t>
        </x:is>
      </x:c>
      <x:c r="U31" s="5" t="inlineStr">
        <x:is>
          <x:t xml:space="preserve">Addressable implementation specification</x:t>
        </x:is>
      </x:c>
      <x:c r="V31" s="5" t="inlineStr">
        <x:is>
          <x:t xml:space="preserve">Administrative Safeguards</x:t>
        </x:is>
      </x:c>
      <x:c r="W31" s="28" t="inlineStr">
        <x:is>
          <x:t xml:space="preserve">https://www.ecfr.gov/current/title-45/subtitle-A/subchapter-C/part-164/section-164.308</x:t>
        </x:is>
      </x:c>
      <x:c r="X31" s="28" t="inlineStr">
        <x:is>
          <x:t xml:space="preserve">https://www.hhs.gov/hipaa/for-professionals/compliance-enforcement/audit/protocol-edited/index.html</x:t>
        </x:is>
      </x:c>
      <x:c r="Y31" s="5" t="n"/>
      <x:c r="Z31" s="5" t="n"/>
      <x:c r="AA31" s="5" t="n"/>
      <x:c r="AB31" s="5" t="n"/>
      <x:c r="AC31" s="5" t="n"/>
      <x:c r="AD31" s="5" t="n"/>
      <x:c r="AE31" s="5" t="n"/>
      <x:c r="AF31" s="5" t="n"/>
      <x:c r="AG31" s="5" t="n"/>
      <x:c r="AH31" s="5" t="n"/>
      <x:c r="AI31" s="5" t="n"/>
      <x:c r="AJ31" s="5" t="n"/>
      <x:c r="AK31" s="5" t="n"/>
      <x:c r="AL31" s="5" t="n"/>
    </x:row>
    <x:row r="32" ht="30" customHeight="1">
      <x:c r="A32" s="5" t="inlineStr">
        <x:is>
          <x:t xml:space="preserve">HITRUST e1.csv</x:t>
        </x:is>
      </x:c>
      <x:c r="B32" s="5" t="inlineStr">
        <x:is>
          <x:t xml:space="preserve">ER-108</x:t>
        </x:is>
      </x:c>
      <x:c r="C32" s="5" t="inlineStr">
        <x:is>
          <x:t xml:space="preserve">Policy</x:t>
        </x:is>
      </x:c>
      <x:c r="D32" s="5" t="inlineStr">
        <x:is>
          <x:t xml:space="preserve">Data Classification, Retention and Disposal</x:t>
        </x:is>
      </x:c>
      <x:c r="E32" s="5" t="inlineStr">
        <x:is>
          <x:t xml:space="preserve">REQ-32-HIPAA</x:t>
        </x:is>
      </x:c>
      <x:c r="F32" s="5" t="inlineStr">
        <x:is>
          <x:t xml:space="preserve">0305.09q1Organizational.12</x:t>
        </x:is>
      </x:c>
      <x:c r="G32" s="5" t="inlineStr">
        <x:is>
          <x:t xml:space="preserve">Many:Many</x:t>
        </x:is>
      </x:c>
      <x:c r="H32" s="5" t="n">
        <x:v>1</x:v>
      </x:c>
      <x:c r="I32" s="5" t="inlineStr">
        <x:is>
          <x:t xml:space="preserve">45 CFR § 164.310(d)(2)(i)</x:t>
        </x:is>
      </x:c>
      <x:c r="J32" s="5" t="inlineStr">
        <x:is>
          <x:t xml:space="preserve">Device and Media Controls — Disposal</x:t>
        </x:is>
      </x:c>
      <x:c r="K32" s="5" t="inlineStr">
        <x:is>
          <x:t xml:space="preserve">Best-fit</x:t>
        </x:is>
      </x:c>
      <x:c r="L32" s="5" t="inlineStr">
        <x:is>
          <x:t xml:space="preserve">The direct HIPAA overlap in this action item is final disposition/disposal; HIPAA does not explicitly name data classification or retention as standalone Security Rule specifications.</x:t>
        </x:is>
      </x:c>
      <x:c r="M32"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2" s="5" t="inlineStr">
        <x:is>
          <x:t xml:space="preserve">Only the disposal portion of the action item maps directly to an express HIPAA implementation specification.</x:t>
        </x:is>
      </x:c>
      <x:c r="O32" s="5" t="inlineStr">
        <x:is>
          <x:t xml:space="preserve">0305.09q1 Organizational.12</x:t>
        </x:is>
      </x:c>
      <x:c r="P32" s="5" t="n">
        <x:v>1</x:v>
      </x:c>
      <x:c r="Q32" s="5" t="n"/>
      <x:c r="R32" s="5" t="inlineStr">
        <x:is>
          <x:t xml:space="preserve">45 C.F.R. § 164.310(d)(2)(i)</x:t>
        </x:is>
      </x:c>
      <x:c r="S32" s="5" t="inlineStr">
        <x:is>
          <x:t xml:space="preserve">Device and Media Controls — Disposal</x:t>
        </x:is>
      </x:c>
      <x:c r="T32" s="5" t="inlineStr">
        <x:is>
          <x:t xml:space="preserve">Implement policies and procedures to address the final disposition of ePHI and the hardware or electronic media on which it is stored.</x:t>
        </x:is>
      </x:c>
      <x:c r="U32" s="5" t="inlineStr">
        <x:is>
          <x:t xml:space="preserve">Required implementation specification</x:t>
        </x:is>
      </x:c>
      <x:c r="V32" s="5" t="inlineStr">
        <x:is>
          <x:t xml:space="preserve">Physical Safeguards</x:t>
        </x:is>
      </x:c>
      <x:c r="W32" s="28" t="inlineStr">
        <x:is>
          <x:t xml:space="preserve">https://www.ecfr.gov/current/title-45/subtitle-A/subchapter-C/part-164/section-164.310</x:t>
        </x:is>
      </x:c>
      <x:c r="X32" s="28" t="inlineStr">
        <x:is>
          <x:t xml:space="preserve">https://www.hhs.gov/hipaa/for-professionals/faq/575/what-does-hipaa-require-of-covered-entities-when-they-dispose-information/index.html</x:t>
        </x:is>
      </x:c>
      <x:c r="Y32" s="5" t="n"/>
      <x:c r="Z32" s="5" t="n"/>
      <x:c r="AA32" s="5" t="n"/>
      <x:c r="AB32" s="5" t="n"/>
      <x:c r="AC32" s="5" t="n"/>
      <x:c r="AD32" s="5" t="n"/>
      <x:c r="AE32" s="5" t="n"/>
      <x:c r="AF32" s="5" t="n"/>
      <x:c r="AG32" s="5" t="n"/>
      <x:c r="AH32" s="5" t="n"/>
      <x:c r="AI32" s="5" t="n"/>
      <x:c r="AJ32" s="5" t="n"/>
      <x:c r="AK32" s="5" t="n"/>
      <x:c r="AL32" s="5" t="n"/>
    </x:row>
    <x:row r="33" ht="30" customHeight="1">
      <x:c r="A33" s="5" t="inlineStr">
        <x:is>
          <x:t xml:space="preserve">HITRUST e1.csv</x:t>
        </x:is>
      </x:c>
      <x:c r="B33" s="5" t="inlineStr">
        <x:is>
          <x:t xml:space="preserve">ER-108</x:t>
        </x:is>
      </x:c>
      <x:c r="C33" s="5" t="inlineStr">
        <x:is>
          <x:t xml:space="preserve">Policy</x:t>
        </x:is>
      </x:c>
      <x:c r="D33" s="5" t="inlineStr">
        <x:is>
          <x:t xml:space="preserve">Data Classification, Retention and Disposal</x:t>
        </x:is>
      </x:c>
      <x:c r="E33" s="5" t="inlineStr">
        <x:is>
          <x:t xml:space="preserve">REQ-32-HIPAA</x:t>
        </x:is>
      </x:c>
      <x:c r="F33" s="5" t="inlineStr">
        <x:is>
          <x:t xml:space="preserve">1239.09aa1System.4</x:t>
        </x:is>
      </x:c>
      <x:c r="G33" s="5" t="inlineStr">
        <x:is>
          <x:t xml:space="preserve">Many:Many</x:t>
        </x:is>
      </x:c>
      <x:c r="H33" s="5" t="n">
        <x:v>1</x:v>
      </x:c>
      <x:c r="I33" s="5" t="inlineStr">
        <x:is>
          <x:t xml:space="preserve">45 CFR § 164.310(d)(2)(i)</x:t>
        </x:is>
      </x:c>
      <x:c r="J33" s="5" t="inlineStr">
        <x:is>
          <x:t xml:space="preserve">Device and Media Controls — Disposal</x:t>
        </x:is>
      </x:c>
      <x:c r="K33" s="5" t="inlineStr">
        <x:is>
          <x:t xml:space="preserve">Best-fit</x:t>
        </x:is>
      </x:c>
      <x:c r="L33" s="5" t="inlineStr">
        <x:is>
          <x:t xml:space="preserve">The direct HIPAA overlap in this action item is final disposition/disposal; HIPAA does not explicitly name data classification or retention as standalone Security Rule specifications.</x:t>
        </x:is>
      </x:c>
      <x:c r="M33"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3" s="5" t="inlineStr">
        <x:is>
          <x:t xml:space="preserve">Only the disposal portion of the action item maps directly to an express HIPAA implementation specification.</x:t>
        </x:is>
      </x:c>
      <x:c r="O33" s="5" t="inlineStr">
        <x:is>
          <x:t xml:space="preserve">1239.09aa1 System.4</x:t>
        </x:is>
      </x:c>
      <x:c r="P33" s="5" t="n">
        <x:v>1</x:v>
      </x:c>
      <x:c r="Q33" s="5" t="n"/>
      <x:c r="R33" s="5" t="inlineStr">
        <x:is>
          <x:t xml:space="preserve">45 C.F.R. § 164.310(d)(2)(i)</x:t>
        </x:is>
      </x:c>
      <x:c r="S33" s="5" t="inlineStr">
        <x:is>
          <x:t xml:space="preserve">Device and Media Controls — Disposal</x:t>
        </x:is>
      </x:c>
      <x:c r="T33" s="5" t="inlineStr">
        <x:is>
          <x:t xml:space="preserve">Implement policies and procedures to address the final disposition of ePHI and the hardware or electronic media on which it is stored.</x:t>
        </x:is>
      </x:c>
      <x:c r="U33" s="5" t="inlineStr">
        <x:is>
          <x:t xml:space="preserve">Required implementation specification</x:t>
        </x:is>
      </x:c>
      <x:c r="V33" s="5" t="inlineStr">
        <x:is>
          <x:t xml:space="preserve">Physical Safeguards</x:t>
        </x:is>
      </x:c>
      <x:c r="W33" s="28" t="inlineStr">
        <x:is>
          <x:t xml:space="preserve">https://www.ecfr.gov/current/title-45/subtitle-A/subchapter-C/part-164/section-164.310</x:t>
        </x:is>
      </x:c>
      <x:c r="X33" s="28" t="inlineStr">
        <x:is>
          <x:t xml:space="preserve">https://www.hhs.gov/hipaa/for-professionals/faq/575/what-does-hipaa-require-of-covered-entities-when-they-dispose-information/index.html</x:t>
        </x:is>
      </x:c>
      <x:c r="Y33" s="5" t="n"/>
      <x:c r="Z33" s="5" t="n"/>
      <x:c r="AA33" s="5" t="n"/>
      <x:c r="AB33" s="5" t="n"/>
      <x:c r="AC33" s="5" t="n"/>
      <x:c r="AD33" s="5" t="n"/>
      <x:c r="AE33" s="5" t="n"/>
      <x:c r="AF33" s="5" t="n"/>
      <x:c r="AG33" s="5" t="n"/>
      <x:c r="AH33" s="5" t="n"/>
      <x:c r="AI33" s="5" t="n"/>
      <x:c r="AJ33" s="5" t="n"/>
      <x:c r="AK33" s="5" t="n"/>
      <x:c r="AL33" s="5" t="n"/>
    </x:row>
    <x:row r="34" ht="30" customHeight="1">
      <x:c r="A34" s="5" t="inlineStr">
        <x:is>
          <x:t xml:space="preserve">HITRUST e1.csv</x:t>
        </x:is>
      </x:c>
      <x:c r="B34" s="5" t="inlineStr">
        <x:is>
          <x:t xml:space="preserve">ER-108</x:t>
        </x:is>
      </x:c>
      <x:c r="C34" s="5" t="inlineStr">
        <x:is>
          <x:t xml:space="preserve">Policy</x:t>
        </x:is>
      </x:c>
      <x:c r="D34" s="5" t="inlineStr">
        <x:is>
          <x:t xml:space="preserve">Data Classification, Retention and Disposal</x:t>
        </x:is>
      </x:c>
      <x:c r="E34" s="5" t="inlineStr">
        <x:is>
          <x:t xml:space="preserve">REQ-32-HIPAA</x:t>
        </x:is>
      </x:c>
      <x:c r="F34" s="5" t="inlineStr">
        <x:is>
          <x:t xml:space="preserve">1616.09l1Organizational.16</x:t>
        </x:is>
      </x:c>
      <x:c r="G34" s="5" t="inlineStr">
        <x:is>
          <x:t xml:space="preserve">Many:Many</x:t>
        </x:is>
      </x:c>
      <x:c r="H34" s="5" t="n">
        <x:v>1</x:v>
      </x:c>
      <x:c r="I34" s="5" t="inlineStr">
        <x:is>
          <x:t xml:space="preserve">45 CFR § 164.310(d)(2)(i)</x:t>
        </x:is>
      </x:c>
      <x:c r="J34" s="5" t="inlineStr">
        <x:is>
          <x:t xml:space="preserve">Device and Media Controls — Disposal</x:t>
        </x:is>
      </x:c>
      <x:c r="K34" s="5" t="inlineStr">
        <x:is>
          <x:t xml:space="preserve">Best-fit</x:t>
        </x:is>
      </x:c>
      <x:c r="L34" s="5" t="inlineStr">
        <x:is>
          <x:t xml:space="preserve">The direct HIPAA overlap in this action item is final disposition/disposal; HIPAA does not explicitly name data classification or retention as standalone Security Rule specifications.</x:t>
        </x:is>
      </x:c>
      <x:c r="M34"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4" s="5" t="inlineStr">
        <x:is>
          <x:t xml:space="preserve">Only the disposal portion of the action item maps directly to an express HIPAA implementation specification.</x:t>
        </x:is>
      </x:c>
      <x:c r="O34" s="5" t="inlineStr">
        <x:is>
          <x:t xml:space="preserve">1616.09l1 Organizational.16</x:t>
        </x:is>
      </x:c>
      <x:c r="P34" s="5" t="n">
        <x:v>1</x:v>
      </x:c>
      <x:c r="Q34" s="5" t="n"/>
      <x:c r="R34" s="5" t="inlineStr">
        <x:is>
          <x:t xml:space="preserve">45 C.F.R. § 164.310(d)(2)(i)</x:t>
        </x:is>
      </x:c>
      <x:c r="S34" s="5" t="inlineStr">
        <x:is>
          <x:t xml:space="preserve">Device and Media Controls — Disposal</x:t>
        </x:is>
      </x:c>
      <x:c r="T34" s="5" t="inlineStr">
        <x:is>
          <x:t xml:space="preserve">Implement policies and procedures to address the final disposition of ePHI and the hardware or electronic media on which it is stored.</x:t>
        </x:is>
      </x:c>
      <x:c r="U34" s="5" t="inlineStr">
        <x:is>
          <x:t xml:space="preserve">Required implementation specification</x:t>
        </x:is>
      </x:c>
      <x:c r="V34" s="5" t="inlineStr">
        <x:is>
          <x:t xml:space="preserve">Physical Safeguards</x:t>
        </x:is>
      </x:c>
      <x:c r="W34" s="28" t="inlineStr">
        <x:is>
          <x:t xml:space="preserve">https://www.ecfr.gov/current/title-45/subtitle-A/subchapter-C/part-164/section-164.310</x:t>
        </x:is>
      </x:c>
      <x:c r="X34" s="28" t="inlineStr">
        <x:is>
          <x:t xml:space="preserve">https://www.hhs.gov/hipaa/for-professionals/faq/575/what-does-hipaa-require-of-covered-entities-when-they-dispose-information/index.html</x:t>
        </x:is>
      </x:c>
      <x:c r="Y34" s="5" t="n"/>
      <x:c r="Z34" s="5" t="n"/>
      <x:c r="AA34" s="5" t="n"/>
      <x:c r="AB34" s="5" t="n"/>
      <x:c r="AC34" s="5" t="n"/>
      <x:c r="AD34" s="5" t="n"/>
      <x:c r="AE34" s="5" t="n"/>
      <x:c r="AF34" s="5" t="n"/>
      <x:c r="AG34" s="5" t="n"/>
      <x:c r="AH34" s="5" t="n"/>
      <x:c r="AI34" s="5" t="n"/>
      <x:c r="AJ34" s="5" t="n"/>
      <x:c r="AK34" s="5" t="n"/>
      <x:c r="AL34" s="5" t="n"/>
    </x:row>
    <x:row r="35" ht="30" customHeight="1">
      <x:c r="A35" s="5" t="inlineStr">
        <x:is>
          <x:t xml:space="preserve">HITRUST e1.csv</x:t>
        </x:is>
      </x:c>
      <x:c r="B35" s="5" t="inlineStr">
        <x:is>
          <x:t xml:space="preserve">ER-108</x:t>
        </x:is>
      </x:c>
      <x:c r="C35" s="5" t="inlineStr">
        <x:is>
          <x:t xml:space="preserve">Policy</x:t>
        </x:is>
      </x:c>
      <x:c r="D35" s="5" t="inlineStr">
        <x:is>
          <x:t xml:space="preserve">Data Classification, Retention and Disposal</x:t>
        </x:is>
      </x:c>
      <x:c r="E35" s="5" t="inlineStr">
        <x:is>
          <x:t xml:space="preserve">REQ-32-HIPAA</x:t>
        </x:is>
      </x:c>
      <x:c r="F35" s="5" t="inlineStr">
        <x:is>
          <x:t xml:space="preserve">1767.07d1Organizational.2</x:t>
        </x:is>
      </x:c>
      <x:c r="G35" s="5" t="inlineStr">
        <x:is>
          <x:t xml:space="preserve">Many:Many</x:t>
        </x:is>
      </x:c>
      <x:c r="H35" s="5" t="n">
        <x:v>1</x:v>
      </x:c>
      <x:c r="I35" s="5" t="inlineStr">
        <x:is>
          <x:t xml:space="preserve">45 CFR § 164.310(d)(2)(i)</x:t>
        </x:is>
      </x:c>
      <x:c r="J35" s="5" t="inlineStr">
        <x:is>
          <x:t xml:space="preserve">Device and Media Controls — Disposal</x:t>
        </x:is>
      </x:c>
      <x:c r="K35" s="5" t="inlineStr">
        <x:is>
          <x:t xml:space="preserve">Best-fit</x:t>
        </x:is>
      </x:c>
      <x:c r="L35" s="5" t="inlineStr">
        <x:is>
          <x:t xml:space="preserve">The direct HIPAA overlap in this action item is final disposition/disposal; HIPAA does not explicitly name data classification or retention as standalone Security Rule specifications.</x:t>
        </x:is>
      </x:c>
      <x:c r="M35"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5" s="5" t="inlineStr">
        <x:is>
          <x:t xml:space="preserve">Only the disposal portion of the action item maps directly to an express HIPAA implementation specification.</x:t>
        </x:is>
      </x:c>
      <x:c r="O35" s="5" t="inlineStr">
        <x:is>
          <x:t xml:space="preserve">1767.07d1 Organizational.2</x:t>
        </x:is>
      </x:c>
      <x:c r="P35" s="5" t="n">
        <x:v>1</x:v>
      </x:c>
      <x:c r="Q35" s="5" t="n"/>
      <x:c r="R35" s="5" t="inlineStr">
        <x:is>
          <x:t xml:space="preserve">45 C.F.R. § 164.310(d)(2)(i)</x:t>
        </x:is>
      </x:c>
      <x:c r="S35" s="5" t="inlineStr">
        <x:is>
          <x:t xml:space="preserve">Device and Media Controls — Disposal</x:t>
        </x:is>
      </x:c>
      <x:c r="T35" s="5" t="inlineStr">
        <x:is>
          <x:t xml:space="preserve">Implement policies and procedures to address the final disposition of ePHI and the hardware or electronic media on which it is stored.</x:t>
        </x:is>
      </x:c>
      <x:c r="U35" s="5" t="inlineStr">
        <x:is>
          <x:t xml:space="preserve">Required implementation specification</x:t>
        </x:is>
      </x:c>
      <x:c r="V35" s="5" t="inlineStr">
        <x:is>
          <x:t xml:space="preserve">Physical Safeguards</x:t>
        </x:is>
      </x:c>
      <x:c r="W35" s="28" t="inlineStr">
        <x:is>
          <x:t xml:space="preserve">https://www.ecfr.gov/current/title-45/subtitle-A/subchapter-C/part-164/section-164.310</x:t>
        </x:is>
      </x:c>
      <x:c r="X35" s="28" t="inlineStr">
        <x:is>
          <x:t xml:space="preserve">https://www.hhs.gov/hipaa/for-professionals/faq/575/what-does-hipaa-require-of-covered-entities-when-they-dispose-information/index.html</x:t>
        </x:is>
      </x:c>
      <x:c r="Y35" s="5" t="n"/>
      <x:c r="Z35" s="5" t="n"/>
      <x:c r="AA35" s="5" t="n"/>
      <x:c r="AB35" s="5" t="n"/>
      <x:c r="AC35" s="5" t="n"/>
      <x:c r="AD35" s="5" t="n"/>
      <x:c r="AE35" s="5" t="n"/>
      <x:c r="AF35" s="5" t="n"/>
      <x:c r="AG35" s="5" t="n"/>
      <x:c r="AH35" s="5" t="n"/>
      <x:c r="AI35" s="5" t="n"/>
      <x:c r="AJ35" s="5" t="n"/>
      <x:c r="AK35" s="5" t="n"/>
      <x:c r="AL35" s="5" t="n"/>
    </x:row>
    <x:row r="36" ht="30" customHeight="1">
      <x:c r="A36" s="5" t="inlineStr">
        <x:is>
          <x:t xml:space="preserve">HITRUST e1.csv</x:t>
        </x:is>
      </x:c>
      <x:c r="B36" s="5" t="inlineStr">
        <x:is>
          <x:t xml:space="preserve">ER-108</x:t>
        </x:is>
      </x:c>
      <x:c r="C36" s="5" t="inlineStr">
        <x:is>
          <x:t xml:space="preserve">Policy</x:t>
        </x:is>
      </x:c>
      <x:c r="D36" s="5" t="inlineStr">
        <x:is>
          <x:t xml:space="preserve">Data Classification, Retention and Disposal</x:t>
        </x:is>
      </x:c>
      <x:c r="E36" s="5" t="inlineStr">
        <x:is>
          <x:t xml:space="preserve">REQ-32-HIPAA</x:t>
        </x:is>
      </x:c>
      <x:c r="F36" s="5" t="inlineStr">
        <x:is>
          <x:t xml:space="preserve">19142.06c1Organizational.8</x:t>
        </x:is>
      </x:c>
      <x:c r="G36" s="5" t="inlineStr">
        <x:is>
          <x:t xml:space="preserve">Many:Many</x:t>
        </x:is>
      </x:c>
      <x:c r="H36" s="5" t="n">
        <x:v>1</x:v>
      </x:c>
      <x:c r="I36" s="5" t="inlineStr">
        <x:is>
          <x:t xml:space="preserve">45 CFR § 164.310(d)(2)(i)</x:t>
        </x:is>
      </x:c>
      <x:c r="J36" s="5" t="inlineStr">
        <x:is>
          <x:t xml:space="preserve">Device and Media Controls — Disposal</x:t>
        </x:is>
      </x:c>
      <x:c r="K36" s="5" t="inlineStr">
        <x:is>
          <x:t xml:space="preserve">Best-fit</x:t>
        </x:is>
      </x:c>
      <x:c r="L36" s="5" t="inlineStr">
        <x:is>
          <x:t xml:space="preserve">The direct HIPAA overlap in this action item is final disposition/disposal; HIPAA does not explicitly name data classification or retention as standalone Security Rule specifications.</x:t>
        </x:is>
      </x:c>
      <x:c r="M36"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6" s="5" t="inlineStr">
        <x:is>
          <x:t xml:space="preserve">Only the disposal portion of the action item maps directly to an express HIPAA implementation specification.</x:t>
        </x:is>
      </x:c>
      <x:c r="O36" s="5" t="inlineStr">
        <x:is>
          <x:t xml:space="preserve">19142.06c1 Organizational.8</x:t>
        </x:is>
      </x:c>
      <x:c r="P36" s="5" t="n">
        <x:v>1</x:v>
      </x:c>
      <x:c r="Q36" s="5" t="n"/>
      <x:c r="R36" s="5" t="inlineStr">
        <x:is>
          <x:t xml:space="preserve">45 C.F.R. § 164.310(d)(2)(i)</x:t>
        </x:is>
      </x:c>
      <x:c r="S36" s="5" t="inlineStr">
        <x:is>
          <x:t xml:space="preserve">Device and Media Controls — Disposal</x:t>
        </x:is>
      </x:c>
      <x:c r="T36" s="5" t="inlineStr">
        <x:is>
          <x:t xml:space="preserve">Implement policies and procedures to address the final disposition of ePHI and the hardware or electronic media on which it is stored.</x:t>
        </x:is>
      </x:c>
      <x:c r="U36" s="5" t="inlineStr">
        <x:is>
          <x:t xml:space="preserve">Required implementation specification</x:t>
        </x:is>
      </x:c>
      <x:c r="V36" s="5" t="inlineStr">
        <x:is>
          <x:t xml:space="preserve">Physical Safeguards</x:t>
        </x:is>
      </x:c>
      <x:c r="W36" s="28" t="inlineStr">
        <x:is>
          <x:t xml:space="preserve">https://www.ecfr.gov/current/title-45/subtitle-A/subchapter-C/part-164/section-164.310</x:t>
        </x:is>
      </x:c>
      <x:c r="X36" s="28" t="inlineStr">
        <x:is>
          <x:t xml:space="preserve">https://www.hhs.gov/hipaa/for-professionals/faq/575/what-does-hipaa-require-of-covered-entities-when-they-dispose-information/index.html</x:t>
        </x:is>
      </x:c>
      <x:c r="Y36" s="5" t="n"/>
      <x:c r="Z36" s="5" t="n"/>
      <x:c r="AA36" s="5" t="n"/>
      <x:c r="AB36" s="5" t="n"/>
      <x:c r="AC36" s="5" t="n"/>
      <x:c r="AD36" s="5" t="n"/>
      <x:c r="AE36" s="5" t="n"/>
      <x:c r="AF36" s="5" t="n"/>
      <x:c r="AG36" s="5" t="n"/>
      <x:c r="AH36" s="5" t="n"/>
      <x:c r="AI36" s="5" t="n"/>
      <x:c r="AJ36" s="5" t="n"/>
      <x:c r="AK36" s="5" t="n"/>
      <x:c r="AL36" s="5" t="n"/>
    </x:row>
    <x:row r="37" ht="30" customHeight="1">
      <x:c r="A37" s="5" t="inlineStr">
        <x:is>
          <x:t xml:space="preserve">HITRUST e1.csv</x:t>
        </x:is>
      </x:c>
      <x:c r="B37" s="5" t="inlineStr">
        <x:is>
          <x:t xml:space="preserve">ER-108</x:t>
        </x:is>
      </x:c>
      <x:c r="C37" s="5" t="inlineStr">
        <x:is>
          <x:t xml:space="preserve">Policy</x:t>
        </x:is>
      </x:c>
      <x:c r="D37" s="5" t="inlineStr">
        <x:is>
          <x:t xml:space="preserve">Data Classification, Retention and Disposal</x:t>
        </x:is>
      </x:c>
      <x:c r="E37" s="5" t="inlineStr">
        <x:is>
          <x:t xml:space="preserve">REQ-66-HIPAA</x:t>
        </x:is>
      </x:c>
      <x:c r="F37" s="5" t="inlineStr">
        <x:is>
          <x:t xml:space="preserve">0305.09q1Organizational.12</x:t>
        </x:is>
      </x:c>
      <x:c r="G37" s="5" t="inlineStr">
        <x:is>
          <x:t xml:space="preserve">Many:Many</x:t>
        </x:is>
      </x:c>
      <x:c r="H37" s="5" t="n">
        <x:v>1</x:v>
      </x:c>
      <x:c r="I37" s="5" t="inlineStr">
        <x:is>
          <x:t xml:space="preserve">45 CFR § 164.310(d)(2)(ii)</x:t>
        </x:is>
      </x:c>
      <x:c r="J37" s="5" t="inlineStr">
        <x:is>
          <x:t xml:space="preserve">Device and Media Controls — Media Re-use</x:t>
        </x:is>
      </x:c>
      <x:c r="K37" s="5" t="inlineStr">
        <x:is>
          <x:t xml:space="preserve">Best-fit</x:t>
        </x:is>
      </x:c>
      <x:c r="L37" s="5" t="inlineStr">
        <x:is>
          <x:t xml:space="preserve">Within the data-retention/disposal action item, this internal control is best matched to sanitization/reuse of media; HIPAA does not separately name classification or retention.</x:t>
        </x:is>
      </x:c>
      <x:c r="M37"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7" s="5" t="inlineStr">
        <x:is>
          <x:t xml:space="preserve">Only the media-reuse/sanitization aspect maps directly to an express HIPAA specification.</x:t>
        </x:is>
      </x:c>
      <x:c r="O37" s="5" t="inlineStr">
        <x:is>
          <x:t xml:space="preserve">0305.09q1 Organizational.12</x:t>
        </x:is>
      </x:c>
      <x:c r="P37" s="5" t="n">
        <x:v>1</x:v>
      </x:c>
      <x:c r="Q37" s="5" t="n"/>
      <x:c r="R37" s="5" t="inlineStr">
        <x:is>
          <x:t xml:space="preserve">45 C.F.R. § 164.310(d)(2)(ii)</x:t>
        </x:is>
      </x:c>
      <x:c r="S37" s="5" t="inlineStr">
        <x:is>
          <x:t xml:space="preserve">Device and Media Controls — Media Re-use</x:t>
        </x:is>
      </x:c>
      <x:c r="T37" s="5" t="inlineStr">
        <x:is>
          <x:t xml:space="preserve">Implement procedures for removing ePHI from electronic media before the media are made available for re-use.</x:t>
        </x:is>
      </x:c>
      <x:c r="U37" s="5" t="inlineStr">
        <x:is>
          <x:t xml:space="preserve">Required implementation specification</x:t>
        </x:is>
      </x:c>
      <x:c r="V37" s="5" t="inlineStr">
        <x:is>
          <x:t xml:space="preserve">Physical Safeguards</x:t>
        </x:is>
      </x:c>
      <x:c r="W37" s="28" t="inlineStr">
        <x:is>
          <x:t xml:space="preserve">https://www.ecfr.gov/current/title-45/subtitle-A/subchapter-C/part-164/section-164.310</x:t>
        </x:is>
      </x:c>
      <x:c r="X37" s="28" t="inlineStr">
        <x:is>
          <x:t xml:space="preserve">https://www.hhs.gov/hipaa/for-professionals/faq/575/what-does-hipaa-require-of-covered-entities-when-they-dispose-information/index.html</x:t>
        </x:is>
      </x:c>
      <x:c r="Y37" s="5" t="n"/>
      <x:c r="Z37" s="5" t="n"/>
      <x:c r="AA37" s="5" t="n"/>
      <x:c r="AB37" s="5" t="n"/>
      <x:c r="AC37" s="5" t="n"/>
      <x:c r="AD37" s="5" t="n"/>
      <x:c r="AE37" s="5" t="n"/>
      <x:c r="AF37" s="5" t="n"/>
      <x:c r="AG37" s="5" t="n"/>
      <x:c r="AH37" s="5" t="n"/>
      <x:c r="AI37" s="5" t="n"/>
      <x:c r="AJ37" s="5" t="n"/>
      <x:c r="AK37" s="5" t="n"/>
      <x:c r="AL37" s="5" t="n"/>
    </x:row>
    <x:row r="38" ht="30" customHeight="1">
      <x:c r="A38" s="5" t="inlineStr">
        <x:is>
          <x:t xml:space="preserve">HITRUST e1.csv</x:t>
        </x:is>
      </x:c>
      <x:c r="B38" s="5" t="inlineStr">
        <x:is>
          <x:t xml:space="preserve">ER-108</x:t>
        </x:is>
      </x:c>
      <x:c r="C38" s="5" t="inlineStr">
        <x:is>
          <x:t xml:space="preserve">Policy</x:t>
        </x:is>
      </x:c>
      <x:c r="D38" s="5" t="inlineStr">
        <x:is>
          <x:t xml:space="preserve">Data Classification, Retention and Disposal</x:t>
        </x:is>
      </x:c>
      <x:c r="E38" s="5" t="inlineStr">
        <x:is>
          <x:t xml:space="preserve">REQ-66-HIPAA</x:t>
        </x:is>
      </x:c>
      <x:c r="F38" s="5" t="inlineStr">
        <x:is>
          <x:t xml:space="preserve">1239.09aa1System.4</x:t>
        </x:is>
      </x:c>
      <x:c r="G38" s="5" t="inlineStr">
        <x:is>
          <x:t xml:space="preserve">Many:Many</x:t>
        </x:is>
      </x:c>
      <x:c r="H38" s="5" t="n">
        <x:v>1</x:v>
      </x:c>
      <x:c r="I38" s="5" t="inlineStr">
        <x:is>
          <x:t xml:space="preserve">45 CFR § 164.310(d)(2)(ii)</x:t>
        </x:is>
      </x:c>
      <x:c r="J38" s="5" t="inlineStr">
        <x:is>
          <x:t xml:space="preserve">Device and Media Controls — Media Re-use</x:t>
        </x:is>
      </x:c>
      <x:c r="K38" s="5" t="inlineStr">
        <x:is>
          <x:t xml:space="preserve">Best-fit</x:t>
        </x:is>
      </x:c>
      <x:c r="L38" s="5" t="inlineStr">
        <x:is>
          <x:t xml:space="preserve">Within the data-retention/disposal action item, this internal control is best matched to sanitization/reuse of media; HIPAA does not separately name classification or retention.</x:t>
        </x:is>
      </x:c>
      <x:c r="M38"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8" s="5" t="inlineStr">
        <x:is>
          <x:t xml:space="preserve">Only the media-reuse/sanitization aspect maps directly to an express HIPAA specification.</x:t>
        </x:is>
      </x:c>
      <x:c r="O38" s="5" t="inlineStr">
        <x:is>
          <x:t xml:space="preserve">1239.09aa1 System.4</x:t>
        </x:is>
      </x:c>
      <x:c r="P38" s="5" t="n">
        <x:v>1</x:v>
      </x:c>
      <x:c r="Q38" s="5" t="n"/>
      <x:c r="R38" s="5" t="inlineStr">
        <x:is>
          <x:t xml:space="preserve">45 C.F.R. § 164.310(d)(2)(ii)</x:t>
        </x:is>
      </x:c>
      <x:c r="S38" s="5" t="inlineStr">
        <x:is>
          <x:t xml:space="preserve">Device and Media Controls — Media Re-use</x:t>
        </x:is>
      </x:c>
      <x:c r="T38" s="5" t="inlineStr">
        <x:is>
          <x:t xml:space="preserve">Implement procedures for removing ePHI from electronic media before the media are made available for re-use.</x:t>
        </x:is>
      </x:c>
      <x:c r="U38" s="5" t="inlineStr">
        <x:is>
          <x:t xml:space="preserve">Required implementation specification</x:t>
        </x:is>
      </x:c>
      <x:c r="V38" s="5" t="inlineStr">
        <x:is>
          <x:t xml:space="preserve">Physical Safeguards</x:t>
        </x:is>
      </x:c>
      <x:c r="W38" s="28" t="inlineStr">
        <x:is>
          <x:t xml:space="preserve">https://www.ecfr.gov/current/title-45/subtitle-A/subchapter-C/part-164/section-164.310</x:t>
        </x:is>
      </x:c>
      <x:c r="X38" s="28" t="inlineStr">
        <x:is>
          <x:t xml:space="preserve">https://www.hhs.gov/hipaa/for-professionals/faq/575/what-does-hipaa-require-of-covered-entities-when-they-dispose-information/index.html</x:t>
        </x:is>
      </x:c>
      <x:c r="Y38" s="5" t="n"/>
      <x:c r="Z38" s="5" t="n"/>
      <x:c r="AA38" s="5" t="n"/>
      <x:c r="AB38" s="5" t="n"/>
      <x:c r="AC38" s="5" t="n"/>
      <x:c r="AD38" s="5" t="n"/>
      <x:c r="AE38" s="5" t="n"/>
      <x:c r="AF38" s="5" t="n"/>
      <x:c r="AG38" s="5" t="n"/>
      <x:c r="AH38" s="5" t="n"/>
      <x:c r="AI38" s="5" t="n"/>
      <x:c r="AJ38" s="5" t="n"/>
      <x:c r="AK38" s="5" t="n"/>
      <x:c r="AL38" s="5" t="n"/>
    </x:row>
    <x:row r="39" ht="30" customHeight="1">
      <x:c r="A39" s="5" t="inlineStr">
        <x:is>
          <x:t xml:space="preserve">HITRUST e1.csv</x:t>
        </x:is>
      </x:c>
      <x:c r="B39" s="5" t="inlineStr">
        <x:is>
          <x:t xml:space="preserve">ER-108</x:t>
        </x:is>
      </x:c>
      <x:c r="C39" s="5" t="inlineStr">
        <x:is>
          <x:t xml:space="preserve">Policy</x:t>
        </x:is>
      </x:c>
      <x:c r="D39" s="5" t="inlineStr">
        <x:is>
          <x:t xml:space="preserve">Data Classification, Retention and Disposal</x:t>
        </x:is>
      </x:c>
      <x:c r="E39" s="5" t="inlineStr">
        <x:is>
          <x:t xml:space="preserve">REQ-66-HIPAA</x:t>
        </x:is>
      </x:c>
      <x:c r="F39" s="5" t="inlineStr">
        <x:is>
          <x:t xml:space="preserve">1616.09l1Organizational.16</x:t>
        </x:is>
      </x:c>
      <x:c r="G39" s="5" t="inlineStr">
        <x:is>
          <x:t xml:space="preserve">Many:Many</x:t>
        </x:is>
      </x:c>
      <x:c r="H39" s="5" t="n">
        <x:v>1</x:v>
      </x:c>
      <x:c r="I39" s="5" t="inlineStr">
        <x:is>
          <x:t xml:space="preserve">45 CFR § 164.310(d)(2)(ii)</x:t>
        </x:is>
      </x:c>
      <x:c r="J39" s="5" t="inlineStr">
        <x:is>
          <x:t xml:space="preserve">Device and Media Controls — Media Re-use</x:t>
        </x:is>
      </x:c>
      <x:c r="K39" s="5" t="inlineStr">
        <x:is>
          <x:t xml:space="preserve">Best-fit</x:t>
        </x:is>
      </x:c>
      <x:c r="L39" s="5" t="inlineStr">
        <x:is>
          <x:t xml:space="preserve">Within the data-retention/disposal action item, this internal control is best matched to sanitization/reuse of media; HIPAA does not separately name classification or retention.</x:t>
        </x:is>
      </x:c>
      <x:c r="M39"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39" s="5" t="inlineStr">
        <x:is>
          <x:t xml:space="preserve">Only the media-reuse/sanitization aspect maps directly to an express HIPAA specification.</x:t>
        </x:is>
      </x:c>
      <x:c r="O39" s="5" t="inlineStr">
        <x:is>
          <x:t xml:space="preserve">1616.09l1 Organizational.16</x:t>
        </x:is>
      </x:c>
      <x:c r="P39" s="5" t="n">
        <x:v>1</x:v>
      </x:c>
      <x:c r="Q39" s="5" t="n"/>
      <x:c r="R39" s="5" t="inlineStr">
        <x:is>
          <x:t xml:space="preserve">45 C.F.R. § 164.310(d)(2)(ii)</x:t>
        </x:is>
      </x:c>
      <x:c r="S39" s="5" t="inlineStr">
        <x:is>
          <x:t xml:space="preserve">Device and Media Controls — Media Re-use</x:t>
        </x:is>
      </x:c>
      <x:c r="T39" s="5" t="inlineStr">
        <x:is>
          <x:t xml:space="preserve">Implement procedures for removing ePHI from electronic media before the media are made available for re-use.</x:t>
        </x:is>
      </x:c>
      <x:c r="U39" s="5" t="inlineStr">
        <x:is>
          <x:t xml:space="preserve">Required implementation specification</x:t>
        </x:is>
      </x:c>
      <x:c r="V39" s="5" t="inlineStr">
        <x:is>
          <x:t xml:space="preserve">Physical Safeguards</x:t>
        </x:is>
      </x:c>
      <x:c r="W39" s="28" t="inlineStr">
        <x:is>
          <x:t xml:space="preserve">https://www.ecfr.gov/current/title-45/subtitle-A/subchapter-C/part-164/section-164.310</x:t>
        </x:is>
      </x:c>
      <x:c r="X39" s="28" t="inlineStr">
        <x:is>
          <x:t xml:space="preserve">https://www.hhs.gov/hipaa/for-professionals/faq/575/what-does-hipaa-require-of-covered-entities-when-they-dispose-information/index.html</x:t>
        </x:is>
      </x:c>
      <x:c r="Y39" s="5" t="n"/>
      <x:c r="Z39" s="5" t="n"/>
      <x:c r="AA39" s="5" t="n"/>
      <x:c r="AB39" s="5" t="n"/>
      <x:c r="AC39" s="5" t="n"/>
      <x:c r="AD39" s="5" t="n"/>
      <x:c r="AE39" s="5" t="n"/>
      <x:c r="AF39" s="5" t="n"/>
      <x:c r="AG39" s="5" t="n"/>
      <x:c r="AH39" s="5" t="n"/>
      <x:c r="AI39" s="5" t="n"/>
      <x:c r="AJ39" s="5" t="n"/>
      <x:c r="AK39" s="5" t="n"/>
      <x:c r="AL39" s="5" t="n"/>
    </x:row>
    <x:row r="40" ht="30" customHeight="1">
      <x:c r="A40" s="5" t="inlineStr">
        <x:is>
          <x:t xml:space="preserve">HITRUST e1.csv</x:t>
        </x:is>
      </x:c>
      <x:c r="B40" s="5" t="inlineStr">
        <x:is>
          <x:t xml:space="preserve">ER-108</x:t>
        </x:is>
      </x:c>
      <x:c r="C40" s="5" t="inlineStr">
        <x:is>
          <x:t xml:space="preserve">Policy</x:t>
        </x:is>
      </x:c>
      <x:c r="D40" s="5" t="inlineStr">
        <x:is>
          <x:t xml:space="preserve">Data Classification, Retention and Disposal</x:t>
        </x:is>
      </x:c>
      <x:c r="E40" s="5" t="inlineStr">
        <x:is>
          <x:t xml:space="preserve">REQ-66-HIPAA</x:t>
        </x:is>
      </x:c>
      <x:c r="F40" s="5" t="inlineStr">
        <x:is>
          <x:t xml:space="preserve">1767.07d1Organizational.2</x:t>
        </x:is>
      </x:c>
      <x:c r="G40" s="5" t="inlineStr">
        <x:is>
          <x:t xml:space="preserve">Many:Many</x:t>
        </x:is>
      </x:c>
      <x:c r="H40" s="5" t="n">
        <x:v>1</x:v>
      </x:c>
      <x:c r="I40" s="5" t="inlineStr">
        <x:is>
          <x:t xml:space="preserve">45 CFR § 164.310(d)(2)(ii)</x:t>
        </x:is>
      </x:c>
      <x:c r="J40" s="5" t="inlineStr">
        <x:is>
          <x:t xml:space="preserve">Device and Media Controls — Media Re-use</x:t>
        </x:is>
      </x:c>
      <x:c r="K40" s="5" t="inlineStr">
        <x:is>
          <x:t xml:space="preserve">Best-fit</x:t>
        </x:is>
      </x:c>
      <x:c r="L40" s="5" t="inlineStr">
        <x:is>
          <x:t xml:space="preserve">Within the data-retention/disposal action item, this internal control is best matched to sanitization/reuse of media; HIPAA does not separately name classification or retention.</x:t>
        </x:is>
      </x:c>
      <x:c r="M40"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40" s="5" t="inlineStr">
        <x:is>
          <x:t xml:space="preserve">Only the media-reuse/sanitization aspect maps directly to an express HIPAA specification.</x:t>
        </x:is>
      </x:c>
      <x:c r="O40" s="5" t="inlineStr">
        <x:is>
          <x:t xml:space="preserve">1767.07d1 Organizational.2</x:t>
        </x:is>
      </x:c>
      <x:c r="P40" s="5" t="n">
        <x:v>1</x:v>
      </x:c>
      <x:c r="Q40" s="5" t="n"/>
      <x:c r="R40" s="5" t="inlineStr">
        <x:is>
          <x:t xml:space="preserve">45 C.F.R. § 164.310(d)(2)(ii)</x:t>
        </x:is>
      </x:c>
      <x:c r="S40" s="5" t="inlineStr">
        <x:is>
          <x:t xml:space="preserve">Device and Media Controls — Media Re-use</x:t>
        </x:is>
      </x:c>
      <x:c r="T40" s="5" t="inlineStr">
        <x:is>
          <x:t xml:space="preserve">Implement procedures for removing ePHI from electronic media before the media are made available for re-use.</x:t>
        </x:is>
      </x:c>
      <x:c r="U40" s="5" t="inlineStr">
        <x:is>
          <x:t xml:space="preserve">Required implementation specification</x:t>
        </x:is>
      </x:c>
      <x:c r="V40" s="5" t="inlineStr">
        <x:is>
          <x:t xml:space="preserve">Physical Safeguards</x:t>
        </x:is>
      </x:c>
      <x:c r="W40" s="28" t="inlineStr">
        <x:is>
          <x:t xml:space="preserve">https://www.ecfr.gov/current/title-45/subtitle-A/subchapter-C/part-164/section-164.310</x:t>
        </x:is>
      </x:c>
      <x:c r="X40" s="28" t="inlineStr">
        <x:is>
          <x:t xml:space="preserve">https://www.hhs.gov/hipaa/for-professionals/faq/575/what-does-hipaa-require-of-covered-entities-when-they-dispose-information/index.html</x:t>
        </x:is>
      </x:c>
      <x:c r="Y40" s="5" t="n"/>
      <x:c r="Z40" s="5" t="n"/>
      <x:c r="AA40" s="5" t="n"/>
      <x:c r="AB40" s="5" t="n"/>
      <x:c r="AC40" s="5" t="n"/>
      <x:c r="AD40" s="5" t="n"/>
      <x:c r="AE40" s="5" t="n"/>
      <x:c r="AF40" s="5" t="n"/>
      <x:c r="AG40" s="5" t="n"/>
      <x:c r="AH40" s="5" t="n"/>
      <x:c r="AI40" s="5" t="n"/>
      <x:c r="AJ40" s="5" t="n"/>
      <x:c r="AK40" s="5" t="n"/>
      <x:c r="AL40" s="5" t="n"/>
    </x:row>
    <x:row r="41" ht="30" customHeight="1">
      <x:c r="A41" s="5" t="inlineStr">
        <x:is>
          <x:t xml:space="preserve">HITRUST e1.csv</x:t>
        </x:is>
      </x:c>
      <x:c r="B41" s="5" t="inlineStr">
        <x:is>
          <x:t xml:space="preserve">ER-108</x:t>
        </x:is>
      </x:c>
      <x:c r="C41" s="5" t="inlineStr">
        <x:is>
          <x:t xml:space="preserve">Policy</x:t>
        </x:is>
      </x:c>
      <x:c r="D41" s="5" t="inlineStr">
        <x:is>
          <x:t xml:space="preserve">Data Classification, Retention and Disposal</x:t>
        </x:is>
      </x:c>
      <x:c r="E41" s="5" t="inlineStr">
        <x:is>
          <x:t xml:space="preserve">REQ-66-HIPAA</x:t>
        </x:is>
      </x:c>
      <x:c r="F41" s="5" t="inlineStr">
        <x:is>
          <x:t xml:space="preserve">19142.06c1Organizational.8</x:t>
        </x:is>
      </x:c>
      <x:c r="G41" s="5" t="inlineStr">
        <x:is>
          <x:t xml:space="preserve">Many:Many</x:t>
        </x:is>
      </x:c>
      <x:c r="H41" s="5" t="n">
        <x:v>1</x:v>
      </x:c>
      <x:c r="I41" s="5" t="inlineStr">
        <x:is>
          <x:t xml:space="preserve">45 CFR § 164.310(d)(2)(ii)</x:t>
        </x:is>
      </x:c>
      <x:c r="J41" s="5" t="inlineStr">
        <x:is>
          <x:t xml:space="preserve">Device and Media Controls — Media Re-use</x:t>
        </x:is>
      </x:c>
      <x:c r="K41" s="5" t="inlineStr">
        <x:is>
          <x:t xml:space="preserve">Best-fit</x:t>
        </x:is>
      </x:c>
      <x:c r="L41" s="5" t="inlineStr">
        <x:is>
          <x:t xml:space="preserve">Within the data-retention/disposal action item, this internal control is best matched to sanitization/reuse of media; HIPAA does not separately name classification or retention.</x:t>
        </x:is>
      </x:c>
      <x:c r="M41"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N41" s="5" t="inlineStr">
        <x:is>
          <x:t xml:space="preserve">Only the media-reuse/sanitization aspect maps directly to an express HIPAA specification.</x:t>
        </x:is>
      </x:c>
      <x:c r="O41" s="5" t="inlineStr">
        <x:is>
          <x:t xml:space="preserve">19142.06c1 Organizational.8</x:t>
        </x:is>
      </x:c>
      <x:c r="P41" s="5" t="n">
        <x:v>1</x:v>
      </x:c>
      <x:c r="Q41" s="5" t="n"/>
      <x:c r="R41" s="5" t="inlineStr">
        <x:is>
          <x:t xml:space="preserve">45 C.F.R. § 164.310(d)(2)(ii)</x:t>
        </x:is>
      </x:c>
      <x:c r="S41" s="5" t="inlineStr">
        <x:is>
          <x:t xml:space="preserve">Device and Media Controls — Media Re-use</x:t>
        </x:is>
      </x:c>
      <x:c r="T41" s="5" t="inlineStr">
        <x:is>
          <x:t xml:space="preserve">Implement procedures for removing ePHI from electronic media before the media are made available for re-use.</x:t>
        </x:is>
      </x:c>
      <x:c r="U41" s="5" t="inlineStr">
        <x:is>
          <x:t xml:space="preserve">Required implementation specification</x:t>
        </x:is>
      </x:c>
      <x:c r="V41" s="5" t="inlineStr">
        <x:is>
          <x:t xml:space="preserve">Physical Safeguards</x:t>
        </x:is>
      </x:c>
      <x:c r="W41" s="28" t="inlineStr">
        <x:is>
          <x:t xml:space="preserve">https://www.ecfr.gov/current/title-45/subtitle-A/subchapter-C/part-164/section-164.310</x:t>
        </x:is>
      </x:c>
      <x:c r="X41" s="28" t="inlineStr">
        <x:is>
          <x:t xml:space="preserve">https://www.hhs.gov/hipaa/for-professionals/faq/575/what-does-hipaa-require-of-covered-entities-when-they-dispose-information/index.html</x:t>
        </x:is>
      </x:c>
      <x:c r="Y41" s="5" t="n"/>
      <x:c r="Z41" s="5" t="n"/>
      <x:c r="AA41" s="5" t="n"/>
      <x:c r="AB41" s="5" t="n"/>
      <x:c r="AC41" s="5" t="n"/>
      <x:c r="AD41" s="5" t="n"/>
      <x:c r="AE41" s="5" t="n"/>
      <x:c r="AF41" s="5" t="n"/>
      <x:c r="AG41" s="5" t="n"/>
      <x:c r="AH41" s="5" t="n"/>
      <x:c r="AI41" s="5" t="n"/>
      <x:c r="AJ41" s="5" t="n"/>
      <x:c r="AK41" s="5" t="n"/>
      <x:c r="AL41" s="5" t="n"/>
    </x:row>
    <x:row r="42" ht="30" customHeight="1">
      <x:c r="A42" s="5" t="inlineStr">
        <x:is>
          <x:t xml:space="preserve">HITRUST e1.csv</x:t>
        </x:is>
      </x:c>
      <x:c r="B42" s="5" t="inlineStr">
        <x:is>
          <x:t xml:space="preserve">ER-108</x:t>
        </x:is>
      </x:c>
      <x:c r="C42" s="5" t="inlineStr">
        <x:is>
          <x:t xml:space="preserve">Policy</x:t>
        </x:is>
      </x:c>
      <x:c r="D42" s="5" t="inlineStr">
        <x:is>
          <x:t xml:space="preserve">Data Classification, Retention and Disposal</x:t>
        </x:is>
      </x:c>
      <x:c r="E42" s="5" t="inlineStr">
        <x:is>
          <x:t xml:space="preserve">REQ-67-HIPAA</x:t>
        </x:is>
      </x:c>
      <x:c r="F42" s="5" t="inlineStr">
        <x:is>
          <x:t xml:space="preserve">0305.09q1Organizational.12</x:t>
        </x:is>
      </x:c>
      <x:c r="G42" s="5" t="inlineStr">
        <x:is>
          <x:t xml:space="preserve">Many:Many</x:t>
        </x:is>
      </x:c>
      <x:c r="H42" s="5" t="n">
        <x:v>1</x:v>
      </x:c>
      <x:c r="I42" s="5" t="inlineStr">
        <x:is>
          <x:t xml:space="preserve">45 CFR § 164.310(d)(2)(i)</x:t>
        </x:is>
      </x:c>
      <x:c r="J42" s="5" t="inlineStr">
        <x:is>
          <x:t xml:space="preserve">Device and Media Controls — Disposal</x:t>
        </x:is>
      </x:c>
      <x:c r="K42" s="5" t="inlineStr">
        <x:is>
          <x:t xml:space="preserve">Best-fit</x:t>
        </x:is>
      </x:c>
      <x:c r="L42" s="5" t="inlineStr">
        <x:is>
          <x:t xml:space="preserve">In this overlap set, the control appears through a data-retention/disposal action item, so disposal is the closest direct HIPAA citation.</x:t>
        </x:is>
      </x:c>
      <x:c r="M42"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2" s="5" t="inlineStr">
        <x:is>
          <x:t xml:space="preserve">This same internal control also appears on customer-contract rows elsewhere in the uploaded spreadsheets, but that contractual context is not the shared action item here.</x:t>
        </x:is>
      </x:c>
      <x:c r="O42" s="5" t="inlineStr">
        <x:is>
          <x:t xml:space="preserve">0305.09q1 Organizational.12</x:t>
        </x:is>
      </x:c>
      <x:c r="P42" s="5" t="n">
        <x:v>1</x:v>
      </x:c>
      <x:c r="Q42" s="5" t="n"/>
      <x:c r="R42" s="5" t="inlineStr">
        <x:is>
          <x:t xml:space="preserve">45 C.F.R. § 164.310(d)(2)(i)</x:t>
        </x:is>
      </x:c>
      <x:c r="S42" s="5" t="inlineStr">
        <x:is>
          <x:t xml:space="preserve">Device and Media Controls — Disposal</x:t>
        </x:is>
      </x:c>
      <x:c r="T42" s="5" t="inlineStr">
        <x:is>
          <x:t xml:space="preserve">Implement policies and procedures to address the final disposition of ePHI and the hardware or electronic media on which it is stored.</x:t>
        </x:is>
      </x:c>
      <x:c r="U42" s="5" t="inlineStr">
        <x:is>
          <x:t xml:space="preserve">Required implementation specification</x:t>
        </x:is>
      </x:c>
      <x:c r="V42" s="5" t="inlineStr">
        <x:is>
          <x:t xml:space="preserve">Physical Safeguards</x:t>
        </x:is>
      </x:c>
      <x:c r="W42" s="28" t="inlineStr">
        <x:is>
          <x:t xml:space="preserve">https://www.ecfr.gov/current/title-45/subtitle-A/subchapter-C/part-164/section-164.310</x:t>
        </x:is>
      </x:c>
      <x:c r="X42" s="28" t="inlineStr">
        <x:is>
          <x:t xml:space="preserve">https://www.hhs.gov/hipaa/for-professionals/faq/575/what-does-hipaa-require-of-covered-entities-when-they-dispose-information/index.html</x:t>
        </x:is>
      </x:c>
      <x:c r="Y42" s="5" t="n"/>
      <x:c r="Z42" s="5" t="n"/>
      <x:c r="AA42" s="5" t="n"/>
      <x:c r="AB42" s="5" t="n"/>
      <x:c r="AC42" s="5" t="n"/>
      <x:c r="AD42" s="5" t="n"/>
      <x:c r="AE42" s="5" t="n"/>
      <x:c r="AF42" s="5" t="n"/>
      <x:c r="AG42" s="5" t="n"/>
      <x:c r="AH42" s="5" t="n"/>
      <x:c r="AI42" s="5" t="n"/>
      <x:c r="AJ42" s="5" t="n"/>
      <x:c r="AK42" s="5" t="n"/>
      <x:c r="AL42" s="5" t="n"/>
    </x:row>
    <x:row r="43" ht="30" customHeight="1">
      <x:c r="A43" s="5" t="inlineStr">
        <x:is>
          <x:t xml:space="preserve">HITRUST e1.csv</x:t>
        </x:is>
      </x:c>
      <x:c r="B43" s="5" t="inlineStr">
        <x:is>
          <x:t xml:space="preserve">ER-108</x:t>
        </x:is>
      </x:c>
      <x:c r="C43" s="5" t="inlineStr">
        <x:is>
          <x:t xml:space="preserve">Policy</x:t>
        </x:is>
      </x:c>
      <x:c r="D43" s="5" t="inlineStr">
        <x:is>
          <x:t xml:space="preserve">Data Classification, Retention and Disposal</x:t>
        </x:is>
      </x:c>
      <x:c r="E43" s="5" t="inlineStr">
        <x:is>
          <x:t xml:space="preserve">REQ-67-HIPAA</x:t>
        </x:is>
      </x:c>
      <x:c r="F43" s="5" t="inlineStr">
        <x:is>
          <x:t xml:space="preserve">1239.09aa1System.4</x:t>
        </x:is>
      </x:c>
      <x:c r="G43" s="5" t="inlineStr">
        <x:is>
          <x:t xml:space="preserve">Many:Many</x:t>
        </x:is>
      </x:c>
      <x:c r="H43" s="5" t="n">
        <x:v>1</x:v>
      </x:c>
      <x:c r="I43" s="5" t="inlineStr">
        <x:is>
          <x:t xml:space="preserve">45 CFR § 164.310(d)(2)(i)</x:t>
        </x:is>
      </x:c>
      <x:c r="J43" s="5" t="inlineStr">
        <x:is>
          <x:t xml:space="preserve">Device and Media Controls — Disposal</x:t>
        </x:is>
      </x:c>
      <x:c r="K43" s="5" t="inlineStr">
        <x:is>
          <x:t xml:space="preserve">Best-fit</x:t>
        </x:is>
      </x:c>
      <x:c r="L43" s="5" t="inlineStr">
        <x:is>
          <x:t xml:space="preserve">In this overlap set, the control appears through a data-retention/disposal action item, so disposal is the closest direct HIPAA citation.</x:t>
        </x:is>
      </x:c>
      <x:c r="M43"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3" s="5" t="inlineStr">
        <x:is>
          <x:t xml:space="preserve">This same internal control also appears on customer-contract rows elsewhere in the uploaded spreadsheets, but that contractual context is not the shared action item here.</x:t>
        </x:is>
      </x:c>
      <x:c r="O43" s="5" t="inlineStr">
        <x:is>
          <x:t xml:space="preserve">1239.09aa1 System.4</x:t>
        </x:is>
      </x:c>
      <x:c r="P43" s="5" t="n">
        <x:v>1</x:v>
      </x:c>
      <x:c r="Q43" s="5" t="n"/>
      <x:c r="R43" s="5" t="inlineStr">
        <x:is>
          <x:t xml:space="preserve">45 C.F.R. § 164.310(d)(2)(i)</x:t>
        </x:is>
      </x:c>
      <x:c r="S43" s="5" t="inlineStr">
        <x:is>
          <x:t xml:space="preserve">Device and Media Controls — Disposal</x:t>
        </x:is>
      </x:c>
      <x:c r="T43" s="5" t="inlineStr">
        <x:is>
          <x:t xml:space="preserve">Implement policies and procedures to address the final disposition of ePHI and the hardware or electronic media on which it is stored.</x:t>
        </x:is>
      </x:c>
      <x:c r="U43" s="5" t="inlineStr">
        <x:is>
          <x:t xml:space="preserve">Required implementation specification</x:t>
        </x:is>
      </x:c>
      <x:c r="V43" s="5" t="inlineStr">
        <x:is>
          <x:t xml:space="preserve">Physical Safeguards</x:t>
        </x:is>
      </x:c>
      <x:c r="W43" s="28" t="inlineStr">
        <x:is>
          <x:t xml:space="preserve">https://www.ecfr.gov/current/title-45/subtitle-A/subchapter-C/part-164/section-164.310</x:t>
        </x:is>
      </x:c>
      <x:c r="X43" s="28" t="inlineStr">
        <x:is>
          <x:t xml:space="preserve">https://www.hhs.gov/hipaa/for-professionals/faq/575/what-does-hipaa-require-of-covered-entities-when-they-dispose-information/index.html</x:t>
        </x:is>
      </x:c>
      <x:c r="Y43" s="5" t="n"/>
      <x:c r="Z43" s="5" t="n"/>
      <x:c r="AA43" s="5" t="n"/>
      <x:c r="AB43" s="5" t="n"/>
      <x:c r="AC43" s="5" t="n"/>
      <x:c r="AD43" s="5" t="n"/>
      <x:c r="AE43" s="5" t="n"/>
      <x:c r="AF43" s="5" t="n"/>
      <x:c r="AG43" s="5" t="n"/>
      <x:c r="AH43" s="5" t="n"/>
      <x:c r="AI43" s="5" t="n"/>
      <x:c r="AJ43" s="5" t="n"/>
      <x:c r="AK43" s="5" t="n"/>
      <x:c r="AL43" s="5" t="n"/>
    </x:row>
    <x:row r="44" ht="30" customHeight="1">
      <x:c r="A44" s="5" t="inlineStr">
        <x:is>
          <x:t xml:space="preserve">HITRUST e1.csv</x:t>
        </x:is>
      </x:c>
      <x:c r="B44" s="5" t="inlineStr">
        <x:is>
          <x:t xml:space="preserve">ER-108</x:t>
        </x:is>
      </x:c>
      <x:c r="C44" s="5" t="inlineStr">
        <x:is>
          <x:t xml:space="preserve">Policy</x:t>
        </x:is>
      </x:c>
      <x:c r="D44" s="5" t="inlineStr">
        <x:is>
          <x:t xml:space="preserve">Data Classification, Retention and Disposal</x:t>
        </x:is>
      </x:c>
      <x:c r="E44" s="5" t="inlineStr">
        <x:is>
          <x:t xml:space="preserve">REQ-67-HIPAA</x:t>
        </x:is>
      </x:c>
      <x:c r="F44" s="5" t="inlineStr">
        <x:is>
          <x:t xml:space="preserve">1616.09l1Organizational.16</x:t>
        </x:is>
      </x:c>
      <x:c r="G44" s="5" t="inlineStr">
        <x:is>
          <x:t xml:space="preserve">Many:Many</x:t>
        </x:is>
      </x:c>
      <x:c r="H44" s="5" t="n">
        <x:v>1</x:v>
      </x:c>
      <x:c r="I44" s="5" t="inlineStr">
        <x:is>
          <x:t xml:space="preserve">45 CFR § 164.310(d)(2)(i)</x:t>
        </x:is>
      </x:c>
      <x:c r="J44" s="5" t="inlineStr">
        <x:is>
          <x:t xml:space="preserve">Device and Media Controls — Disposal</x:t>
        </x:is>
      </x:c>
      <x:c r="K44" s="5" t="inlineStr">
        <x:is>
          <x:t xml:space="preserve">Best-fit</x:t>
        </x:is>
      </x:c>
      <x:c r="L44" s="5" t="inlineStr">
        <x:is>
          <x:t xml:space="preserve">In this overlap set, the control appears through a data-retention/disposal action item, so disposal is the closest direct HIPAA citation.</x:t>
        </x:is>
      </x:c>
      <x:c r="M44"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4" s="5" t="inlineStr">
        <x:is>
          <x:t xml:space="preserve">This same internal control also appears on customer-contract rows elsewhere in the uploaded spreadsheets, but that contractual context is not the shared action item here.</x:t>
        </x:is>
      </x:c>
      <x:c r="O44" s="5" t="inlineStr">
        <x:is>
          <x:t xml:space="preserve">1616.09l1 Organizational.16</x:t>
        </x:is>
      </x:c>
      <x:c r="P44" s="5" t="n">
        <x:v>1</x:v>
      </x:c>
      <x:c r="Q44" s="5" t="n"/>
      <x:c r="R44" s="5" t="inlineStr">
        <x:is>
          <x:t xml:space="preserve">45 C.F.R. § 164.310(d)(2)(i)</x:t>
        </x:is>
      </x:c>
      <x:c r="S44" s="5" t="inlineStr">
        <x:is>
          <x:t xml:space="preserve">Device and Media Controls — Disposal</x:t>
        </x:is>
      </x:c>
      <x:c r="T44" s="5" t="inlineStr">
        <x:is>
          <x:t xml:space="preserve">Implement policies and procedures to address the final disposition of ePHI and the hardware or electronic media on which it is stored.</x:t>
        </x:is>
      </x:c>
      <x:c r="U44" s="5" t="inlineStr">
        <x:is>
          <x:t xml:space="preserve">Required implementation specification</x:t>
        </x:is>
      </x:c>
      <x:c r="V44" s="5" t="inlineStr">
        <x:is>
          <x:t xml:space="preserve">Physical Safeguards</x:t>
        </x:is>
      </x:c>
      <x:c r="W44" s="28" t="inlineStr">
        <x:is>
          <x:t xml:space="preserve">https://www.ecfr.gov/current/title-45/subtitle-A/subchapter-C/part-164/section-164.310</x:t>
        </x:is>
      </x:c>
      <x:c r="X44" s="28" t="inlineStr">
        <x:is>
          <x:t xml:space="preserve">https://www.hhs.gov/hipaa/for-professionals/faq/575/what-does-hipaa-require-of-covered-entities-when-they-dispose-information/index.html</x:t>
        </x:is>
      </x:c>
      <x:c r="Y44" s="5" t="n"/>
      <x:c r="Z44" s="5" t="n"/>
      <x:c r="AA44" s="5" t="n"/>
      <x:c r="AB44" s="5" t="n"/>
      <x:c r="AC44" s="5" t="n"/>
      <x:c r="AD44" s="5" t="n"/>
      <x:c r="AE44" s="5" t="n"/>
      <x:c r="AF44" s="5" t="n"/>
      <x:c r="AG44" s="5" t="n"/>
      <x:c r="AH44" s="5" t="n"/>
      <x:c r="AI44" s="5" t="n"/>
      <x:c r="AJ44" s="5" t="n"/>
      <x:c r="AK44" s="5" t="n"/>
      <x:c r="AL44" s="5" t="n"/>
    </x:row>
    <x:row r="45" ht="30" customHeight="1">
      <x:c r="A45" s="5" t="inlineStr">
        <x:is>
          <x:t xml:space="preserve">HITRUST e1.csv</x:t>
        </x:is>
      </x:c>
      <x:c r="B45" s="5" t="inlineStr">
        <x:is>
          <x:t xml:space="preserve">ER-108</x:t>
        </x:is>
      </x:c>
      <x:c r="C45" s="5" t="inlineStr">
        <x:is>
          <x:t xml:space="preserve">Policy</x:t>
        </x:is>
      </x:c>
      <x:c r="D45" s="5" t="inlineStr">
        <x:is>
          <x:t xml:space="preserve">Data Classification, Retention and Disposal</x:t>
        </x:is>
      </x:c>
      <x:c r="E45" s="5" t="inlineStr">
        <x:is>
          <x:t xml:space="preserve">REQ-67-HIPAA</x:t>
        </x:is>
      </x:c>
      <x:c r="F45" s="5" t="inlineStr">
        <x:is>
          <x:t xml:space="preserve">1767.07d1Organizational.2</x:t>
        </x:is>
      </x:c>
      <x:c r="G45" s="5" t="inlineStr">
        <x:is>
          <x:t xml:space="preserve">Many:Many</x:t>
        </x:is>
      </x:c>
      <x:c r="H45" s="5" t="n">
        <x:v>1</x:v>
      </x:c>
      <x:c r="I45" s="5" t="inlineStr">
        <x:is>
          <x:t xml:space="preserve">45 CFR § 164.310(d)(2)(i)</x:t>
        </x:is>
      </x:c>
      <x:c r="J45" s="5" t="inlineStr">
        <x:is>
          <x:t xml:space="preserve">Device and Media Controls — Disposal</x:t>
        </x:is>
      </x:c>
      <x:c r="K45" s="5" t="inlineStr">
        <x:is>
          <x:t xml:space="preserve">Best-fit</x:t>
        </x:is>
      </x:c>
      <x:c r="L45" s="5" t="inlineStr">
        <x:is>
          <x:t xml:space="preserve">In this overlap set, the control appears through a data-retention/disposal action item, so disposal is the closest direct HIPAA citation.</x:t>
        </x:is>
      </x:c>
      <x:c r="M45"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5" s="5" t="inlineStr">
        <x:is>
          <x:t xml:space="preserve">This same internal control also appears on customer-contract rows elsewhere in the uploaded spreadsheets, but that contractual context is not the shared action item here.</x:t>
        </x:is>
      </x:c>
      <x:c r="O45" s="5" t="inlineStr">
        <x:is>
          <x:t xml:space="preserve">1767.07d1 Organizational.2</x:t>
        </x:is>
      </x:c>
      <x:c r="P45" s="5" t="n">
        <x:v>1</x:v>
      </x:c>
      <x:c r="Q45" s="5" t="n"/>
      <x:c r="R45" s="5" t="inlineStr">
        <x:is>
          <x:t xml:space="preserve">45 C.F.R. § 164.310(d)(2)(i)</x:t>
        </x:is>
      </x:c>
      <x:c r="S45" s="5" t="inlineStr">
        <x:is>
          <x:t xml:space="preserve">Device and Media Controls — Disposal</x:t>
        </x:is>
      </x:c>
      <x:c r="T45" s="5" t="inlineStr">
        <x:is>
          <x:t xml:space="preserve">Implement policies and procedures to address the final disposition of ePHI and the hardware or electronic media on which it is stored.</x:t>
        </x:is>
      </x:c>
      <x:c r="U45" s="5" t="inlineStr">
        <x:is>
          <x:t xml:space="preserve">Required implementation specification</x:t>
        </x:is>
      </x:c>
      <x:c r="V45" s="5" t="inlineStr">
        <x:is>
          <x:t xml:space="preserve">Physical Safeguards</x:t>
        </x:is>
      </x:c>
      <x:c r="W45" s="28" t="inlineStr">
        <x:is>
          <x:t xml:space="preserve">https://www.ecfr.gov/current/title-45/subtitle-A/subchapter-C/part-164/section-164.310</x:t>
        </x:is>
      </x:c>
      <x:c r="X45" s="28" t="inlineStr">
        <x:is>
          <x:t xml:space="preserve">https://www.hhs.gov/hipaa/for-professionals/faq/575/what-does-hipaa-require-of-covered-entities-when-they-dispose-information/index.html</x:t>
        </x:is>
      </x:c>
      <x:c r="Y45" s="5" t="n"/>
      <x:c r="Z45" s="5" t="n"/>
      <x:c r="AA45" s="5" t="n"/>
      <x:c r="AB45" s="5" t="n"/>
      <x:c r="AC45" s="5" t="n"/>
      <x:c r="AD45" s="5" t="n"/>
      <x:c r="AE45" s="5" t="n"/>
      <x:c r="AF45" s="5" t="n"/>
      <x:c r="AG45" s="5" t="n"/>
      <x:c r="AH45" s="5" t="n"/>
      <x:c r="AI45" s="5" t="n"/>
      <x:c r="AJ45" s="5" t="n"/>
      <x:c r="AK45" s="5" t="n"/>
      <x:c r="AL45" s="5" t="n"/>
    </x:row>
    <x:row r="46" ht="30" customHeight="1">
      <x:c r="A46" s="5" t="inlineStr">
        <x:is>
          <x:t xml:space="preserve">HITRUST e1.csv</x:t>
        </x:is>
      </x:c>
      <x:c r="B46" s="5" t="inlineStr">
        <x:is>
          <x:t xml:space="preserve">ER-108</x:t>
        </x:is>
      </x:c>
      <x:c r="C46" s="5" t="inlineStr">
        <x:is>
          <x:t xml:space="preserve">Policy</x:t>
        </x:is>
      </x:c>
      <x:c r="D46" s="5" t="inlineStr">
        <x:is>
          <x:t xml:space="preserve">Data Classification, Retention and Disposal</x:t>
        </x:is>
      </x:c>
      <x:c r="E46" s="5" t="inlineStr">
        <x:is>
          <x:t xml:space="preserve">REQ-67-HIPAA</x:t>
        </x:is>
      </x:c>
      <x:c r="F46" s="5" t="inlineStr">
        <x:is>
          <x:t xml:space="preserve">19142.06c1Organizational.8</x:t>
        </x:is>
      </x:c>
      <x:c r="G46" s="5" t="inlineStr">
        <x:is>
          <x:t xml:space="preserve">Many:Many</x:t>
        </x:is>
      </x:c>
      <x:c r="H46" s="5" t="n">
        <x:v>1</x:v>
      </x:c>
      <x:c r="I46" s="5" t="inlineStr">
        <x:is>
          <x:t xml:space="preserve">45 CFR § 164.310(d)(2)(i)</x:t>
        </x:is>
      </x:c>
      <x:c r="J46" s="5" t="inlineStr">
        <x:is>
          <x:t xml:space="preserve">Device and Media Controls — Disposal</x:t>
        </x:is>
      </x:c>
      <x:c r="K46" s="5" t="inlineStr">
        <x:is>
          <x:t xml:space="preserve">Best-fit</x:t>
        </x:is>
      </x:c>
      <x:c r="L46" s="5" t="inlineStr">
        <x:is>
          <x:t xml:space="preserve">In this overlap set, the control appears through a data-retention/disposal action item, so disposal is the closest direct HIPAA citation.</x:t>
        </x:is>
      </x:c>
      <x:c r="M46"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N46" s="5" t="inlineStr">
        <x:is>
          <x:t xml:space="preserve">This same internal control also appears on customer-contract rows elsewhere in the uploaded spreadsheets, but that contractual context is not the shared action item here.</x:t>
        </x:is>
      </x:c>
      <x:c r="O46" s="5" t="inlineStr">
        <x:is>
          <x:t xml:space="preserve">19142.06c1 Organizational.8</x:t>
        </x:is>
      </x:c>
      <x:c r="P46" s="5" t="n">
        <x:v>1</x:v>
      </x:c>
      <x:c r="Q46" s="5" t="n"/>
      <x:c r="R46" s="5" t="inlineStr">
        <x:is>
          <x:t xml:space="preserve">45 C.F.R. § 164.310(d)(2)(i)</x:t>
        </x:is>
      </x:c>
      <x:c r="S46" s="5" t="inlineStr">
        <x:is>
          <x:t xml:space="preserve">Device and Media Controls — Disposal</x:t>
        </x:is>
      </x:c>
      <x:c r="T46" s="5" t="inlineStr">
        <x:is>
          <x:t xml:space="preserve">Implement policies and procedures to address the final disposition of ePHI and the hardware or electronic media on which it is stored.</x:t>
        </x:is>
      </x:c>
      <x:c r="U46" s="5" t="inlineStr">
        <x:is>
          <x:t xml:space="preserve">Required implementation specification</x:t>
        </x:is>
      </x:c>
      <x:c r="V46" s="5" t="inlineStr">
        <x:is>
          <x:t xml:space="preserve">Physical Safeguards</x:t>
        </x:is>
      </x:c>
      <x:c r="W46" s="28" t="inlineStr">
        <x:is>
          <x:t xml:space="preserve">https://www.ecfr.gov/current/title-45/subtitle-A/subchapter-C/part-164/section-164.310</x:t>
        </x:is>
      </x:c>
      <x:c r="X46" s="28" t="inlineStr">
        <x:is>
          <x:t xml:space="preserve">https://www.hhs.gov/hipaa/for-professionals/faq/575/what-does-hipaa-require-of-covered-entities-when-they-dispose-information/index.html</x:t>
        </x:is>
      </x:c>
      <x:c r="Y46" s="5" t="n"/>
      <x:c r="Z46" s="5" t="n"/>
      <x:c r="AA46" s="5" t="n"/>
      <x:c r="AB46" s="5" t="n"/>
      <x:c r="AC46" s="5" t="n"/>
      <x:c r="AD46" s="5" t="n"/>
      <x:c r="AE46" s="5" t="n"/>
      <x:c r="AF46" s="5" t="n"/>
      <x:c r="AG46" s="5" t="n"/>
      <x:c r="AH46" s="5" t="n"/>
      <x:c r="AI46" s="5" t="n"/>
      <x:c r="AJ46" s="5" t="n"/>
      <x:c r="AK46" s="5" t="n"/>
      <x:c r="AL46" s="5" t="n"/>
    </x:row>
    <x:row r="47" ht="30" customHeight="1">
      <x:c r="A47" s="5" t="inlineStr">
        <x:is>
          <x:t xml:space="preserve">HITRUST e1.csv</x:t>
        </x:is>
      </x:c>
      <x:c r="B47" s="5" t="inlineStr">
        <x:is>
          <x:t xml:space="preserve">ER-1</x:t>
        </x:is>
      </x:c>
      <x:c r="C47" s="5" t="inlineStr">
        <x:is>
          <x:t xml:space="preserve">Configuration</x:t>
        </x:is>
      </x:c>
      <x:c r="D47" s="5" t="inlineStr">
        <x:is>
          <x:t xml:space="preserve">Data Encryption at Rest</x:t>
        </x:is>
      </x:c>
      <x:c r="E47" s="5" t="inlineStr">
        <x:is>
          <x:t xml:space="preserve">REQ-33-HIPAA</x:t>
        </x:is>
      </x:c>
      <x:c r="F47" s="5" t="inlineStr">
        <x:is>
          <x:t xml:space="preserve">04.01x1Organizational.5</x:t>
        </x:is>
      </x:c>
      <x:c r="G47" s="5" t="inlineStr">
        <x:is>
          <x:t xml:space="preserve">Many:Many</x:t>
        </x:is>
      </x:c>
      <x:c r="H47" s="5" t="n">
        <x:v>2</x:v>
      </x:c>
      <x:c r="I47" s="5" t="inlineStr">
        <x:is>
          <x:t xml:space="preserve">45 CFR § 164.312(a)(2)(iv)</x:t>
        </x:is>
      </x:c>
      <x:c r="J47" s="5" t="inlineStr">
        <x:is>
          <x:t xml:space="preserve">Access Control — Encryption and Decryption</x:t>
        </x:is>
      </x:c>
      <x:c r="K47" s="5" t="inlineStr">
        <x:is>
          <x:t xml:space="preserve">Direct</x:t>
        </x:is>
      </x:c>
      <x:c r="L47" s="5" t="inlineStr">
        <x:is>
          <x:t xml:space="preserve">At-rest encryption evidence aligns directly to the encryption/decryption implementation specification under access control.</x:t>
        </x:is>
      </x:c>
      <x:c r="M47"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47" s="5" t="inlineStr">
        <x:is>
          <x:t xml:space="preserve">Used when the shared action item is explicitly at-rest encryption.</x:t>
        </x:is>
      </x:c>
      <x:c r="O47" s="5" t="inlineStr">
        <x:is>
          <x:t xml:space="preserve">04.01x1 Organizational.5</x:t>
        </x:is>
      </x:c>
      <x:c r="P47" s="5" t="n">
        <x:v>1</x:v>
      </x:c>
      <x:c r="Q47" s="5" t="n"/>
      <x:c r="R47" s="5" t="inlineStr">
        <x:is>
          <x:t xml:space="preserve">45 C.F.R. § 164.312(a)(2)(iv)</x:t>
        </x:is>
      </x:c>
      <x:c r="S47" s="5" t="inlineStr">
        <x:is>
          <x:t xml:space="preserve">Access Control — Encryption and Decryption</x:t>
        </x:is>
      </x:c>
      <x:c r="T47" s="5" t="inlineStr">
        <x:is>
          <x:t xml:space="preserve">Implement a mechanism to encrypt and decrypt ePHI.</x:t>
        </x:is>
      </x:c>
      <x:c r="U47" s="5" t="inlineStr">
        <x:is>
          <x:t xml:space="preserve">Addressable implementation specification</x:t>
        </x:is>
      </x:c>
      <x:c r="V47" s="5" t="inlineStr">
        <x:is>
          <x:t xml:space="preserve">Technical Safeguards</x:t>
        </x:is>
      </x:c>
      <x:c r="W47" s="28" t="inlineStr">
        <x:is>
          <x:t xml:space="preserve">https://www.ecfr.gov/current/title-45/subtitle-A/subchapter-C/part-164/section-164.312</x:t>
        </x:is>
      </x:c>
      <x:c r="X47" s="28" t="inlineStr">
        <x:is>
          <x:t xml:space="preserve">https://www.hhs.gov/hipaa/for-professionals/faq/2001/is-the-use-of-encryption-mandatory-in-the-security-rule/index.html</x:t>
        </x:is>
      </x:c>
      <x:c r="Y47" s="5" t="n"/>
      <x:c r="Z47" s="5" t="n"/>
      <x:c r="AA47" s="5" t="n"/>
      <x:c r="AB47" s="5" t="n"/>
      <x:c r="AC47" s="5" t="n"/>
      <x:c r="AD47" s="5" t="n"/>
      <x:c r="AE47" s="5" t="n"/>
      <x:c r="AF47" s="5" t="n"/>
      <x:c r="AG47" s="5" t="n"/>
      <x:c r="AH47" s="5" t="n"/>
      <x:c r="AI47" s="5" t="n"/>
      <x:c r="AJ47" s="5" t="n"/>
      <x:c r="AK47" s="5" t="n"/>
      <x:c r="AL47" s="5" t="n"/>
    </x:row>
    <x:row r="48" ht="30" customHeight="1">
      <x:c r="A48" s="5" t="inlineStr">
        <x:is>
          <x:t xml:space="preserve">HITRUST e1.csv</x:t>
        </x:is>
      </x:c>
      <x:c r="B48" s="5" t="inlineStr">
        <x:is>
          <x:t xml:space="preserve">ER-1</x:t>
        </x:is>
      </x:c>
      <x:c r="C48" s="5" t="inlineStr">
        <x:is>
          <x:t xml:space="preserve">Configuration</x:t>
        </x:is>
      </x:c>
      <x:c r="D48" s="5" t="inlineStr">
        <x:is>
          <x:t xml:space="preserve">Data Encryption at Rest</x:t>
        </x:is>
      </x:c>
      <x:c r="E48" s="5" t="inlineStr">
        <x:is>
          <x:t xml:space="preserve">REQ-33-HIPAA</x:t>
        </x:is>
      </x:c>
      <x:c r="F48" s="5" t="inlineStr">
        <x:is>
          <x:t xml:space="preserve">1903.06d1Organizational.3456711</x:t>
        </x:is>
      </x:c>
      <x:c r="G48" s="5" t="inlineStr">
        <x:is>
          <x:t xml:space="preserve">Many:Many</x:t>
        </x:is>
      </x:c>
      <x:c r="H48" s="5" t="n">
        <x:v>1</x:v>
      </x:c>
      <x:c r="I48" s="5" t="inlineStr">
        <x:is>
          <x:t xml:space="preserve">45 CFR § 164.312(a)(2)(iv)</x:t>
        </x:is>
      </x:c>
      <x:c r="J48" s="5" t="inlineStr">
        <x:is>
          <x:t xml:space="preserve">Access Control — Encryption and Decryption</x:t>
        </x:is>
      </x:c>
      <x:c r="K48" s="5" t="inlineStr">
        <x:is>
          <x:t xml:space="preserve">Direct</x:t>
        </x:is>
      </x:c>
      <x:c r="L48" s="5" t="inlineStr">
        <x:is>
          <x:t xml:space="preserve">At-rest encryption evidence aligns directly to the encryption/decryption implementation specification under access control.</x:t>
        </x:is>
      </x:c>
      <x:c r="M48"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48" s="5" t="inlineStr">
        <x:is>
          <x:t xml:space="preserve">Used when the shared action item is explicitly at-rest encryption.</x:t>
        </x:is>
      </x:c>
      <x:c r="O48" s="5" t="inlineStr">
        <x:is>
          <x:t xml:space="preserve">1903.06d1 Organizational.3456711</x:t>
        </x:is>
      </x:c>
      <x:c r="P48" s="5" t="n">
        <x:v>1</x:v>
      </x:c>
      <x:c r="Q48" s="5" t="n"/>
      <x:c r="R48" s="5" t="inlineStr">
        <x:is>
          <x:t xml:space="preserve">45 C.F.R. § 164.312(a)(2)(iv)</x:t>
        </x:is>
      </x:c>
      <x:c r="S48" s="5" t="inlineStr">
        <x:is>
          <x:t xml:space="preserve">Access Control — Encryption and Decryption</x:t>
        </x:is>
      </x:c>
      <x:c r="T48" s="5" t="inlineStr">
        <x:is>
          <x:t xml:space="preserve">Implement a mechanism to encrypt and decrypt ePHI.</x:t>
        </x:is>
      </x:c>
      <x:c r="U48" s="5" t="inlineStr">
        <x:is>
          <x:t xml:space="preserve">Addressable implementation specification</x:t>
        </x:is>
      </x:c>
      <x:c r="V48" s="5" t="inlineStr">
        <x:is>
          <x:t xml:space="preserve">Technical Safeguards</x:t>
        </x:is>
      </x:c>
      <x:c r="W48" s="28" t="inlineStr">
        <x:is>
          <x:t xml:space="preserve">https://www.ecfr.gov/current/title-45/subtitle-A/subchapter-C/part-164/section-164.312</x:t>
        </x:is>
      </x:c>
      <x:c r="X48" s="28" t="inlineStr">
        <x:is>
          <x:t xml:space="preserve">https://www.hhs.gov/hipaa/for-professionals/faq/2001/is-the-use-of-encryption-mandatory-in-the-security-rule/index.html</x:t>
        </x:is>
      </x:c>
      <x:c r="Y48" s="5" t="n"/>
      <x:c r="Z48" s="5" t="n"/>
      <x:c r="AA48" s="5" t="n"/>
      <x:c r="AB48" s="5" t="n"/>
      <x:c r="AC48" s="5" t="n"/>
      <x:c r="AD48" s="5" t="n"/>
      <x:c r="AE48" s="5" t="n"/>
      <x:c r="AF48" s="5" t="n"/>
      <x:c r="AG48" s="5" t="n"/>
      <x:c r="AH48" s="5" t="n"/>
      <x:c r="AI48" s="5" t="n"/>
      <x:c r="AJ48" s="5" t="n"/>
      <x:c r="AK48" s="5" t="n"/>
      <x:c r="AL48" s="5" t="n"/>
    </x:row>
    <x:row r="49" ht="30" customHeight="1">
      <x:c r="A49" s="5" t="inlineStr">
        <x:is>
          <x:t xml:space="preserve">HITRUST e1.csv</x:t>
        </x:is>
      </x:c>
      <x:c r="B49" s="5" t="inlineStr">
        <x:is>
          <x:t xml:space="preserve">ER-1</x:t>
        </x:is>
      </x:c>
      <x:c r="C49" s="5" t="inlineStr">
        <x:is>
          <x:t xml:space="preserve">Configuration</x:t>
        </x:is>
      </x:c>
      <x:c r="D49" s="5" t="inlineStr">
        <x:is>
          <x:t xml:space="preserve">Data Encryption at Rest</x:t>
        </x:is>
      </x:c>
      <x:c r="E49" s="5" t="inlineStr">
        <x:is>
          <x:t xml:space="preserve">REQ-34-HIPAA</x:t>
        </x:is>
      </x:c>
      <x:c r="F49" s="5" t="inlineStr">
        <x:is>
          <x:t xml:space="preserve">04.01x1Organizational.5</x:t>
        </x:is>
      </x:c>
      <x:c r="G49" s="5" t="inlineStr">
        <x:is>
          <x:t xml:space="preserve">Many:Many</x:t>
        </x:is>
      </x:c>
      <x:c r="H49" s="5" t="n">
        <x:v>1</x:v>
      </x:c>
      <x:c r="I49" s="5" t="inlineStr">
        <x:is>
          <x:t xml:space="preserve">45 CFR § 164.312(a)(2)(iv)</x:t>
        </x:is>
      </x:c>
      <x:c r="J49" s="5" t="inlineStr">
        <x:is>
          <x:t xml:space="preserve">Access Control — Encryption and Decryption</x:t>
        </x:is>
      </x:c>
      <x:c r="K49" s="5" t="inlineStr">
        <x:is>
          <x:t xml:space="preserve">Direct</x:t>
        </x:is>
      </x:c>
      <x:c r="L49" s="5" t="inlineStr">
        <x:is>
          <x:t xml:space="preserve">Control/action-item context aligns to at-rest encryption.</x:t>
        </x:is>
      </x:c>
      <x:c r="M49"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49" s="5" t="inlineStr">
        <x:is>
          <x:t xml:space="preserve">Used for data-encryption-at-rest rows.</x:t>
        </x:is>
      </x:c>
      <x:c r="O49" s="5" t="inlineStr">
        <x:is>
          <x:t xml:space="preserve">04.01x1 Organizational.5</x:t>
        </x:is>
      </x:c>
      <x:c r="P49" s="5" t="n">
        <x:v>1</x:v>
      </x:c>
      <x:c r="Q49" s="5" t="n"/>
      <x:c r="R49" s="5" t="inlineStr">
        <x:is>
          <x:t xml:space="preserve">45 C.F.R. § 164.312(a)(2)(iv)</x:t>
        </x:is>
      </x:c>
      <x:c r="S49" s="5" t="inlineStr">
        <x:is>
          <x:t xml:space="preserve">Access Control — Encryption and Decryption</x:t>
        </x:is>
      </x:c>
      <x:c r="T49" s="5" t="inlineStr">
        <x:is>
          <x:t xml:space="preserve">Implement a mechanism to encrypt and decrypt ePHI.</x:t>
        </x:is>
      </x:c>
      <x:c r="U49" s="5" t="inlineStr">
        <x:is>
          <x:t xml:space="preserve">Addressable implementation specification</x:t>
        </x:is>
      </x:c>
      <x:c r="V49" s="5" t="inlineStr">
        <x:is>
          <x:t xml:space="preserve">Technical Safeguards</x:t>
        </x:is>
      </x:c>
      <x:c r="W49" s="28" t="inlineStr">
        <x:is>
          <x:t xml:space="preserve">https://www.ecfr.gov/current/title-45/subtitle-A/subchapter-C/part-164/section-164.312</x:t>
        </x:is>
      </x:c>
      <x:c r="X49" s="28" t="inlineStr">
        <x:is>
          <x:t xml:space="preserve">https://www.hhs.gov/hipaa/for-professionals/faq/2001/is-the-use-of-encryption-mandatory-in-the-security-rule/index.html</x:t>
        </x:is>
      </x:c>
      <x:c r="Y49" s="5" t="n"/>
      <x:c r="Z49" s="5" t="n"/>
      <x:c r="AA49" s="5" t="n"/>
      <x:c r="AB49" s="5" t="n"/>
      <x:c r="AC49" s="5" t="n"/>
      <x:c r="AD49" s="5" t="n"/>
      <x:c r="AE49" s="5" t="n"/>
      <x:c r="AF49" s="5" t="n"/>
      <x:c r="AG49" s="5" t="n"/>
      <x:c r="AH49" s="5" t="n"/>
      <x:c r="AI49" s="5" t="n"/>
      <x:c r="AJ49" s="5" t="n"/>
      <x:c r="AK49" s="5" t="n"/>
      <x:c r="AL49" s="5" t="n"/>
    </x:row>
    <x:row r="50" ht="30" customHeight="1">
      <x:c r="A50" s="5" t="inlineStr">
        <x:is>
          <x:t xml:space="preserve">HITRUST e1.csv</x:t>
        </x:is>
      </x:c>
      <x:c r="B50" s="5" t="inlineStr">
        <x:is>
          <x:t xml:space="preserve">ER-1</x:t>
        </x:is>
      </x:c>
      <x:c r="C50" s="5" t="inlineStr">
        <x:is>
          <x:t xml:space="preserve">Configuration</x:t>
        </x:is>
      </x:c>
      <x:c r="D50" s="5" t="inlineStr">
        <x:is>
          <x:t xml:space="preserve">Data Encryption at Rest</x:t>
        </x:is>
      </x:c>
      <x:c r="E50" s="5" t="inlineStr">
        <x:is>
          <x:t xml:space="preserve">REQ-34-HIPAA</x:t>
        </x:is>
      </x:c>
      <x:c r="F50" s="5" t="inlineStr">
        <x:is>
          <x:t xml:space="preserve">1903.06d1Organizational.3456711</x:t>
        </x:is>
      </x:c>
      <x:c r="G50" s="5" t="inlineStr">
        <x:is>
          <x:t xml:space="preserve">Many:Many</x:t>
        </x:is>
      </x:c>
      <x:c r="H50" s="5" t="n">
        <x:v>1</x:v>
      </x:c>
      <x:c r="I50" s="5" t="inlineStr">
        <x:is>
          <x:t xml:space="preserve">45 CFR § 164.312(a)(2)(iv)</x:t>
        </x:is>
      </x:c>
      <x:c r="J50" s="5" t="inlineStr">
        <x:is>
          <x:t xml:space="preserve">Access Control — Encryption and Decryption</x:t>
        </x:is>
      </x:c>
      <x:c r="K50" s="5" t="inlineStr">
        <x:is>
          <x:t xml:space="preserve">Direct</x:t>
        </x:is>
      </x:c>
      <x:c r="L50" s="5" t="inlineStr">
        <x:is>
          <x:t xml:space="preserve">Control/action-item context aligns to at-rest encryption.</x:t>
        </x:is>
      </x:c>
      <x:c r="M50"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50" s="5" t="inlineStr">
        <x:is>
          <x:t xml:space="preserve">Used for data-encryption-at-rest rows.</x:t>
        </x:is>
      </x:c>
      <x:c r="O50" s="5" t="inlineStr">
        <x:is>
          <x:t xml:space="preserve">1903.06d1 Organizational.3456711</x:t>
        </x:is>
      </x:c>
      <x:c r="P50" s="5" t="n">
        <x:v>1</x:v>
      </x:c>
      <x:c r="Q50" s="5" t="n"/>
      <x:c r="R50" s="5" t="inlineStr">
        <x:is>
          <x:t xml:space="preserve">45 C.F.R. § 164.312(a)(2)(iv)</x:t>
        </x:is>
      </x:c>
      <x:c r="S50" s="5" t="inlineStr">
        <x:is>
          <x:t xml:space="preserve">Access Control — Encryption and Decryption</x:t>
        </x:is>
      </x:c>
      <x:c r="T50" s="5" t="inlineStr">
        <x:is>
          <x:t xml:space="preserve">Implement a mechanism to encrypt and decrypt ePHI.</x:t>
        </x:is>
      </x:c>
      <x:c r="U50" s="5" t="inlineStr">
        <x:is>
          <x:t xml:space="preserve">Addressable implementation specification</x:t>
        </x:is>
      </x:c>
      <x:c r="V50" s="5" t="inlineStr">
        <x:is>
          <x:t xml:space="preserve">Technical Safeguards</x:t>
        </x:is>
      </x:c>
      <x:c r="W50" s="28" t="inlineStr">
        <x:is>
          <x:t xml:space="preserve">https://www.ecfr.gov/current/title-45/subtitle-A/subchapter-C/part-164/section-164.312</x:t>
        </x:is>
      </x:c>
      <x:c r="X50" s="28" t="inlineStr">
        <x:is>
          <x:t xml:space="preserve">https://www.hhs.gov/hipaa/for-professionals/faq/2001/is-the-use-of-encryption-mandatory-in-the-security-rule/index.html</x:t>
        </x:is>
      </x:c>
      <x:c r="Y50" s="5" t="n"/>
      <x:c r="Z50" s="5" t="n"/>
      <x:c r="AA50" s="5" t="n"/>
      <x:c r="AB50" s="5" t="n"/>
      <x:c r="AC50" s="5" t="n"/>
      <x:c r="AD50" s="5" t="n"/>
      <x:c r="AE50" s="5" t="n"/>
      <x:c r="AF50" s="5" t="n"/>
      <x:c r="AG50" s="5" t="n"/>
      <x:c r="AH50" s="5" t="n"/>
      <x:c r="AI50" s="5" t="n"/>
      <x:c r="AJ50" s="5" t="n"/>
      <x:c r="AK50" s="5" t="n"/>
      <x:c r="AL50" s="5" t="n"/>
    </x:row>
    <x:row r="51" ht="30" customHeight="1">
      <x:c r="A51" s="5" t="inlineStr">
        <x:is>
          <x:t xml:space="preserve">HITRUST e1.csv</x:t>
        </x:is>
      </x:c>
      <x:c r="B51" s="5" t="inlineStr">
        <x:is>
          <x:t xml:space="preserve">ER-1</x:t>
        </x:is>
      </x:c>
      <x:c r="C51" s="5" t="inlineStr">
        <x:is>
          <x:t xml:space="preserve">Configuration</x:t>
        </x:is>
      </x:c>
      <x:c r="D51" s="5" t="inlineStr">
        <x:is>
          <x:t xml:space="preserve">Data Encryption at Rest</x:t>
        </x:is>
      </x:c>
      <x:c r="E51" s="5" t="inlineStr">
        <x:is>
          <x:t xml:space="preserve">REQ-35-HIPAA</x:t>
        </x:is>
      </x:c>
      <x:c r="F51" s="5" t="inlineStr">
        <x:is>
          <x:t xml:space="preserve">04.01x1Organizational.5</x:t>
        </x:is>
      </x:c>
      <x:c r="G51" s="5" t="inlineStr">
        <x:is>
          <x:t xml:space="preserve">Many:Many</x:t>
        </x:is>
      </x:c>
      <x:c r="H51" s="5" t="n">
        <x:v>2</x:v>
      </x:c>
      <x:c r="I51" s="5" t="inlineStr">
        <x:is>
          <x:t xml:space="preserve">45 CFR § 164.312(a)(2)(iv)</x:t>
        </x:is>
      </x:c>
      <x:c r="J51" s="5" t="inlineStr">
        <x:is>
          <x:t xml:space="preserve">Access Control — Encryption and Decryption</x:t>
        </x:is>
      </x:c>
      <x:c r="K51" s="5" t="inlineStr">
        <x:is>
          <x:t xml:space="preserve">Best-fit</x:t>
        </x:is>
      </x:c>
      <x:c r="L51" s="5" t="inlineStr">
        <x:is>
          <x:t xml:space="preserve">This internal control ID also appears on an at-rest encryption row in the source spreadsheets, so the row context points to at-rest encryption even though the same control family also covers transmission encryption elsewhere.</x:t>
        </x:is>
      </x:c>
      <x:c r="M51"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51" s="5" t="inlineStr">
        <x:is>
          <x:t xml:space="preserve">Row-context mapping takes precedence over the broader internal control family.</x:t>
        </x:is>
      </x:c>
      <x:c r="O51" s="5" t="inlineStr">
        <x:is>
          <x:t xml:space="preserve">04.01x1 Organizational.5</x:t>
        </x:is>
      </x:c>
      <x:c r="P51" s="5" t="n">
        <x:v>1</x:v>
      </x:c>
      <x:c r="Q51" s="5" t="n"/>
      <x:c r="R51" s="5" t="inlineStr">
        <x:is>
          <x:t xml:space="preserve">45 C.F.R. § 164.312(a)(2)(iv)</x:t>
        </x:is>
      </x:c>
      <x:c r="S51" s="5" t="inlineStr">
        <x:is>
          <x:t xml:space="preserve">Access Control — Encryption and Decryption</x:t>
        </x:is>
      </x:c>
      <x:c r="T51" s="5" t="inlineStr">
        <x:is>
          <x:t xml:space="preserve">Implement a mechanism to encrypt and decrypt ePHI.</x:t>
        </x:is>
      </x:c>
      <x:c r="U51" s="5" t="inlineStr">
        <x:is>
          <x:t xml:space="preserve">Addressable implementation specification</x:t>
        </x:is>
      </x:c>
      <x:c r="V51" s="5" t="inlineStr">
        <x:is>
          <x:t xml:space="preserve">Technical Safeguards</x:t>
        </x:is>
      </x:c>
      <x:c r="W51" s="28" t="inlineStr">
        <x:is>
          <x:t xml:space="preserve">https://www.ecfr.gov/current/title-45/subtitle-A/subchapter-C/part-164/section-164.312</x:t>
        </x:is>
      </x:c>
      <x:c r="X51" s="28" t="inlineStr">
        <x:is>
          <x:t xml:space="preserve">https://www.hhs.gov/hipaa/for-professionals/faq/2001/is-the-use-of-encryption-mandatory-in-the-security-rule/index.html</x:t>
        </x:is>
      </x:c>
      <x:c r="Y51" s="5" t="n"/>
      <x:c r="Z51" s="5" t="n"/>
      <x:c r="AA51" s="5" t="n"/>
      <x:c r="AB51" s="5" t="n"/>
      <x:c r="AC51" s="5" t="n"/>
      <x:c r="AD51" s="5" t="n"/>
      <x:c r="AE51" s="5" t="n"/>
      <x:c r="AF51" s="5" t="n"/>
      <x:c r="AG51" s="5" t="n"/>
      <x:c r="AH51" s="5" t="n"/>
      <x:c r="AI51" s="5" t="n"/>
      <x:c r="AJ51" s="5" t="n"/>
      <x:c r="AK51" s="5" t="n"/>
      <x:c r="AL51" s="5" t="n"/>
    </x:row>
    <x:row r="52" ht="30" customHeight="1">
      <x:c r="A52" s="5" t="inlineStr">
        <x:is>
          <x:t xml:space="preserve">HITRUST e1.csv</x:t>
        </x:is>
      </x:c>
      <x:c r="B52" s="5" t="inlineStr">
        <x:is>
          <x:t xml:space="preserve">ER-1</x:t>
        </x:is>
      </x:c>
      <x:c r="C52" s="5" t="inlineStr">
        <x:is>
          <x:t xml:space="preserve">Configuration</x:t>
        </x:is>
      </x:c>
      <x:c r="D52" s="5" t="inlineStr">
        <x:is>
          <x:t xml:space="preserve">Data Encryption at Rest</x:t>
        </x:is>
      </x:c>
      <x:c r="E52" s="5" t="inlineStr">
        <x:is>
          <x:t xml:space="preserve">REQ-35-HIPAA</x:t>
        </x:is>
      </x:c>
      <x:c r="F52" s="5" t="inlineStr">
        <x:is>
          <x:t xml:space="preserve">1903.06d1Organizational.3456711</x:t>
        </x:is>
      </x:c>
      <x:c r="G52" s="5" t="inlineStr">
        <x:is>
          <x:t xml:space="preserve">Many:Many</x:t>
        </x:is>
      </x:c>
      <x:c r="H52" s="5" t="n">
        <x:v>1</x:v>
      </x:c>
      <x:c r="I52" s="5" t="inlineStr">
        <x:is>
          <x:t xml:space="preserve">45 CFR § 164.312(a)(2)(iv)</x:t>
        </x:is>
      </x:c>
      <x:c r="J52" s="5" t="inlineStr">
        <x:is>
          <x:t xml:space="preserve">Access Control — Encryption and Decryption</x:t>
        </x:is>
      </x:c>
      <x:c r="K52" s="5" t="inlineStr">
        <x:is>
          <x:t xml:space="preserve">Best-fit</x:t>
        </x:is>
      </x:c>
      <x:c r="L52" s="5" t="inlineStr">
        <x:is>
          <x:t xml:space="preserve">This internal control ID also appears on an at-rest encryption row in the source spreadsheets, so the row context points to at-rest encryption even though the same control family also covers transmission encryption elsewhere.</x:t>
        </x:is>
      </x:c>
      <x:c r="M52"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N52" s="5" t="inlineStr">
        <x:is>
          <x:t xml:space="preserve">Row-context mapping takes precedence over the broader internal control family.</x:t>
        </x:is>
      </x:c>
      <x:c r="O52" s="5" t="inlineStr">
        <x:is>
          <x:t xml:space="preserve">1903.06d1 Organizational.3456711</x:t>
        </x:is>
      </x:c>
      <x:c r="P52" s="5" t="n">
        <x:v>1</x:v>
      </x:c>
      <x:c r="Q52" s="5" t="n"/>
      <x:c r="R52" s="5" t="inlineStr">
        <x:is>
          <x:t xml:space="preserve">45 C.F.R. § 164.312(a)(2)(iv)</x:t>
        </x:is>
      </x:c>
      <x:c r="S52" s="5" t="inlineStr">
        <x:is>
          <x:t xml:space="preserve">Access Control — Encryption and Decryption</x:t>
        </x:is>
      </x:c>
      <x:c r="T52" s="5" t="inlineStr">
        <x:is>
          <x:t xml:space="preserve">Implement a mechanism to encrypt and decrypt ePHI.</x:t>
        </x:is>
      </x:c>
      <x:c r="U52" s="5" t="inlineStr">
        <x:is>
          <x:t xml:space="preserve">Addressable implementation specification</x:t>
        </x:is>
      </x:c>
      <x:c r="V52" s="5" t="inlineStr">
        <x:is>
          <x:t xml:space="preserve">Technical Safeguards</x:t>
        </x:is>
      </x:c>
      <x:c r="W52" s="28" t="inlineStr">
        <x:is>
          <x:t xml:space="preserve">https://www.ecfr.gov/current/title-45/subtitle-A/subchapter-C/part-164/section-164.312</x:t>
        </x:is>
      </x:c>
      <x:c r="X52" s="28" t="inlineStr">
        <x:is>
          <x:t xml:space="preserve">https://www.hhs.gov/hipaa/for-professionals/faq/2001/is-the-use-of-encryption-mandatory-in-the-security-rule/index.html</x:t>
        </x:is>
      </x:c>
      <x:c r="Y52" s="5" t="n"/>
      <x:c r="Z52" s="5" t="n"/>
      <x:c r="AA52" s="5" t="n"/>
      <x:c r="AB52" s="5" t="n"/>
      <x:c r="AC52" s="5" t="n"/>
      <x:c r="AD52" s="5" t="n"/>
      <x:c r="AE52" s="5" t="n"/>
      <x:c r="AF52" s="5" t="n"/>
      <x:c r="AG52" s="5" t="n"/>
      <x:c r="AH52" s="5" t="n"/>
      <x:c r="AI52" s="5" t="n"/>
      <x:c r="AJ52" s="5" t="n"/>
      <x:c r="AK52" s="5" t="n"/>
      <x:c r="AL52" s="5" t="n"/>
    </x:row>
    <x:row r="53" ht="30" customHeight="1">
      <x:c r="A53" s="5" t="inlineStr">
        <x:is>
          <x:t xml:space="preserve">HITRUST e1.csv</x:t>
        </x:is>
      </x:c>
      <x:c r="B53" s="5" t="inlineStr">
        <x:is>
          <x:t xml:space="preserve">ER-84</x:t>
        </x:is>
      </x:c>
      <x:c r="C53" s="5" t="inlineStr">
        <x:is>
          <x:t xml:space="preserve">Sample</x:t>
        </x:is>
      </x:c>
      <x:c r="D53" s="5" t="inlineStr">
        <x:is>
          <x:t xml:space="preserve">Employee Termination Ticket</x:t>
        </x:is>
      </x:c>
      <x:c r="E53" s="5" t="inlineStr">
        <x:is>
          <x:t xml:space="preserve">REQ-31-HIPAA</x:t>
        </x:is>
      </x:c>
      <x:c r="F53" s="5" t="inlineStr">
        <x:is>
          <x:t xml:space="preserve">11143.02i1Organizational.3</x:t>
        </x:is>
      </x:c>
      <x:c r="G53" s="5" t="inlineStr">
        <x:is>
          <x:t xml:space="preserve">1:1</x:t>
        </x:is>
      </x:c>
      <x:c r="H53" s="5" t="n">
        <x:v>2</x:v>
      </x:c>
      <x:c r="I53" s="5" t="inlineStr">
        <x:is>
          <x:t xml:space="preserve">45 CFR § 164.308(a)(3)(ii)(C); 45 CFR § 164.316(b)(1)</x:t>
        </x:is>
      </x:c>
      <x:c r="J53" s="5" t="inlineStr">
        <x:is>
          <x:t xml:space="preserve">Workforce Security — Termination Procedures; Documentation</x:t>
        </x:is>
      </x:c>
      <x:c r="K53" s="5" t="inlineStr">
        <x:is>
          <x:t xml:space="preserve">Composite</x:t>
        </x:is>
      </x:c>
      <x:c r="L53" s="5" t="inlineStr">
        <x:is>
          <x:t xml:space="preserve">Termination tickets/population evidence align directly to terminating access and documenting the action taken.</x:t>
        </x:is>
      </x:c>
      <x:c r="M53" s="28"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N53" s="5" t="inlineStr">
        <x:is>
          <x:t xml:space="preserve">Documentation is added because the row is explicit evidence that access-removal events were carried out and recorded.</x:t>
        </x:is>
      </x:c>
      <x:c r="O53" s="5" t="inlineStr">
        <x:is>
          <x:t xml:space="preserve">11143.02i1 Organizational.3</x:t>
        </x:is>
      </x:c>
      <x:c r="P53" s="5" t="n">
        <x:v>2</x:v>
      </x:c>
      <x:c r="Q53" s="5" t="n"/>
      <x:c r="R53" s="5" t="inlineStr">
        <x:is>
          <x:t xml:space="preserve">45 C.F.R. § 164.308(a)(3)(ii)(C)</x:t>
        </x:is>
      </x:c>
      <x:c r="S53" s="5" t="inlineStr">
        <x:is>
          <x:t xml:space="preserve">Workforce Security — Termination Procedures</x:t>
        </x:is>
      </x:c>
      <x:c r="T53" s="5" t="inlineStr">
        <x:is>
          <x:t xml:space="preserve">Implement procedures for terminating a workforce member’s access to ePHI when employment ends or when access should otherwise be removed.</x:t>
        </x:is>
      </x:c>
      <x:c r="U53" s="5" t="inlineStr">
        <x:is>
          <x:t xml:space="preserve">Addressable implementation specification</x:t>
        </x:is>
      </x:c>
      <x:c r="V53" s="5" t="inlineStr">
        <x:is>
          <x:t xml:space="preserve">Administrative Safeguards</x:t>
        </x:is>
      </x:c>
      <x:c r="W53" s="28" t="inlineStr">
        <x:is>
          <x:t xml:space="preserve">https://www.ecfr.gov/current/title-45/subtitle-A/subchapter-C/part-164/section-164.308</x:t>
        </x:is>
      </x:c>
      <x:c r="X53" s="28" t="inlineStr">
        <x:is>
          <x:t xml:space="preserve">https://www.hhs.gov/hipaa/for-professionals/security/guidance/cybersecurity-newsletter-summer-2019/index.html</x:t>
        </x:is>
      </x:c>
      <x:c r="Y53" s="5" t="inlineStr">
        <x:is>
          <x:t xml:space="preserve">45 C.F.R. § 164.316(b)(1)</x:t>
        </x:is>
      </x:c>
      <x:c r="Z53" s="5" t="inlineStr">
        <x:is>
          <x:t xml:space="preserve">Documentation</x:t>
        </x:is>
      </x:c>
      <x:c r="AA53" s="5" t="inlineStr">
        <x:is>
          <x:t xml:space="preserve">Maintain written or electronic policies and procedures implemented to comply with the Security Rule and written or electronic records of required actions, activities, and assessments.</x:t>
        </x:is>
      </x:c>
      <x:c r="AB53" s="5" t="inlineStr">
        <x:is>
          <x:t xml:space="preserve">Standard</x:t>
        </x:is>
      </x:c>
      <x:c r="AC53" s="5" t="inlineStr">
        <x:is>
          <x:t xml:space="preserve">Policies / Documentation</x:t>
        </x:is>
      </x:c>
      <x:c r="AD53" s="28" t="inlineStr">
        <x:is>
          <x:t xml:space="preserve">https://www.ecfr.gov/current/title-45/subtitle-A/subchapter-C/part-164/section-164.316</x:t>
        </x:is>
      </x:c>
      <x:c r="AE53" s="28" t="inlineStr">
        <x:is>
          <x:t xml:space="preserve">https://www.hhs.gov/sites/default/files/ocr/privacy/hipaa/administrative/securityrule/pprequirements.pdf</x:t>
        </x:is>
      </x:c>
      <x:c r="AF53" s="5" t="n"/>
      <x:c r="AG53" s="5" t="n"/>
      <x:c r="AH53" s="5" t="n"/>
      <x:c r="AI53" s="5" t="n"/>
      <x:c r="AJ53" s="5" t="n"/>
      <x:c r="AK53" s="5" t="n"/>
      <x:c r="AL53" s="5" t="n"/>
    </x:row>
    <x:row r="54" ht="30" customHeight="1">
      <x:c r="A54" s="5" t="inlineStr">
        <x:is>
          <x:t xml:space="preserve">HITRUST e1.csv</x:t>
        </x:is>
      </x:c>
      <x:c r="B54" s="5" t="inlineStr">
        <x:is>
          <x:t xml:space="preserve">ER-3</x:t>
        </x:is>
      </x:c>
      <x:c r="C54" s="5" t="inlineStr">
        <x:is>
          <x:t xml:space="preserve">Configuration</x:t>
        </x:is>
      </x:c>
      <x:c r="D54" s="5" t="inlineStr">
        <x:is>
          <x:t xml:space="preserve">Encryption In Transit (Ex. TLS Protocols)</x:t>
        </x:is>
      </x:c>
      <x:c r="E54" s="5" t="inlineStr">
        <x:is>
          <x:t xml:space="preserve">REQ-33-HIPAA</x:t>
        </x:is>
      </x:c>
      <x:c r="F54" s="5" t="inlineStr">
        <x:is>
          <x:t xml:space="preserve">04.01x1Organizational.5</x:t>
        </x:is>
      </x:c>
      <x:c r="G54" s="5" t="inlineStr">
        <x:is>
          <x:t xml:space="preserve">Many:Many</x:t>
        </x:is>
      </x:c>
      <x:c r="H54" s="5" t="n">
        <x:v>2</x:v>
      </x:c>
      <x:c r="I54" s="5" t="inlineStr">
        <x:is>
          <x:t xml:space="preserve">45 CFR § 164.312(e)(2)(ii)</x:t>
        </x:is>
      </x:c>
      <x:c r="J54" s="5" t="inlineStr">
        <x:is>
          <x:t xml:space="preserve">Transmission Security — Encryption</x:t>
        </x:is>
      </x:c>
      <x:c r="K54" s="5" t="inlineStr">
        <x:is>
          <x:t xml:space="preserve">Direct</x:t>
        </x:is>
      </x:c>
      <x:c r="L54" s="5" t="inlineStr">
        <x:is>
          <x:t xml:space="preserve">Transmission-encryption evidence aligns directly to the transmission-security encryption implementation specification.</x:t>
        </x:is>
      </x:c>
      <x:c r="M54"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4" s="5" t="inlineStr">
        <x:is>
          <x:t xml:space="preserve">Used when the shared action item is explicitly in-transit encryption.</x:t>
        </x:is>
      </x:c>
      <x:c r="O54" s="5" t="inlineStr">
        <x:is>
          <x:t xml:space="preserve">04.01x1 Organizational.5</x:t>
        </x:is>
      </x:c>
      <x:c r="P54" s="5" t="n">
        <x:v>1</x:v>
      </x:c>
      <x:c r="Q54" s="5" t="n"/>
      <x:c r="R54" s="5" t="inlineStr">
        <x:is>
          <x:t xml:space="preserve">45 C.F.R. § 164.312(e)(2)(ii)</x:t>
        </x:is>
      </x:c>
      <x:c r="S54" s="5" t="inlineStr">
        <x:is>
          <x:t xml:space="preserve">Transmission Security — Encryption</x:t>
        </x:is>
      </x:c>
      <x:c r="T54" s="5" t="inlineStr">
        <x:is>
          <x:t xml:space="preserve">Implement a mechanism to encrypt ePHI whenever deemed appropriate during electronic transmission.</x:t>
        </x:is>
      </x:c>
      <x:c r="U54" s="5" t="inlineStr">
        <x:is>
          <x:t xml:space="preserve">Addressable implementation specification</x:t>
        </x:is>
      </x:c>
      <x:c r="V54" s="5" t="inlineStr">
        <x:is>
          <x:t xml:space="preserve">Technical Safeguards</x:t>
        </x:is>
      </x:c>
      <x:c r="W54" s="28" t="inlineStr">
        <x:is>
          <x:t xml:space="preserve">https://www.ecfr.gov/current/title-45/subtitle-A/subchapter-C/part-164/section-164.312</x:t>
        </x:is>
      </x:c>
      <x:c r="X54" s="28" t="inlineStr">
        <x:is>
          <x:t xml:space="preserve">https://www.hhs.gov/hipaa/for-professionals/faq/2001/is-the-use-of-encryption-mandatory-in-the-security-rule/index.html</x:t>
        </x:is>
      </x:c>
      <x:c r="Y54" s="5" t="n"/>
      <x:c r="Z54" s="5" t="n"/>
      <x:c r="AA54" s="5" t="n"/>
      <x:c r="AB54" s="5" t="n"/>
      <x:c r="AC54" s="5" t="n"/>
      <x:c r="AD54" s="5" t="n"/>
      <x:c r="AE54" s="5" t="n"/>
      <x:c r="AF54" s="5" t="n"/>
      <x:c r="AG54" s="5" t="n"/>
      <x:c r="AH54" s="5" t="n"/>
      <x:c r="AI54" s="5" t="n"/>
      <x:c r="AJ54" s="5" t="n"/>
      <x:c r="AK54" s="5" t="n"/>
      <x:c r="AL54" s="5" t="n"/>
    </x:row>
    <x:row r="55" ht="30" customHeight="1">
      <x:c r="A55" s="5" t="inlineStr">
        <x:is>
          <x:t xml:space="preserve">HITRUST e1.csv</x:t>
        </x:is>
      </x:c>
      <x:c r="B55" s="5" t="inlineStr">
        <x:is>
          <x:t xml:space="preserve">ER-3</x:t>
        </x:is>
      </x:c>
      <x:c r="C55" s="5" t="inlineStr">
        <x:is>
          <x:t xml:space="preserve">Configuration</x:t>
        </x:is>
      </x:c>
      <x:c r="D55" s="5" t="inlineStr">
        <x:is>
          <x:t xml:space="preserve">Encryption In Transit (Ex. TLS Protocols)</x:t>
        </x:is>
      </x:c>
      <x:c r="E55" s="5" t="inlineStr">
        <x:is>
          <x:t xml:space="preserve">REQ-33-HIPAA</x:t>
        </x:is>
      </x:c>
      <x:c r="F55" s="5" t="inlineStr">
        <x:is>
          <x:t xml:space="preserve">0862.09m2Organizational.8</x:t>
        </x:is>
      </x:c>
      <x:c r="G55" s="5" t="inlineStr">
        <x:is>
          <x:t xml:space="preserve">Many:Many</x:t>
        </x:is>
      </x:c>
      <x:c r="H55" s="5" t="n">
        <x:v>1</x:v>
      </x:c>
      <x:c r="I55" s="5" t="inlineStr">
        <x:is>
          <x:t xml:space="preserve">45 CFR § 164.312(e)(2)(ii)</x:t>
        </x:is>
      </x:c>
      <x:c r="J55" s="5" t="inlineStr">
        <x:is>
          <x:t xml:space="preserve">Transmission Security — Encryption</x:t>
        </x:is>
      </x:c>
      <x:c r="K55" s="5" t="inlineStr">
        <x:is>
          <x:t xml:space="preserve">Direct</x:t>
        </x:is>
      </x:c>
      <x:c r="L55" s="5" t="inlineStr">
        <x:is>
          <x:t xml:space="preserve">Transmission-encryption evidence aligns directly to the transmission-security encryption implementation specification.</x:t>
        </x:is>
      </x:c>
      <x:c r="M55"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5" s="5" t="inlineStr">
        <x:is>
          <x:t xml:space="preserve">Used when the shared action item is explicitly in-transit encryption.</x:t>
        </x:is>
      </x:c>
      <x:c r="O55" s="5" t="inlineStr">
        <x:is>
          <x:t xml:space="preserve">0862.09m2 Organizational.8</x:t>
        </x:is>
      </x:c>
      <x:c r="P55" s="5" t="n">
        <x:v>1</x:v>
      </x:c>
      <x:c r="Q55" s="5" t="n"/>
      <x:c r="R55" s="5" t="inlineStr">
        <x:is>
          <x:t xml:space="preserve">45 C.F.R. § 164.312(e)(2)(ii)</x:t>
        </x:is>
      </x:c>
      <x:c r="S55" s="5" t="inlineStr">
        <x:is>
          <x:t xml:space="preserve">Transmission Security — Encryption</x:t>
        </x:is>
      </x:c>
      <x:c r="T55" s="5" t="inlineStr">
        <x:is>
          <x:t xml:space="preserve">Implement a mechanism to encrypt ePHI whenever deemed appropriate during electronic transmission.</x:t>
        </x:is>
      </x:c>
      <x:c r="U55" s="5" t="inlineStr">
        <x:is>
          <x:t xml:space="preserve">Addressable implementation specification</x:t>
        </x:is>
      </x:c>
      <x:c r="V55" s="5" t="inlineStr">
        <x:is>
          <x:t xml:space="preserve">Technical Safeguards</x:t>
        </x:is>
      </x:c>
      <x:c r="W55" s="28" t="inlineStr">
        <x:is>
          <x:t xml:space="preserve">https://www.ecfr.gov/current/title-45/subtitle-A/subchapter-C/part-164/section-164.312</x:t>
        </x:is>
      </x:c>
      <x:c r="X55" s="28" t="inlineStr">
        <x:is>
          <x:t xml:space="preserve">https://www.hhs.gov/hipaa/for-professionals/faq/2001/is-the-use-of-encryption-mandatory-in-the-security-rule/index.html</x:t>
        </x:is>
      </x:c>
      <x:c r="Y55" s="5" t="n"/>
      <x:c r="Z55" s="5" t="n"/>
      <x:c r="AA55" s="5" t="n"/>
      <x:c r="AB55" s="5" t="n"/>
      <x:c r="AC55" s="5" t="n"/>
      <x:c r="AD55" s="5" t="n"/>
      <x:c r="AE55" s="5" t="n"/>
      <x:c r="AF55" s="5" t="n"/>
      <x:c r="AG55" s="5" t="n"/>
      <x:c r="AH55" s="5" t="n"/>
      <x:c r="AI55" s="5" t="n"/>
      <x:c r="AJ55" s="5" t="n"/>
      <x:c r="AK55" s="5" t="n"/>
      <x:c r="AL55" s="5" t="n"/>
    </x:row>
    <x:row r="56" ht="30" customHeight="1">
      <x:c r="A56" s="5" t="inlineStr">
        <x:is>
          <x:t xml:space="preserve">HITRUST e1.csv</x:t>
        </x:is>
      </x:c>
      <x:c r="B56" s="5" t="inlineStr">
        <x:is>
          <x:t xml:space="preserve">ER-3</x:t>
        </x:is>
      </x:c>
      <x:c r="C56" s="5" t="inlineStr">
        <x:is>
          <x:t xml:space="preserve">Configuration</x:t>
        </x:is>
      </x:c>
      <x:c r="D56" s="5" t="inlineStr">
        <x:is>
          <x:t xml:space="preserve">Encryption In Transit (Ex. TLS Protocols)</x:t>
        </x:is>
      </x:c>
      <x:c r="E56" s="5" t="inlineStr">
        <x:is>
          <x:t xml:space="preserve">REQ-33-HIPAA</x:t>
        </x:is>
      </x:c>
      <x:c r="F56" s="5" t="inlineStr">
        <x:is>
          <x:t xml:space="preserve">0903.10f1Organizational.1.a</x:t>
        </x:is>
      </x:c>
      <x:c r="G56" s="5" t="inlineStr">
        <x:is>
          <x:t xml:space="preserve">Many:Many</x:t>
        </x:is>
      </x:c>
      <x:c r="H56" s="5" t="n">
        <x:v>1</x:v>
      </x:c>
      <x:c r="I56" s="5" t="inlineStr">
        <x:is>
          <x:t xml:space="preserve">45 CFR § 164.312(e)(2)(ii)</x:t>
        </x:is>
      </x:c>
      <x:c r="J56" s="5" t="inlineStr">
        <x:is>
          <x:t xml:space="preserve">Transmission Security — Encryption</x:t>
        </x:is>
      </x:c>
      <x:c r="K56" s="5" t="inlineStr">
        <x:is>
          <x:t xml:space="preserve">Direct</x:t>
        </x:is>
      </x:c>
      <x:c r="L56" s="5" t="inlineStr">
        <x:is>
          <x:t xml:space="preserve">Transmission-encryption evidence aligns directly to the transmission-security encryption implementation specification.</x:t>
        </x:is>
      </x:c>
      <x:c r="M56"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6" s="5" t="inlineStr">
        <x:is>
          <x:t xml:space="preserve">Used when the shared action item is explicitly in-transit encryption.</x:t>
        </x:is>
      </x:c>
      <x:c r="O56" s="5" t="inlineStr">
        <x:is>
          <x:t xml:space="preserve">0903.10f1 Organizational.1.a</x:t>
        </x:is>
      </x:c>
      <x:c r="P56" s="5" t="n">
        <x:v>1</x:v>
      </x:c>
      <x:c r="Q56" s="5" t="n"/>
      <x:c r="R56" s="5" t="inlineStr">
        <x:is>
          <x:t xml:space="preserve">45 C.F.R. § 164.312(e)(2)(ii)</x:t>
        </x:is>
      </x:c>
      <x:c r="S56" s="5" t="inlineStr">
        <x:is>
          <x:t xml:space="preserve">Transmission Security — Encryption</x:t>
        </x:is>
      </x:c>
      <x:c r="T56" s="5" t="inlineStr">
        <x:is>
          <x:t xml:space="preserve">Implement a mechanism to encrypt ePHI whenever deemed appropriate during electronic transmission.</x:t>
        </x:is>
      </x:c>
      <x:c r="U56" s="5" t="inlineStr">
        <x:is>
          <x:t xml:space="preserve">Addressable implementation specification</x:t>
        </x:is>
      </x:c>
      <x:c r="V56" s="5" t="inlineStr">
        <x:is>
          <x:t xml:space="preserve">Technical Safeguards</x:t>
        </x:is>
      </x:c>
      <x:c r="W56" s="28" t="inlineStr">
        <x:is>
          <x:t xml:space="preserve">https://www.ecfr.gov/current/title-45/subtitle-A/subchapter-C/part-164/section-164.312</x:t>
        </x:is>
      </x:c>
      <x:c r="X56" s="28" t="inlineStr">
        <x:is>
          <x:t xml:space="preserve">https://www.hhs.gov/hipaa/for-professionals/faq/2001/is-the-use-of-encryption-mandatory-in-the-security-rule/index.html</x:t>
        </x:is>
      </x:c>
      <x:c r="Y56" s="5" t="n"/>
      <x:c r="Z56" s="5" t="n"/>
      <x:c r="AA56" s="5" t="n"/>
      <x:c r="AB56" s="5" t="n"/>
      <x:c r="AC56" s="5" t="n"/>
      <x:c r="AD56" s="5" t="n"/>
      <x:c r="AE56" s="5" t="n"/>
      <x:c r="AF56" s="5" t="n"/>
      <x:c r="AG56" s="5" t="n"/>
      <x:c r="AH56" s="5" t="n"/>
      <x:c r="AI56" s="5" t="n"/>
      <x:c r="AJ56" s="5" t="n"/>
      <x:c r="AK56" s="5" t="n"/>
      <x:c r="AL56" s="5" t="n"/>
    </x:row>
    <x:row r="57" ht="30" customHeight="1">
      <x:c r="A57" s="5" t="inlineStr">
        <x:is>
          <x:t xml:space="preserve">HITRUST e1.csv</x:t>
        </x:is>
      </x:c>
      <x:c r="B57" s="5" t="inlineStr">
        <x:is>
          <x:t xml:space="preserve">ER-3</x:t>
        </x:is>
      </x:c>
      <x:c r="C57" s="5" t="inlineStr">
        <x:is>
          <x:t xml:space="preserve">Configuration</x:t>
        </x:is>
      </x:c>
      <x:c r="D57" s="5" t="inlineStr">
        <x:is>
          <x:t xml:space="preserve">Encryption In Transit (Ex. TLS Protocols)</x:t>
        </x:is>
      </x:c>
      <x:c r="E57" s="5" t="inlineStr">
        <x:is>
          <x:t xml:space="preserve">REQ-33-HIPAA</x:t>
        </x:is>
      </x:c>
      <x:c r="F57" s="5" t="inlineStr">
        <x:is>
          <x:t xml:space="preserve">0913.09s1Organizational.5</x:t>
        </x:is>
      </x:c>
      <x:c r="G57" s="5" t="inlineStr">
        <x:is>
          <x:t xml:space="preserve">Many:Many</x:t>
        </x:is>
      </x:c>
      <x:c r="H57" s="5" t="n">
        <x:v>1</x:v>
      </x:c>
      <x:c r="I57" s="5" t="inlineStr">
        <x:is>
          <x:t xml:space="preserve">45 CFR § 164.312(e)(2)(ii)</x:t>
        </x:is>
      </x:c>
      <x:c r="J57" s="5" t="inlineStr">
        <x:is>
          <x:t xml:space="preserve">Transmission Security — Encryption</x:t>
        </x:is>
      </x:c>
      <x:c r="K57" s="5" t="inlineStr">
        <x:is>
          <x:t xml:space="preserve">Direct</x:t>
        </x:is>
      </x:c>
      <x:c r="L57" s="5" t="inlineStr">
        <x:is>
          <x:t xml:space="preserve">Transmission-encryption evidence aligns directly to the transmission-security encryption implementation specification.</x:t>
        </x:is>
      </x:c>
      <x:c r="M57"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7" s="5" t="inlineStr">
        <x:is>
          <x:t xml:space="preserve">Used when the shared action item is explicitly in-transit encryption.</x:t>
        </x:is>
      </x:c>
      <x:c r="O57" s="5" t="inlineStr">
        <x:is>
          <x:t xml:space="preserve">0913.09s1 Organizational.5</x:t>
        </x:is>
      </x:c>
      <x:c r="P57" s="5" t="n">
        <x:v>1</x:v>
      </x:c>
      <x:c r="Q57" s="5" t="n"/>
      <x:c r="R57" s="5" t="inlineStr">
        <x:is>
          <x:t xml:space="preserve">45 C.F.R. § 164.312(e)(2)(ii)</x:t>
        </x:is>
      </x:c>
      <x:c r="S57" s="5" t="inlineStr">
        <x:is>
          <x:t xml:space="preserve">Transmission Security — Encryption</x:t>
        </x:is>
      </x:c>
      <x:c r="T57" s="5" t="inlineStr">
        <x:is>
          <x:t xml:space="preserve">Implement a mechanism to encrypt ePHI whenever deemed appropriate during electronic transmission.</x:t>
        </x:is>
      </x:c>
      <x:c r="U57" s="5" t="inlineStr">
        <x:is>
          <x:t xml:space="preserve">Addressable implementation specification</x:t>
        </x:is>
      </x:c>
      <x:c r="V57" s="5" t="inlineStr">
        <x:is>
          <x:t xml:space="preserve">Technical Safeguards</x:t>
        </x:is>
      </x:c>
      <x:c r="W57" s="28" t="inlineStr">
        <x:is>
          <x:t xml:space="preserve">https://www.ecfr.gov/current/title-45/subtitle-A/subchapter-C/part-164/section-164.312</x:t>
        </x:is>
      </x:c>
      <x:c r="X57" s="28" t="inlineStr">
        <x:is>
          <x:t xml:space="preserve">https://www.hhs.gov/hipaa/for-professionals/faq/2001/is-the-use-of-encryption-mandatory-in-the-security-rule/index.html</x:t>
        </x:is>
      </x:c>
      <x:c r="Y57" s="5" t="n"/>
      <x:c r="Z57" s="5" t="n"/>
      <x:c r="AA57" s="5" t="n"/>
      <x:c r="AB57" s="5" t="n"/>
      <x:c r="AC57" s="5" t="n"/>
      <x:c r="AD57" s="5" t="n"/>
      <x:c r="AE57" s="5" t="n"/>
      <x:c r="AF57" s="5" t="n"/>
      <x:c r="AG57" s="5" t="n"/>
      <x:c r="AH57" s="5" t="n"/>
      <x:c r="AI57" s="5" t="n"/>
      <x:c r="AJ57" s="5" t="n"/>
      <x:c r="AK57" s="5" t="n"/>
      <x:c r="AL57" s="5" t="n"/>
    </x:row>
    <x:row r="58" ht="30" customHeight="1">
      <x:c r="A58" s="5" t="inlineStr">
        <x:is>
          <x:t xml:space="preserve">HITRUST e1.csv</x:t>
        </x:is>
      </x:c>
      <x:c r="B58" s="5" t="inlineStr">
        <x:is>
          <x:t xml:space="preserve">ER-3</x:t>
        </x:is>
      </x:c>
      <x:c r="C58" s="5" t="inlineStr">
        <x:is>
          <x:t xml:space="preserve">Configuration</x:t>
        </x:is>
      </x:c>
      <x:c r="D58" s="5" t="inlineStr">
        <x:is>
          <x:t xml:space="preserve">Encryption In Transit (Ex. TLS Protocols)</x:t>
        </x:is>
      </x:c>
      <x:c r="E58" s="5" t="inlineStr">
        <x:is>
          <x:t xml:space="preserve">REQ-33-HIPAA</x:t>
        </x:is>
      </x:c>
      <x:c r="F58" s="5" t="inlineStr">
        <x:is>
          <x:t xml:space="preserve">0928.09v2Organizational.1</x:t>
        </x:is>
      </x:c>
      <x:c r="G58" s="5" t="inlineStr">
        <x:is>
          <x:t xml:space="preserve">Many:Many</x:t>
        </x:is>
      </x:c>
      <x:c r="H58" s="5" t="n">
        <x:v>1</x:v>
      </x:c>
      <x:c r="I58" s="5" t="inlineStr">
        <x:is>
          <x:t xml:space="preserve">45 CFR § 164.312(e)(2)(ii)</x:t>
        </x:is>
      </x:c>
      <x:c r="J58" s="5" t="inlineStr">
        <x:is>
          <x:t xml:space="preserve">Transmission Security — Encryption</x:t>
        </x:is>
      </x:c>
      <x:c r="K58" s="5" t="inlineStr">
        <x:is>
          <x:t xml:space="preserve">Direct</x:t>
        </x:is>
      </x:c>
      <x:c r="L58" s="5" t="inlineStr">
        <x:is>
          <x:t xml:space="preserve">Transmission-encryption evidence aligns directly to the transmission-security encryption implementation specification.</x:t>
        </x:is>
      </x:c>
      <x:c r="M58"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8" s="5" t="inlineStr">
        <x:is>
          <x:t xml:space="preserve">Used when the shared action item is explicitly in-transit encryption.</x:t>
        </x:is>
      </x:c>
      <x:c r="O58" s="5" t="inlineStr">
        <x:is>
          <x:t xml:space="preserve">0928.09v2 Organizational.1</x:t>
        </x:is>
      </x:c>
      <x:c r="P58" s="5" t="n">
        <x:v>1</x:v>
      </x:c>
      <x:c r="Q58" s="5" t="n"/>
      <x:c r="R58" s="5" t="inlineStr">
        <x:is>
          <x:t xml:space="preserve">45 C.F.R. § 164.312(e)(2)(ii)</x:t>
        </x:is>
      </x:c>
      <x:c r="S58" s="5" t="inlineStr">
        <x:is>
          <x:t xml:space="preserve">Transmission Security — Encryption</x:t>
        </x:is>
      </x:c>
      <x:c r="T58" s="5" t="inlineStr">
        <x:is>
          <x:t xml:space="preserve">Implement a mechanism to encrypt ePHI whenever deemed appropriate during electronic transmission.</x:t>
        </x:is>
      </x:c>
      <x:c r="U58" s="5" t="inlineStr">
        <x:is>
          <x:t xml:space="preserve">Addressable implementation specification</x:t>
        </x:is>
      </x:c>
      <x:c r="V58" s="5" t="inlineStr">
        <x:is>
          <x:t xml:space="preserve">Technical Safeguards</x:t>
        </x:is>
      </x:c>
      <x:c r="W58" s="28" t="inlineStr">
        <x:is>
          <x:t xml:space="preserve">https://www.ecfr.gov/current/title-45/subtitle-A/subchapter-C/part-164/section-164.312</x:t>
        </x:is>
      </x:c>
      <x:c r="X58" s="28" t="inlineStr">
        <x:is>
          <x:t xml:space="preserve">https://www.hhs.gov/hipaa/for-professionals/faq/2001/is-the-use-of-encryption-mandatory-in-the-security-rule/index.html</x:t>
        </x:is>
      </x:c>
      <x:c r="Y58" s="5" t="n"/>
      <x:c r="Z58" s="5" t="n"/>
      <x:c r="AA58" s="5" t="n"/>
      <x:c r="AB58" s="5" t="n"/>
      <x:c r="AC58" s="5" t="n"/>
      <x:c r="AD58" s="5" t="n"/>
      <x:c r="AE58" s="5" t="n"/>
      <x:c r="AF58" s="5" t="n"/>
      <x:c r="AG58" s="5" t="n"/>
      <x:c r="AH58" s="5" t="n"/>
      <x:c r="AI58" s="5" t="n"/>
      <x:c r="AJ58" s="5" t="n"/>
      <x:c r="AK58" s="5" t="n"/>
      <x:c r="AL58" s="5" t="n"/>
    </x:row>
    <x:row r="59" ht="30" customHeight="1">
      <x:c r="A59" s="5" t="inlineStr">
        <x:is>
          <x:t xml:space="preserve">HITRUST e1.csv</x:t>
        </x:is>
      </x:c>
      <x:c r="B59" s="5" t="inlineStr">
        <x:is>
          <x:t xml:space="preserve">ER-3</x:t>
        </x:is>
      </x:c>
      <x:c r="C59" s="5" t="inlineStr">
        <x:is>
          <x:t xml:space="preserve">Configuration</x:t>
        </x:is>
      </x:c>
      <x:c r="D59" s="5" t="inlineStr">
        <x:is>
          <x:t xml:space="preserve">Encryption In Transit (Ex. TLS Protocols)</x:t>
        </x:is>
      </x:c>
      <x:c r="E59" s="5" t="inlineStr">
        <x:is>
          <x:t xml:space="preserve">REQ-33-HIPAA</x:t>
        </x:is>
      </x:c>
      <x:c r="F59" s="5" t="inlineStr">
        <x:is>
          <x:t xml:space="preserve">0945.09y1Organizational.3</x:t>
        </x:is>
      </x:c>
      <x:c r="G59" s="5" t="inlineStr">
        <x:is>
          <x:t xml:space="preserve">Many:Many</x:t>
        </x:is>
      </x:c>
      <x:c r="H59" s="5" t="n">
        <x:v>1</x:v>
      </x:c>
      <x:c r="I59" s="5" t="inlineStr">
        <x:is>
          <x:t xml:space="preserve">45 CFR § 164.312(e)(2)(ii)</x:t>
        </x:is>
      </x:c>
      <x:c r="J59" s="5" t="inlineStr">
        <x:is>
          <x:t xml:space="preserve">Transmission Security — Encryption</x:t>
        </x:is>
      </x:c>
      <x:c r="K59" s="5" t="inlineStr">
        <x:is>
          <x:t xml:space="preserve">Direct</x:t>
        </x:is>
      </x:c>
      <x:c r="L59" s="5" t="inlineStr">
        <x:is>
          <x:t xml:space="preserve">Transmission-encryption evidence aligns directly to the transmission-security encryption implementation specification.</x:t>
        </x:is>
      </x:c>
      <x:c r="M59"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59" s="5" t="inlineStr">
        <x:is>
          <x:t xml:space="preserve">Used when the shared action item is explicitly in-transit encryption.</x:t>
        </x:is>
      </x:c>
      <x:c r="O59" s="5" t="inlineStr">
        <x:is>
          <x:t xml:space="preserve">0945.09y1 Organizational.3</x:t>
        </x:is>
      </x:c>
      <x:c r="P59" s="5" t="n">
        <x:v>1</x:v>
      </x:c>
      <x:c r="Q59" s="5" t="n"/>
      <x:c r="R59" s="5" t="inlineStr">
        <x:is>
          <x:t xml:space="preserve">45 C.F.R. § 164.312(e)(2)(ii)</x:t>
        </x:is>
      </x:c>
      <x:c r="S59" s="5" t="inlineStr">
        <x:is>
          <x:t xml:space="preserve">Transmission Security — Encryption</x:t>
        </x:is>
      </x:c>
      <x:c r="T59" s="5" t="inlineStr">
        <x:is>
          <x:t xml:space="preserve">Implement a mechanism to encrypt ePHI whenever deemed appropriate during electronic transmission.</x:t>
        </x:is>
      </x:c>
      <x:c r="U59" s="5" t="inlineStr">
        <x:is>
          <x:t xml:space="preserve">Addressable implementation specification</x:t>
        </x:is>
      </x:c>
      <x:c r="V59" s="5" t="inlineStr">
        <x:is>
          <x:t xml:space="preserve">Technical Safeguards</x:t>
        </x:is>
      </x:c>
      <x:c r="W59" s="28" t="inlineStr">
        <x:is>
          <x:t xml:space="preserve">https://www.ecfr.gov/current/title-45/subtitle-A/subchapter-C/part-164/section-164.312</x:t>
        </x:is>
      </x:c>
      <x:c r="X59" s="28" t="inlineStr">
        <x:is>
          <x:t xml:space="preserve">https://www.hhs.gov/hipaa/for-professionals/faq/2001/is-the-use-of-encryption-mandatory-in-the-security-rule/index.html</x:t>
        </x:is>
      </x:c>
      <x:c r="Y59" s="5" t="n"/>
      <x:c r="Z59" s="5" t="n"/>
      <x:c r="AA59" s="5" t="n"/>
      <x:c r="AB59" s="5" t="n"/>
      <x:c r="AC59" s="5" t="n"/>
      <x:c r="AD59" s="5" t="n"/>
      <x:c r="AE59" s="5" t="n"/>
      <x:c r="AF59" s="5" t="n"/>
      <x:c r="AG59" s="5" t="n"/>
      <x:c r="AH59" s="5" t="n"/>
      <x:c r="AI59" s="5" t="n"/>
      <x:c r="AJ59" s="5" t="n"/>
      <x:c r="AK59" s="5" t="n"/>
      <x:c r="AL59" s="5" t="n"/>
    </x:row>
    <x:row r="60" ht="30" customHeight="1">
      <x:c r="A60" s="5" t="inlineStr">
        <x:is>
          <x:t xml:space="preserve">HITRUST e1.csv</x:t>
        </x:is>
      </x:c>
      <x:c r="B60" s="5" t="inlineStr">
        <x:is>
          <x:t xml:space="preserve">ER-3</x:t>
        </x:is>
      </x:c>
      <x:c r="C60" s="5" t="inlineStr">
        <x:is>
          <x:t xml:space="preserve">Configuration</x:t>
        </x:is>
      </x:c>
      <x:c r="D60" s="5" t="inlineStr">
        <x:is>
          <x:t xml:space="preserve">Encryption In Transit (Ex. TLS Protocols)</x:t>
        </x:is>
      </x:c>
      <x:c r="E60" s="5" t="inlineStr">
        <x:is>
          <x:t xml:space="preserve">REQ-33-HIPAA</x:t>
        </x:is>
      </x:c>
      <x:c r="F60" s="5" t="inlineStr">
        <x:is>
          <x:t xml:space="preserve">0954.10d1System.1</x:t>
        </x:is>
      </x:c>
      <x:c r="G60" s="5" t="inlineStr">
        <x:is>
          <x:t xml:space="preserve">Many:Many</x:t>
        </x:is>
      </x:c>
      <x:c r="H60" s="5" t="n">
        <x:v>1</x:v>
      </x:c>
      <x:c r="I60" s="5" t="inlineStr">
        <x:is>
          <x:t xml:space="preserve">45 CFR § 164.312(e)(2)(ii)</x:t>
        </x:is>
      </x:c>
      <x:c r="J60" s="5" t="inlineStr">
        <x:is>
          <x:t xml:space="preserve">Transmission Security — Encryption</x:t>
        </x:is>
      </x:c>
      <x:c r="K60" s="5" t="inlineStr">
        <x:is>
          <x:t xml:space="preserve">Direct</x:t>
        </x:is>
      </x:c>
      <x:c r="L60" s="5" t="inlineStr">
        <x:is>
          <x:t xml:space="preserve">Transmission-encryption evidence aligns directly to the transmission-security encryption implementation specification.</x:t>
        </x:is>
      </x:c>
      <x:c r="M60"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0" s="5" t="inlineStr">
        <x:is>
          <x:t xml:space="preserve">Used when the shared action item is explicitly in-transit encryption.</x:t>
        </x:is>
      </x:c>
      <x:c r="O60" s="5" t="inlineStr">
        <x:is>
          <x:t xml:space="preserve">0954.10d1 System.1</x:t>
        </x:is>
      </x:c>
      <x:c r="P60" s="5" t="n">
        <x:v>1</x:v>
      </x:c>
      <x:c r="Q60" s="5" t="n"/>
      <x:c r="R60" s="5" t="inlineStr">
        <x:is>
          <x:t xml:space="preserve">45 C.F.R. § 164.312(e)(2)(ii)</x:t>
        </x:is>
      </x:c>
      <x:c r="S60" s="5" t="inlineStr">
        <x:is>
          <x:t xml:space="preserve">Transmission Security — Encryption</x:t>
        </x:is>
      </x:c>
      <x:c r="T60" s="5" t="inlineStr">
        <x:is>
          <x:t xml:space="preserve">Implement a mechanism to encrypt ePHI whenever deemed appropriate during electronic transmission.</x:t>
        </x:is>
      </x:c>
      <x:c r="U60" s="5" t="inlineStr">
        <x:is>
          <x:t xml:space="preserve">Addressable implementation specification</x:t>
        </x:is>
      </x:c>
      <x:c r="V60" s="5" t="inlineStr">
        <x:is>
          <x:t xml:space="preserve">Technical Safeguards</x:t>
        </x:is>
      </x:c>
      <x:c r="W60" s="28" t="inlineStr">
        <x:is>
          <x:t xml:space="preserve">https://www.ecfr.gov/current/title-45/subtitle-A/subchapter-C/part-164/section-164.312</x:t>
        </x:is>
      </x:c>
      <x:c r="X60" s="28" t="inlineStr">
        <x:is>
          <x:t xml:space="preserve">https://www.hhs.gov/hipaa/for-professionals/faq/2001/is-the-use-of-encryption-mandatory-in-the-security-rule/index.html</x:t>
        </x:is>
      </x:c>
      <x:c r="Y60" s="5" t="n"/>
      <x:c r="Z60" s="5" t="n"/>
      <x:c r="AA60" s="5" t="n"/>
      <x:c r="AB60" s="5" t="n"/>
      <x:c r="AC60" s="5" t="n"/>
      <x:c r="AD60" s="5" t="n"/>
      <x:c r="AE60" s="5" t="n"/>
      <x:c r="AF60" s="5" t="n"/>
      <x:c r="AG60" s="5" t="n"/>
      <x:c r="AH60" s="5" t="n"/>
      <x:c r="AI60" s="5" t="n"/>
      <x:c r="AJ60" s="5" t="n"/>
      <x:c r="AK60" s="5" t="n"/>
      <x:c r="AL60" s="5" t="n"/>
    </x:row>
    <x:row r="61" ht="30" customHeight="1">
      <x:c r="A61" s="5" t="inlineStr">
        <x:is>
          <x:t xml:space="preserve">HITRUST e1.csv</x:t>
        </x:is>
      </x:c>
      <x:c r="B61" s="5" t="inlineStr">
        <x:is>
          <x:t xml:space="preserve">ER-3</x:t>
        </x:is>
      </x:c>
      <x:c r="C61" s="5" t="inlineStr">
        <x:is>
          <x:t xml:space="preserve">Configuration</x:t>
        </x:is>
      </x:c>
      <x:c r="D61" s="5" t="inlineStr">
        <x:is>
          <x:t xml:space="preserve">Encryption In Transit (Ex. TLS Protocols)</x:t>
        </x:is>
      </x:c>
      <x:c r="E61" s="5" t="inlineStr">
        <x:is>
          <x:t xml:space="preserve">REQ-33-HIPAA</x:t>
        </x:is>
      </x:c>
      <x:c r="F61" s="5" t="inlineStr">
        <x:is>
          <x:t xml:space="preserve">1013.01r1System.2</x:t>
        </x:is>
      </x:c>
      <x:c r="G61" s="5" t="inlineStr">
        <x:is>
          <x:t xml:space="preserve">Many:Many</x:t>
        </x:is>
      </x:c>
      <x:c r="H61" s="5" t="n">
        <x:v>1</x:v>
      </x:c>
      <x:c r="I61" s="5" t="inlineStr">
        <x:is>
          <x:t xml:space="preserve">45 CFR § 164.312(e)(2)(ii)</x:t>
        </x:is>
      </x:c>
      <x:c r="J61" s="5" t="inlineStr">
        <x:is>
          <x:t xml:space="preserve">Transmission Security — Encryption</x:t>
        </x:is>
      </x:c>
      <x:c r="K61" s="5" t="inlineStr">
        <x:is>
          <x:t xml:space="preserve">Direct</x:t>
        </x:is>
      </x:c>
      <x:c r="L61" s="5" t="inlineStr">
        <x:is>
          <x:t xml:space="preserve">Transmission-encryption evidence aligns directly to the transmission-security encryption implementation specification.</x:t>
        </x:is>
      </x:c>
      <x:c r="M61"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1" s="5" t="inlineStr">
        <x:is>
          <x:t xml:space="preserve">Used when the shared action item is explicitly in-transit encryption.</x:t>
        </x:is>
      </x:c>
      <x:c r="O61" s="5" t="inlineStr">
        <x:is>
          <x:t xml:space="preserve">1013.01r1 System.2</x:t>
        </x:is>
      </x:c>
      <x:c r="P61" s="5" t="n">
        <x:v>1</x:v>
      </x:c>
      <x:c r="Q61" s="5" t="n"/>
      <x:c r="R61" s="5" t="inlineStr">
        <x:is>
          <x:t xml:space="preserve">45 C.F.R. § 164.312(e)(2)(ii)</x:t>
        </x:is>
      </x:c>
      <x:c r="S61" s="5" t="inlineStr">
        <x:is>
          <x:t xml:space="preserve">Transmission Security — Encryption</x:t>
        </x:is>
      </x:c>
      <x:c r="T61" s="5" t="inlineStr">
        <x:is>
          <x:t xml:space="preserve">Implement a mechanism to encrypt ePHI whenever deemed appropriate during electronic transmission.</x:t>
        </x:is>
      </x:c>
      <x:c r="U61" s="5" t="inlineStr">
        <x:is>
          <x:t xml:space="preserve">Addressable implementation specification</x:t>
        </x:is>
      </x:c>
      <x:c r="V61" s="5" t="inlineStr">
        <x:is>
          <x:t xml:space="preserve">Technical Safeguards</x:t>
        </x:is>
      </x:c>
      <x:c r="W61" s="28" t="inlineStr">
        <x:is>
          <x:t xml:space="preserve">https://www.ecfr.gov/current/title-45/subtitle-A/subchapter-C/part-164/section-164.312</x:t>
        </x:is>
      </x:c>
      <x:c r="X61" s="28" t="inlineStr">
        <x:is>
          <x:t xml:space="preserve">https://www.hhs.gov/hipaa/for-professionals/faq/2001/is-the-use-of-encryption-mandatory-in-the-security-rule/index.html</x:t>
        </x:is>
      </x:c>
      <x:c r="Y61" s="5" t="n"/>
      <x:c r="Z61" s="5" t="n"/>
      <x:c r="AA61" s="5" t="n"/>
      <x:c r="AB61" s="5" t="n"/>
      <x:c r="AC61" s="5" t="n"/>
      <x:c r="AD61" s="5" t="n"/>
      <x:c r="AE61" s="5" t="n"/>
      <x:c r="AF61" s="5" t="n"/>
      <x:c r="AG61" s="5" t="n"/>
      <x:c r="AH61" s="5" t="n"/>
      <x:c r="AI61" s="5" t="n"/>
      <x:c r="AJ61" s="5" t="n"/>
      <x:c r="AK61" s="5" t="n"/>
      <x:c r="AL61" s="5" t="n"/>
    </x:row>
    <x:row r="62" ht="30" customHeight="1">
      <x:c r="A62" s="5" t="inlineStr">
        <x:is>
          <x:t xml:space="preserve">HITRUST e1.csv</x:t>
        </x:is>
      </x:c>
      <x:c r="B62" s="5" t="inlineStr">
        <x:is>
          <x:t xml:space="preserve">ER-3</x:t>
        </x:is>
      </x:c>
      <x:c r="C62" s="5" t="inlineStr">
        <x:is>
          <x:t xml:space="preserve">Configuration</x:t>
        </x:is>
      </x:c>
      <x:c r="D62" s="5" t="inlineStr">
        <x:is>
          <x:t xml:space="preserve">Encryption In Transit (Ex. TLS Protocols)</x:t>
        </x:is>
      </x:c>
      <x:c r="E62" s="5" t="inlineStr">
        <x:is>
          <x:t xml:space="preserve">REQ-35-HIPAA</x:t>
        </x:is>
      </x:c>
      <x:c r="F62" s="5" t="inlineStr">
        <x:is>
          <x:t xml:space="preserve">04.01x1Organizational.5</x:t>
        </x:is>
      </x:c>
      <x:c r="G62" s="5" t="inlineStr">
        <x:is>
          <x:t xml:space="preserve">Many:Many</x:t>
        </x:is>
      </x:c>
      <x:c r="H62" s="5" t="n">
        <x:v>2</x:v>
      </x:c>
      <x:c r="I62" s="5" t="inlineStr">
        <x:is>
          <x:t xml:space="preserve">45 CFR § 164.312(e)(2)(ii)</x:t>
        </x:is>
      </x:c>
      <x:c r="J62" s="5" t="inlineStr">
        <x:is>
          <x:t xml:space="preserve">Transmission Security — Encryption</x:t>
        </x:is>
      </x:c>
      <x:c r="K62" s="5" t="inlineStr">
        <x:is>
          <x:t xml:space="preserve">Direct</x:t>
        </x:is>
      </x:c>
      <x:c r="L62" s="5" t="inlineStr">
        <x:is>
          <x:t xml:space="preserve">Action item explicitly addresses encryption in transit.</x:t>
        </x:is>
      </x:c>
      <x:c r="M62"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2" s="5" t="inlineStr">
        <x:is>
          <x:t xml:space="preserve">Used for transport/TLS evidence.</x:t>
        </x:is>
      </x:c>
      <x:c r="O62" s="5" t="inlineStr">
        <x:is>
          <x:t xml:space="preserve">04.01x1 Organizational.5</x:t>
        </x:is>
      </x:c>
      <x:c r="P62" s="5" t="n">
        <x:v>1</x:v>
      </x:c>
      <x:c r="Q62" s="5" t="n"/>
      <x:c r="R62" s="5" t="inlineStr">
        <x:is>
          <x:t xml:space="preserve">45 C.F.R. § 164.312(e)(2)(ii)</x:t>
        </x:is>
      </x:c>
      <x:c r="S62" s="5" t="inlineStr">
        <x:is>
          <x:t xml:space="preserve">Transmission Security — Encryption</x:t>
        </x:is>
      </x:c>
      <x:c r="T62" s="5" t="inlineStr">
        <x:is>
          <x:t xml:space="preserve">Implement a mechanism to encrypt ePHI whenever deemed appropriate during electronic transmission.</x:t>
        </x:is>
      </x:c>
      <x:c r="U62" s="5" t="inlineStr">
        <x:is>
          <x:t xml:space="preserve">Addressable implementation specification</x:t>
        </x:is>
      </x:c>
      <x:c r="V62" s="5" t="inlineStr">
        <x:is>
          <x:t xml:space="preserve">Technical Safeguards</x:t>
        </x:is>
      </x:c>
      <x:c r="W62" s="28" t="inlineStr">
        <x:is>
          <x:t xml:space="preserve">https://www.ecfr.gov/current/title-45/subtitle-A/subchapter-C/part-164/section-164.312</x:t>
        </x:is>
      </x:c>
      <x:c r="X62" s="28" t="inlineStr">
        <x:is>
          <x:t xml:space="preserve">https://www.hhs.gov/hipaa/for-professionals/faq/2001/is-the-use-of-encryption-mandatory-in-the-security-rule/index.html</x:t>
        </x:is>
      </x:c>
      <x:c r="Y62" s="5" t="n"/>
      <x:c r="Z62" s="5" t="n"/>
      <x:c r="AA62" s="5" t="n"/>
      <x:c r="AB62" s="5" t="n"/>
      <x:c r="AC62" s="5" t="n"/>
      <x:c r="AD62" s="5" t="n"/>
      <x:c r="AE62" s="5" t="n"/>
      <x:c r="AF62" s="5" t="n"/>
      <x:c r="AG62" s="5" t="n"/>
      <x:c r="AH62" s="5" t="n"/>
      <x:c r="AI62" s="5" t="n"/>
      <x:c r="AJ62" s="5" t="n"/>
      <x:c r="AK62" s="5" t="n"/>
      <x:c r="AL62" s="5" t="n"/>
    </x:row>
    <x:row r="63" ht="30" customHeight="1">
      <x:c r="A63" s="5" t="inlineStr">
        <x:is>
          <x:t xml:space="preserve">HITRUST e1.csv</x:t>
        </x:is>
      </x:c>
      <x:c r="B63" s="5" t="inlineStr">
        <x:is>
          <x:t xml:space="preserve">ER-3</x:t>
        </x:is>
      </x:c>
      <x:c r="C63" s="5" t="inlineStr">
        <x:is>
          <x:t xml:space="preserve">Configuration</x:t>
        </x:is>
      </x:c>
      <x:c r="D63" s="5" t="inlineStr">
        <x:is>
          <x:t xml:space="preserve">Encryption In Transit (Ex. TLS Protocols)</x:t>
        </x:is>
      </x:c>
      <x:c r="E63" s="5" t="inlineStr">
        <x:is>
          <x:t xml:space="preserve">REQ-35-HIPAA</x:t>
        </x:is>
      </x:c>
      <x:c r="F63" s="5" t="inlineStr">
        <x:is>
          <x:t xml:space="preserve">0862.09m2Organizational.8</x:t>
        </x:is>
      </x:c>
      <x:c r="G63" s="5" t="inlineStr">
        <x:is>
          <x:t xml:space="preserve">Many:Many</x:t>
        </x:is>
      </x:c>
      <x:c r="H63" s="5" t="n">
        <x:v>1</x:v>
      </x:c>
      <x:c r="I63" s="5" t="inlineStr">
        <x:is>
          <x:t xml:space="preserve">45 CFR § 164.312(e)(2)(ii)</x:t>
        </x:is>
      </x:c>
      <x:c r="J63" s="5" t="inlineStr">
        <x:is>
          <x:t xml:space="preserve">Transmission Security — Encryption</x:t>
        </x:is>
      </x:c>
      <x:c r="K63" s="5" t="inlineStr">
        <x:is>
          <x:t xml:space="preserve">Direct</x:t>
        </x:is>
      </x:c>
      <x:c r="L63" s="5" t="inlineStr">
        <x:is>
          <x:t xml:space="preserve">Action item explicitly addresses encryption in transit.</x:t>
        </x:is>
      </x:c>
      <x:c r="M63"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3" s="5" t="inlineStr">
        <x:is>
          <x:t xml:space="preserve">Used for transport/TLS evidence.</x:t>
        </x:is>
      </x:c>
      <x:c r="O63" s="5" t="inlineStr">
        <x:is>
          <x:t xml:space="preserve">0862.09m2 Organizational.8</x:t>
        </x:is>
      </x:c>
      <x:c r="P63" s="5" t="n">
        <x:v>1</x:v>
      </x:c>
      <x:c r="Q63" s="5" t="n"/>
      <x:c r="R63" s="5" t="inlineStr">
        <x:is>
          <x:t xml:space="preserve">45 C.F.R. § 164.312(e)(2)(ii)</x:t>
        </x:is>
      </x:c>
      <x:c r="S63" s="5" t="inlineStr">
        <x:is>
          <x:t xml:space="preserve">Transmission Security — Encryption</x:t>
        </x:is>
      </x:c>
      <x:c r="T63" s="5" t="inlineStr">
        <x:is>
          <x:t xml:space="preserve">Implement a mechanism to encrypt ePHI whenever deemed appropriate during electronic transmission.</x:t>
        </x:is>
      </x:c>
      <x:c r="U63" s="5" t="inlineStr">
        <x:is>
          <x:t xml:space="preserve">Addressable implementation specification</x:t>
        </x:is>
      </x:c>
      <x:c r="V63" s="5" t="inlineStr">
        <x:is>
          <x:t xml:space="preserve">Technical Safeguards</x:t>
        </x:is>
      </x:c>
      <x:c r="W63" s="28" t="inlineStr">
        <x:is>
          <x:t xml:space="preserve">https://www.ecfr.gov/current/title-45/subtitle-A/subchapter-C/part-164/section-164.312</x:t>
        </x:is>
      </x:c>
      <x:c r="X63" s="28" t="inlineStr">
        <x:is>
          <x:t xml:space="preserve">https://www.hhs.gov/hipaa/for-professionals/faq/2001/is-the-use-of-encryption-mandatory-in-the-security-rule/index.html</x:t>
        </x:is>
      </x:c>
      <x:c r="Y63" s="5" t="n"/>
      <x:c r="Z63" s="5" t="n"/>
      <x:c r="AA63" s="5" t="n"/>
      <x:c r="AB63" s="5" t="n"/>
      <x:c r="AC63" s="5" t="n"/>
      <x:c r="AD63" s="5" t="n"/>
      <x:c r="AE63" s="5" t="n"/>
      <x:c r="AF63" s="5" t="n"/>
      <x:c r="AG63" s="5" t="n"/>
      <x:c r="AH63" s="5" t="n"/>
      <x:c r="AI63" s="5" t="n"/>
      <x:c r="AJ63" s="5" t="n"/>
      <x:c r="AK63" s="5" t="n"/>
      <x:c r="AL63" s="5" t="n"/>
    </x:row>
    <x:row r="64" ht="30" customHeight="1">
      <x:c r="A64" s="5" t="inlineStr">
        <x:is>
          <x:t xml:space="preserve">HITRUST e1.csv</x:t>
        </x:is>
      </x:c>
      <x:c r="B64" s="5" t="inlineStr">
        <x:is>
          <x:t xml:space="preserve">ER-3</x:t>
        </x:is>
      </x:c>
      <x:c r="C64" s="5" t="inlineStr">
        <x:is>
          <x:t xml:space="preserve">Configuration</x:t>
        </x:is>
      </x:c>
      <x:c r="D64" s="5" t="inlineStr">
        <x:is>
          <x:t xml:space="preserve">Encryption In Transit (Ex. TLS Protocols)</x:t>
        </x:is>
      </x:c>
      <x:c r="E64" s="5" t="inlineStr">
        <x:is>
          <x:t xml:space="preserve">REQ-35-HIPAA</x:t>
        </x:is>
      </x:c>
      <x:c r="F64" s="5" t="inlineStr">
        <x:is>
          <x:t xml:space="preserve">0903.10f1Organizational.1.a</x:t>
        </x:is>
      </x:c>
      <x:c r="G64" s="5" t="inlineStr">
        <x:is>
          <x:t xml:space="preserve">Many:Many</x:t>
        </x:is>
      </x:c>
      <x:c r="H64" s="5" t="n">
        <x:v>1</x:v>
      </x:c>
      <x:c r="I64" s="5" t="inlineStr">
        <x:is>
          <x:t xml:space="preserve">45 CFR § 164.312(e)(2)(ii)</x:t>
        </x:is>
      </x:c>
      <x:c r="J64" s="5" t="inlineStr">
        <x:is>
          <x:t xml:space="preserve">Transmission Security — Encryption</x:t>
        </x:is>
      </x:c>
      <x:c r="K64" s="5" t="inlineStr">
        <x:is>
          <x:t xml:space="preserve">Direct</x:t>
        </x:is>
      </x:c>
      <x:c r="L64" s="5" t="inlineStr">
        <x:is>
          <x:t xml:space="preserve">Action item explicitly addresses encryption in transit.</x:t>
        </x:is>
      </x:c>
      <x:c r="M64"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4" s="5" t="inlineStr">
        <x:is>
          <x:t xml:space="preserve">Used for transport/TLS evidence.</x:t>
        </x:is>
      </x:c>
      <x:c r="O64" s="5" t="inlineStr">
        <x:is>
          <x:t xml:space="preserve">0903.10f1 Organizational.1.a</x:t>
        </x:is>
      </x:c>
      <x:c r="P64" s="5" t="n">
        <x:v>1</x:v>
      </x:c>
      <x:c r="Q64" s="5" t="n"/>
      <x:c r="R64" s="5" t="inlineStr">
        <x:is>
          <x:t xml:space="preserve">45 C.F.R. § 164.312(e)(2)(ii)</x:t>
        </x:is>
      </x:c>
      <x:c r="S64" s="5" t="inlineStr">
        <x:is>
          <x:t xml:space="preserve">Transmission Security — Encryption</x:t>
        </x:is>
      </x:c>
      <x:c r="T64" s="5" t="inlineStr">
        <x:is>
          <x:t xml:space="preserve">Implement a mechanism to encrypt ePHI whenever deemed appropriate during electronic transmission.</x:t>
        </x:is>
      </x:c>
      <x:c r="U64" s="5" t="inlineStr">
        <x:is>
          <x:t xml:space="preserve">Addressable implementation specification</x:t>
        </x:is>
      </x:c>
      <x:c r="V64" s="5" t="inlineStr">
        <x:is>
          <x:t xml:space="preserve">Technical Safeguards</x:t>
        </x:is>
      </x:c>
      <x:c r="W64" s="28" t="inlineStr">
        <x:is>
          <x:t xml:space="preserve">https://www.ecfr.gov/current/title-45/subtitle-A/subchapter-C/part-164/section-164.312</x:t>
        </x:is>
      </x:c>
      <x:c r="X64" s="28" t="inlineStr">
        <x:is>
          <x:t xml:space="preserve">https://www.hhs.gov/hipaa/for-professionals/faq/2001/is-the-use-of-encryption-mandatory-in-the-security-rule/index.html</x:t>
        </x:is>
      </x:c>
      <x:c r="Y64" s="5" t="n"/>
      <x:c r="Z64" s="5" t="n"/>
      <x:c r="AA64" s="5" t="n"/>
      <x:c r="AB64" s="5" t="n"/>
      <x:c r="AC64" s="5" t="n"/>
      <x:c r="AD64" s="5" t="n"/>
      <x:c r="AE64" s="5" t="n"/>
      <x:c r="AF64" s="5" t="n"/>
      <x:c r="AG64" s="5" t="n"/>
      <x:c r="AH64" s="5" t="n"/>
      <x:c r="AI64" s="5" t="n"/>
      <x:c r="AJ64" s="5" t="n"/>
      <x:c r="AK64" s="5" t="n"/>
      <x:c r="AL64" s="5" t="n"/>
    </x:row>
    <x:row r="65" ht="30" customHeight="1">
      <x:c r="A65" s="5" t="inlineStr">
        <x:is>
          <x:t xml:space="preserve">HITRUST e1.csv</x:t>
        </x:is>
      </x:c>
      <x:c r="B65" s="5" t="inlineStr">
        <x:is>
          <x:t xml:space="preserve">ER-3</x:t>
        </x:is>
      </x:c>
      <x:c r="C65" s="5" t="inlineStr">
        <x:is>
          <x:t xml:space="preserve">Configuration</x:t>
        </x:is>
      </x:c>
      <x:c r="D65" s="5" t="inlineStr">
        <x:is>
          <x:t xml:space="preserve">Encryption In Transit (Ex. TLS Protocols)</x:t>
        </x:is>
      </x:c>
      <x:c r="E65" s="5" t="inlineStr">
        <x:is>
          <x:t xml:space="preserve">REQ-35-HIPAA</x:t>
        </x:is>
      </x:c>
      <x:c r="F65" s="5" t="inlineStr">
        <x:is>
          <x:t xml:space="preserve">0913.09s1Organizational.5</x:t>
        </x:is>
      </x:c>
      <x:c r="G65" s="5" t="inlineStr">
        <x:is>
          <x:t xml:space="preserve">Many:Many</x:t>
        </x:is>
      </x:c>
      <x:c r="H65" s="5" t="n">
        <x:v>1</x:v>
      </x:c>
      <x:c r="I65" s="5" t="inlineStr">
        <x:is>
          <x:t xml:space="preserve">45 CFR § 164.312(e)(2)(ii)</x:t>
        </x:is>
      </x:c>
      <x:c r="J65" s="5" t="inlineStr">
        <x:is>
          <x:t xml:space="preserve">Transmission Security — Encryption</x:t>
        </x:is>
      </x:c>
      <x:c r="K65" s="5" t="inlineStr">
        <x:is>
          <x:t xml:space="preserve">Direct</x:t>
        </x:is>
      </x:c>
      <x:c r="L65" s="5" t="inlineStr">
        <x:is>
          <x:t xml:space="preserve">Action item explicitly addresses encryption in transit.</x:t>
        </x:is>
      </x:c>
      <x:c r="M65"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5" s="5" t="inlineStr">
        <x:is>
          <x:t xml:space="preserve">Used for transport/TLS evidence.</x:t>
        </x:is>
      </x:c>
      <x:c r="O65" s="5" t="inlineStr">
        <x:is>
          <x:t xml:space="preserve">0913.09s1 Organizational.5</x:t>
        </x:is>
      </x:c>
      <x:c r="P65" s="5" t="n">
        <x:v>1</x:v>
      </x:c>
      <x:c r="Q65" s="5" t="n"/>
      <x:c r="R65" s="5" t="inlineStr">
        <x:is>
          <x:t xml:space="preserve">45 C.F.R. § 164.312(e)(2)(ii)</x:t>
        </x:is>
      </x:c>
      <x:c r="S65" s="5" t="inlineStr">
        <x:is>
          <x:t xml:space="preserve">Transmission Security — Encryption</x:t>
        </x:is>
      </x:c>
      <x:c r="T65" s="5" t="inlineStr">
        <x:is>
          <x:t xml:space="preserve">Implement a mechanism to encrypt ePHI whenever deemed appropriate during electronic transmission.</x:t>
        </x:is>
      </x:c>
      <x:c r="U65" s="5" t="inlineStr">
        <x:is>
          <x:t xml:space="preserve">Addressable implementation specification</x:t>
        </x:is>
      </x:c>
      <x:c r="V65" s="5" t="inlineStr">
        <x:is>
          <x:t xml:space="preserve">Technical Safeguards</x:t>
        </x:is>
      </x:c>
      <x:c r="W65" s="28" t="inlineStr">
        <x:is>
          <x:t xml:space="preserve">https://www.ecfr.gov/current/title-45/subtitle-A/subchapter-C/part-164/section-164.312</x:t>
        </x:is>
      </x:c>
      <x:c r="X65" s="28" t="inlineStr">
        <x:is>
          <x:t xml:space="preserve">https://www.hhs.gov/hipaa/for-professionals/faq/2001/is-the-use-of-encryption-mandatory-in-the-security-rule/index.html</x:t>
        </x:is>
      </x:c>
      <x:c r="Y65" s="5" t="n"/>
      <x:c r="Z65" s="5" t="n"/>
      <x:c r="AA65" s="5" t="n"/>
      <x:c r="AB65" s="5" t="n"/>
      <x:c r="AC65" s="5" t="n"/>
      <x:c r="AD65" s="5" t="n"/>
      <x:c r="AE65" s="5" t="n"/>
      <x:c r="AF65" s="5" t="n"/>
      <x:c r="AG65" s="5" t="n"/>
      <x:c r="AH65" s="5" t="n"/>
      <x:c r="AI65" s="5" t="n"/>
      <x:c r="AJ65" s="5" t="n"/>
      <x:c r="AK65" s="5" t="n"/>
      <x:c r="AL65" s="5" t="n"/>
    </x:row>
    <x:row r="66" ht="30" customHeight="1">
      <x:c r="A66" s="5" t="inlineStr">
        <x:is>
          <x:t xml:space="preserve">HITRUST e1.csv</x:t>
        </x:is>
      </x:c>
      <x:c r="B66" s="5" t="inlineStr">
        <x:is>
          <x:t xml:space="preserve">ER-3</x:t>
        </x:is>
      </x:c>
      <x:c r="C66" s="5" t="inlineStr">
        <x:is>
          <x:t xml:space="preserve">Configuration</x:t>
        </x:is>
      </x:c>
      <x:c r="D66" s="5" t="inlineStr">
        <x:is>
          <x:t xml:space="preserve">Encryption In Transit (Ex. TLS Protocols)</x:t>
        </x:is>
      </x:c>
      <x:c r="E66" s="5" t="inlineStr">
        <x:is>
          <x:t xml:space="preserve">REQ-35-HIPAA</x:t>
        </x:is>
      </x:c>
      <x:c r="F66" s="5" t="inlineStr">
        <x:is>
          <x:t xml:space="preserve">0928.09v2Organizational.1</x:t>
        </x:is>
      </x:c>
      <x:c r="G66" s="5" t="inlineStr">
        <x:is>
          <x:t xml:space="preserve">Many:Many</x:t>
        </x:is>
      </x:c>
      <x:c r="H66" s="5" t="n">
        <x:v>1</x:v>
      </x:c>
      <x:c r="I66" s="5" t="inlineStr">
        <x:is>
          <x:t xml:space="preserve">45 CFR § 164.312(e)(2)(ii)</x:t>
        </x:is>
      </x:c>
      <x:c r="J66" s="5" t="inlineStr">
        <x:is>
          <x:t xml:space="preserve">Transmission Security — Encryption</x:t>
        </x:is>
      </x:c>
      <x:c r="K66" s="5" t="inlineStr">
        <x:is>
          <x:t xml:space="preserve">Direct</x:t>
        </x:is>
      </x:c>
      <x:c r="L66" s="5" t="inlineStr">
        <x:is>
          <x:t xml:space="preserve">Action item explicitly addresses encryption in transit.</x:t>
        </x:is>
      </x:c>
      <x:c r="M66"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6" s="5" t="inlineStr">
        <x:is>
          <x:t xml:space="preserve">Used for transport/TLS evidence.</x:t>
        </x:is>
      </x:c>
      <x:c r="O66" s="5" t="inlineStr">
        <x:is>
          <x:t xml:space="preserve">0928.09v2 Organizational.1</x:t>
        </x:is>
      </x:c>
      <x:c r="P66" s="5" t="n">
        <x:v>1</x:v>
      </x:c>
      <x:c r="Q66" s="5" t="n"/>
      <x:c r="R66" s="5" t="inlineStr">
        <x:is>
          <x:t xml:space="preserve">45 C.F.R. § 164.312(e)(2)(ii)</x:t>
        </x:is>
      </x:c>
      <x:c r="S66" s="5" t="inlineStr">
        <x:is>
          <x:t xml:space="preserve">Transmission Security — Encryption</x:t>
        </x:is>
      </x:c>
      <x:c r="T66" s="5" t="inlineStr">
        <x:is>
          <x:t xml:space="preserve">Implement a mechanism to encrypt ePHI whenever deemed appropriate during electronic transmission.</x:t>
        </x:is>
      </x:c>
      <x:c r="U66" s="5" t="inlineStr">
        <x:is>
          <x:t xml:space="preserve">Addressable implementation specification</x:t>
        </x:is>
      </x:c>
      <x:c r="V66" s="5" t="inlineStr">
        <x:is>
          <x:t xml:space="preserve">Technical Safeguards</x:t>
        </x:is>
      </x:c>
      <x:c r="W66" s="28" t="inlineStr">
        <x:is>
          <x:t xml:space="preserve">https://www.ecfr.gov/current/title-45/subtitle-A/subchapter-C/part-164/section-164.312</x:t>
        </x:is>
      </x:c>
      <x:c r="X66" s="28" t="inlineStr">
        <x:is>
          <x:t xml:space="preserve">https://www.hhs.gov/hipaa/for-professionals/faq/2001/is-the-use-of-encryption-mandatory-in-the-security-rule/index.html</x:t>
        </x:is>
      </x:c>
      <x:c r="Y66" s="5" t="n"/>
      <x:c r="Z66" s="5" t="n"/>
      <x:c r="AA66" s="5" t="n"/>
      <x:c r="AB66" s="5" t="n"/>
      <x:c r="AC66" s="5" t="n"/>
      <x:c r="AD66" s="5" t="n"/>
      <x:c r="AE66" s="5" t="n"/>
      <x:c r="AF66" s="5" t="n"/>
      <x:c r="AG66" s="5" t="n"/>
      <x:c r="AH66" s="5" t="n"/>
      <x:c r="AI66" s="5" t="n"/>
      <x:c r="AJ66" s="5" t="n"/>
      <x:c r="AK66" s="5" t="n"/>
      <x:c r="AL66" s="5" t="n"/>
    </x:row>
    <x:row r="67" ht="30" customHeight="1">
      <x:c r="A67" s="5" t="inlineStr">
        <x:is>
          <x:t xml:space="preserve">HITRUST e1.csv</x:t>
        </x:is>
      </x:c>
      <x:c r="B67" s="5" t="inlineStr">
        <x:is>
          <x:t xml:space="preserve">ER-3</x:t>
        </x:is>
      </x:c>
      <x:c r="C67" s="5" t="inlineStr">
        <x:is>
          <x:t xml:space="preserve">Configuration</x:t>
        </x:is>
      </x:c>
      <x:c r="D67" s="5" t="inlineStr">
        <x:is>
          <x:t xml:space="preserve">Encryption In Transit (Ex. TLS Protocols)</x:t>
        </x:is>
      </x:c>
      <x:c r="E67" s="5" t="inlineStr">
        <x:is>
          <x:t xml:space="preserve">REQ-35-HIPAA</x:t>
        </x:is>
      </x:c>
      <x:c r="F67" s="5" t="inlineStr">
        <x:is>
          <x:t xml:space="preserve">0945.09y1Organizational.3</x:t>
        </x:is>
      </x:c>
      <x:c r="G67" s="5" t="inlineStr">
        <x:is>
          <x:t xml:space="preserve">Many:Many</x:t>
        </x:is>
      </x:c>
      <x:c r="H67" s="5" t="n">
        <x:v>1</x:v>
      </x:c>
      <x:c r="I67" s="5" t="inlineStr">
        <x:is>
          <x:t xml:space="preserve">45 CFR § 164.312(e)(2)(ii)</x:t>
        </x:is>
      </x:c>
      <x:c r="J67" s="5" t="inlineStr">
        <x:is>
          <x:t xml:space="preserve">Transmission Security — Encryption</x:t>
        </x:is>
      </x:c>
      <x:c r="K67" s="5" t="inlineStr">
        <x:is>
          <x:t xml:space="preserve">Direct</x:t>
        </x:is>
      </x:c>
      <x:c r="L67" s="5" t="inlineStr">
        <x:is>
          <x:t xml:space="preserve">Action item explicitly addresses encryption in transit.</x:t>
        </x:is>
      </x:c>
      <x:c r="M67"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7" s="5" t="inlineStr">
        <x:is>
          <x:t xml:space="preserve">Used for transport/TLS evidence.</x:t>
        </x:is>
      </x:c>
      <x:c r="O67" s="5" t="inlineStr">
        <x:is>
          <x:t xml:space="preserve">0945.09y1 Organizational.3</x:t>
        </x:is>
      </x:c>
      <x:c r="P67" s="5" t="n">
        <x:v>1</x:v>
      </x:c>
      <x:c r="Q67" s="5" t="n"/>
      <x:c r="R67" s="5" t="inlineStr">
        <x:is>
          <x:t xml:space="preserve">45 C.F.R. § 164.312(e)(2)(ii)</x:t>
        </x:is>
      </x:c>
      <x:c r="S67" s="5" t="inlineStr">
        <x:is>
          <x:t xml:space="preserve">Transmission Security — Encryption</x:t>
        </x:is>
      </x:c>
      <x:c r="T67" s="5" t="inlineStr">
        <x:is>
          <x:t xml:space="preserve">Implement a mechanism to encrypt ePHI whenever deemed appropriate during electronic transmission.</x:t>
        </x:is>
      </x:c>
      <x:c r="U67" s="5" t="inlineStr">
        <x:is>
          <x:t xml:space="preserve">Addressable implementation specification</x:t>
        </x:is>
      </x:c>
      <x:c r="V67" s="5" t="inlineStr">
        <x:is>
          <x:t xml:space="preserve">Technical Safeguards</x:t>
        </x:is>
      </x:c>
      <x:c r="W67" s="28" t="inlineStr">
        <x:is>
          <x:t xml:space="preserve">https://www.ecfr.gov/current/title-45/subtitle-A/subchapter-C/part-164/section-164.312</x:t>
        </x:is>
      </x:c>
      <x:c r="X67" s="28" t="inlineStr">
        <x:is>
          <x:t xml:space="preserve">https://www.hhs.gov/hipaa/for-professionals/faq/2001/is-the-use-of-encryption-mandatory-in-the-security-rule/index.html</x:t>
        </x:is>
      </x:c>
      <x:c r="Y67" s="5" t="n"/>
      <x:c r="Z67" s="5" t="n"/>
      <x:c r="AA67" s="5" t="n"/>
      <x:c r="AB67" s="5" t="n"/>
      <x:c r="AC67" s="5" t="n"/>
      <x:c r="AD67" s="5" t="n"/>
      <x:c r="AE67" s="5" t="n"/>
      <x:c r="AF67" s="5" t="n"/>
      <x:c r="AG67" s="5" t="n"/>
      <x:c r="AH67" s="5" t="n"/>
      <x:c r="AI67" s="5" t="n"/>
      <x:c r="AJ67" s="5" t="n"/>
      <x:c r="AK67" s="5" t="n"/>
      <x:c r="AL67" s="5" t="n"/>
    </x:row>
    <x:row r="68" ht="30" customHeight="1">
      <x:c r="A68" s="5" t="inlineStr">
        <x:is>
          <x:t xml:space="preserve">HITRUST e1.csv</x:t>
        </x:is>
      </x:c>
      <x:c r="B68" s="5" t="inlineStr">
        <x:is>
          <x:t xml:space="preserve">ER-3</x:t>
        </x:is>
      </x:c>
      <x:c r="C68" s="5" t="inlineStr">
        <x:is>
          <x:t xml:space="preserve">Configuration</x:t>
        </x:is>
      </x:c>
      <x:c r="D68" s="5" t="inlineStr">
        <x:is>
          <x:t xml:space="preserve">Encryption In Transit (Ex. TLS Protocols)</x:t>
        </x:is>
      </x:c>
      <x:c r="E68" s="5" t="inlineStr">
        <x:is>
          <x:t xml:space="preserve">REQ-35-HIPAA</x:t>
        </x:is>
      </x:c>
      <x:c r="F68" s="5" t="inlineStr">
        <x:is>
          <x:t xml:space="preserve">0954.10d1System.1</x:t>
        </x:is>
      </x:c>
      <x:c r="G68" s="5" t="inlineStr">
        <x:is>
          <x:t xml:space="preserve">Many:Many</x:t>
        </x:is>
      </x:c>
      <x:c r="H68" s="5" t="n">
        <x:v>1</x:v>
      </x:c>
      <x:c r="I68" s="5" t="inlineStr">
        <x:is>
          <x:t xml:space="preserve">45 CFR § 164.312(e)(2)(ii)</x:t>
        </x:is>
      </x:c>
      <x:c r="J68" s="5" t="inlineStr">
        <x:is>
          <x:t xml:space="preserve">Transmission Security — Encryption</x:t>
        </x:is>
      </x:c>
      <x:c r="K68" s="5" t="inlineStr">
        <x:is>
          <x:t xml:space="preserve">Direct</x:t>
        </x:is>
      </x:c>
      <x:c r="L68" s="5" t="inlineStr">
        <x:is>
          <x:t xml:space="preserve">Action item explicitly addresses encryption in transit.</x:t>
        </x:is>
      </x:c>
      <x:c r="M68"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8" s="5" t="inlineStr">
        <x:is>
          <x:t xml:space="preserve">Used for transport/TLS evidence.</x:t>
        </x:is>
      </x:c>
      <x:c r="O68" s="5" t="inlineStr">
        <x:is>
          <x:t xml:space="preserve">0954.10d1 System.1</x:t>
        </x:is>
      </x:c>
      <x:c r="P68" s="5" t="n">
        <x:v>1</x:v>
      </x:c>
      <x:c r="Q68" s="5" t="n"/>
      <x:c r="R68" s="5" t="inlineStr">
        <x:is>
          <x:t xml:space="preserve">45 C.F.R. § 164.312(e)(2)(ii)</x:t>
        </x:is>
      </x:c>
      <x:c r="S68" s="5" t="inlineStr">
        <x:is>
          <x:t xml:space="preserve">Transmission Security — Encryption</x:t>
        </x:is>
      </x:c>
      <x:c r="T68" s="5" t="inlineStr">
        <x:is>
          <x:t xml:space="preserve">Implement a mechanism to encrypt ePHI whenever deemed appropriate during electronic transmission.</x:t>
        </x:is>
      </x:c>
      <x:c r="U68" s="5" t="inlineStr">
        <x:is>
          <x:t xml:space="preserve">Addressable implementation specification</x:t>
        </x:is>
      </x:c>
      <x:c r="V68" s="5" t="inlineStr">
        <x:is>
          <x:t xml:space="preserve">Technical Safeguards</x:t>
        </x:is>
      </x:c>
      <x:c r="W68" s="28" t="inlineStr">
        <x:is>
          <x:t xml:space="preserve">https://www.ecfr.gov/current/title-45/subtitle-A/subchapter-C/part-164/section-164.312</x:t>
        </x:is>
      </x:c>
      <x:c r="X68" s="28" t="inlineStr">
        <x:is>
          <x:t xml:space="preserve">https://www.hhs.gov/hipaa/for-professionals/faq/2001/is-the-use-of-encryption-mandatory-in-the-security-rule/index.html</x:t>
        </x:is>
      </x:c>
      <x:c r="Y68" s="5" t="n"/>
      <x:c r="Z68" s="5" t="n"/>
      <x:c r="AA68" s="5" t="n"/>
      <x:c r="AB68" s="5" t="n"/>
      <x:c r="AC68" s="5" t="n"/>
      <x:c r="AD68" s="5" t="n"/>
      <x:c r="AE68" s="5" t="n"/>
      <x:c r="AF68" s="5" t="n"/>
      <x:c r="AG68" s="5" t="n"/>
      <x:c r="AH68" s="5" t="n"/>
      <x:c r="AI68" s="5" t="n"/>
      <x:c r="AJ68" s="5" t="n"/>
      <x:c r="AK68" s="5" t="n"/>
      <x:c r="AL68" s="5" t="n"/>
    </x:row>
    <x:row r="69" ht="30" customHeight="1">
      <x:c r="A69" s="5" t="inlineStr">
        <x:is>
          <x:t xml:space="preserve">HITRUST e1.csv</x:t>
        </x:is>
      </x:c>
      <x:c r="B69" s="5" t="inlineStr">
        <x:is>
          <x:t xml:space="preserve">ER-3</x:t>
        </x:is>
      </x:c>
      <x:c r="C69" s="5" t="inlineStr">
        <x:is>
          <x:t xml:space="preserve">Configuration</x:t>
        </x:is>
      </x:c>
      <x:c r="D69" s="5" t="inlineStr">
        <x:is>
          <x:t xml:space="preserve">Encryption In Transit (Ex. TLS Protocols)</x:t>
        </x:is>
      </x:c>
      <x:c r="E69" s="5" t="inlineStr">
        <x:is>
          <x:t xml:space="preserve">REQ-35-HIPAA</x:t>
        </x:is>
      </x:c>
      <x:c r="F69" s="5" t="inlineStr">
        <x:is>
          <x:t xml:space="preserve">1013.01r1System.2</x:t>
        </x:is>
      </x:c>
      <x:c r="G69" s="5" t="inlineStr">
        <x:is>
          <x:t xml:space="preserve">Many:Many</x:t>
        </x:is>
      </x:c>
      <x:c r="H69" s="5" t="n">
        <x:v>1</x:v>
      </x:c>
      <x:c r="I69" s="5" t="inlineStr">
        <x:is>
          <x:t xml:space="preserve">45 CFR § 164.312(e)(2)(ii)</x:t>
        </x:is>
      </x:c>
      <x:c r="J69" s="5" t="inlineStr">
        <x:is>
          <x:t xml:space="preserve">Transmission Security — Encryption</x:t>
        </x:is>
      </x:c>
      <x:c r="K69" s="5" t="inlineStr">
        <x:is>
          <x:t xml:space="preserve">Direct</x:t>
        </x:is>
      </x:c>
      <x:c r="L69" s="5" t="inlineStr">
        <x:is>
          <x:t xml:space="preserve">Action item explicitly addresses encryption in transit.</x:t>
        </x:is>
      </x:c>
      <x:c r="M69"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N69" s="5" t="inlineStr">
        <x:is>
          <x:t xml:space="preserve">Used for transport/TLS evidence.</x:t>
        </x:is>
      </x:c>
      <x:c r="O69" s="5" t="inlineStr">
        <x:is>
          <x:t xml:space="preserve">1013.01r1 System.2</x:t>
        </x:is>
      </x:c>
      <x:c r="P69" s="5" t="n">
        <x:v>1</x:v>
      </x:c>
      <x:c r="Q69" s="5" t="n"/>
      <x:c r="R69" s="5" t="inlineStr">
        <x:is>
          <x:t xml:space="preserve">45 C.F.R. § 164.312(e)(2)(ii)</x:t>
        </x:is>
      </x:c>
      <x:c r="S69" s="5" t="inlineStr">
        <x:is>
          <x:t xml:space="preserve">Transmission Security — Encryption</x:t>
        </x:is>
      </x:c>
      <x:c r="T69" s="5" t="inlineStr">
        <x:is>
          <x:t xml:space="preserve">Implement a mechanism to encrypt ePHI whenever deemed appropriate during electronic transmission.</x:t>
        </x:is>
      </x:c>
      <x:c r="U69" s="5" t="inlineStr">
        <x:is>
          <x:t xml:space="preserve">Addressable implementation specification</x:t>
        </x:is>
      </x:c>
      <x:c r="V69" s="5" t="inlineStr">
        <x:is>
          <x:t xml:space="preserve">Technical Safeguards</x:t>
        </x:is>
      </x:c>
      <x:c r="W69" s="28" t="inlineStr">
        <x:is>
          <x:t xml:space="preserve">https://www.ecfr.gov/current/title-45/subtitle-A/subchapter-C/part-164/section-164.312</x:t>
        </x:is>
      </x:c>
      <x:c r="X69" s="28" t="inlineStr">
        <x:is>
          <x:t xml:space="preserve">https://www.hhs.gov/hipaa/for-professionals/faq/2001/is-the-use-of-encryption-mandatory-in-the-security-rule/index.html</x:t>
        </x:is>
      </x:c>
      <x:c r="Y69" s="5" t="n"/>
      <x:c r="Z69" s="5" t="n"/>
      <x:c r="AA69" s="5" t="n"/>
      <x:c r="AB69" s="5" t="n"/>
      <x:c r="AC69" s="5" t="n"/>
      <x:c r="AD69" s="5" t="n"/>
      <x:c r="AE69" s="5" t="n"/>
      <x:c r="AF69" s="5" t="n"/>
      <x:c r="AG69" s="5" t="n"/>
      <x:c r="AH69" s="5" t="n"/>
      <x:c r="AI69" s="5" t="n"/>
      <x:c r="AJ69" s="5" t="n"/>
      <x:c r="AK69" s="5" t="n"/>
      <x:c r="AL69" s="5" t="n"/>
    </x:row>
    <x:row r="70" ht="30" customHeight="1">
      <x:c r="A70" s="5" t="inlineStr">
        <x:is>
          <x:t xml:space="preserve">HITRUST e1.csv</x:t>
        </x:is>
      </x:c>
      <x:c r="B70" s="5" t="inlineStr">
        <x:is>
          <x:t xml:space="preserve">ER-88</x:t>
        </x:is>
      </x:c>
      <x:c r="C70" s="5" t="inlineStr">
        <x:is>
          <x:t xml:space="preserve">Configuration</x:t>
        </x:is>
      </x:c>
      <x:c r="D70" s="5" t="inlineStr">
        <x:is>
          <x:t xml:space="preserve">Evidence of Multi-Factor Authentication</x:t>
        </x:is>
      </x:c>
      <x:c r="E70" s="5" t="inlineStr">
        <x:is>
          <x:t xml:space="preserve">REQ-27-HIPAA</x:t>
        </x:is>
      </x:c>
      <x:c r="F70" s="5" t="inlineStr">
        <x:is>
          <x:t xml:space="preserve">11.01q1System.3</x:t>
        </x:is>
      </x:c>
      <x:c r="G70" s="5" t="inlineStr">
        <x:is>
          <x:t xml:space="preserve">1:Many</x:t>
        </x:is>
      </x:c>
      <x:c r="H70" s="5" t="n">
        <x:v>1</x:v>
      </x:c>
      <x:c r="I70" s="5" t="inlineStr">
        <x:is>
          <x:t xml:space="preserve">45 CFR § 164.312(d)</x:t>
        </x:is>
      </x:c>
      <x:c r="J70" s="5" t="inlineStr">
        <x:is>
          <x:t xml:space="preserve">Person or Entity Authentication</x:t>
        </x:is>
      </x:c>
      <x:c r="K70" s="5" t="inlineStr">
        <x:is>
          <x:t xml:space="preserve">Direct</x:t>
        </x:is>
      </x:c>
      <x:c r="L70" s="5" t="inlineStr">
        <x:is>
          <x:t xml:space="preserve">MFA evidence most directly supports verifying that the person or entity seeking access is the one claimed.</x:t>
        </x:is>
      </x:c>
      <x:c r="M70" s="28"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N70" s="5" t="inlineStr">
        <x:is>
          <x:t xml:space="preserve">HIPAA does not mandate a specific technology such as MFA in all cases, but MFA evidence is a strong implementation of this standard.</x:t>
        </x:is>
      </x:c>
      <x:c r="O70" s="5" t="inlineStr">
        <x:is>
          <x:t xml:space="preserve">11.01q1 System.3</x:t>
        </x:is>
      </x:c>
      <x:c r="P70" s="5" t="n">
        <x:v>1</x:v>
      </x:c>
      <x:c r="Q70" s="5" t="n"/>
      <x:c r="R70" s="5" t="inlineStr">
        <x:is>
          <x:t xml:space="preserve">45 C.F.R. § 164.312(d)</x:t>
        </x:is>
      </x:c>
      <x:c r="S70" s="5" t="inlineStr">
        <x:is>
          <x:t xml:space="preserve">Person or Entity Authentication</x:t>
        </x:is>
      </x:c>
      <x:c r="T70" s="5" t="inlineStr">
        <x:is>
          <x:t xml:space="preserve">Implement procedures to verify that a person or entity seeking access to ePHI is the one claimed.</x:t>
        </x:is>
      </x:c>
      <x:c r="U70" s="5" t="inlineStr">
        <x:is>
          <x:t xml:space="preserve">Required standard</x:t>
        </x:is>
      </x:c>
      <x:c r="V70" s="5" t="inlineStr">
        <x:is>
          <x:t xml:space="preserve">Technical Safeguards</x:t>
        </x:is>
      </x:c>
      <x:c r="W70" s="28" t="inlineStr">
        <x:is>
          <x:t xml:space="preserve">https://www.ecfr.gov/current/title-45/subtitle-A/subchapter-C/part-164/section-164.312</x:t>
        </x:is>
      </x:c>
      <x:c r="X70" s="28" t="inlineStr">
        <x:is>
          <x:t xml:space="preserve">https://www.hhs.gov/hipaa/for-professionals/compliance-enforcement/audit/protocol-edited/index.html</x:t>
        </x:is>
      </x:c>
      <x:c r="Y70" s="5" t="n"/>
      <x:c r="Z70" s="5" t="n"/>
      <x:c r="AA70" s="5" t="n"/>
      <x:c r="AB70" s="5" t="n"/>
      <x:c r="AC70" s="5" t="n"/>
      <x:c r="AD70" s="5" t="n"/>
      <x:c r="AE70" s="5" t="n"/>
      <x:c r="AF70" s="5" t="n"/>
      <x:c r="AG70" s="5" t="n"/>
      <x:c r="AH70" s="5" t="n"/>
      <x:c r="AI70" s="5" t="n"/>
      <x:c r="AJ70" s="5" t="n"/>
      <x:c r="AK70" s="5" t="n"/>
      <x:c r="AL70" s="5" t="n"/>
    </x:row>
    <x:row r="71" ht="30" customHeight="1">
      <x:c r="A71" s="5" t="inlineStr">
        <x:is>
          <x:t xml:space="preserve">HITRUST e1.csv</x:t>
        </x:is>
      </x:c>
      <x:c r="B71" s="5" t="inlineStr">
        <x:is>
          <x:t xml:space="preserve">ER-88</x:t>
        </x:is>
      </x:c>
      <x:c r="C71" s="5" t="inlineStr">
        <x:is>
          <x:t xml:space="preserve">Configuration</x:t>
        </x:is>
      </x:c>
      <x:c r="D71" s="5" t="inlineStr">
        <x:is>
          <x:t xml:space="preserve">Evidence of Multi-Factor Authentication</x:t>
        </x:is>
      </x:c>
      <x:c r="E71" s="5" t="inlineStr">
        <x:is>
          <x:t xml:space="preserve">REQ-27-HIPAA</x:t>
        </x:is>
      </x:c>
      <x:c r="F71" s="5" t="inlineStr">
        <x:is>
          <x:t xml:space="preserve">11.01q1System.4</x:t>
        </x:is>
      </x:c>
      <x:c r="G71" s="5" t="inlineStr">
        <x:is>
          <x:t xml:space="preserve">1:Many</x:t>
        </x:is>
      </x:c>
      <x:c r="H71" s="5" t="n">
        <x:v>1</x:v>
      </x:c>
      <x:c r="I71" s="5" t="inlineStr">
        <x:is>
          <x:t xml:space="preserve">45 CFR § 164.312(d)</x:t>
        </x:is>
      </x:c>
      <x:c r="J71" s="5" t="inlineStr">
        <x:is>
          <x:t xml:space="preserve">Person or Entity Authentication</x:t>
        </x:is>
      </x:c>
      <x:c r="K71" s="5" t="inlineStr">
        <x:is>
          <x:t xml:space="preserve">Direct</x:t>
        </x:is>
      </x:c>
      <x:c r="L71" s="5" t="inlineStr">
        <x:is>
          <x:t xml:space="preserve">MFA evidence most directly supports verifying that the person or entity seeking access is the one claimed.</x:t>
        </x:is>
      </x:c>
      <x:c r="M71" s="28"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N71" s="5" t="inlineStr">
        <x:is>
          <x:t xml:space="preserve">HIPAA does not mandate a specific technology such as MFA in all cases, but MFA evidence is a strong implementation of this standard.</x:t>
        </x:is>
      </x:c>
      <x:c r="O71" s="5" t="inlineStr">
        <x:is>
          <x:t xml:space="preserve">11.01q1 System.4</x:t>
        </x:is>
      </x:c>
      <x:c r="P71" s="5" t="n">
        <x:v>1</x:v>
      </x:c>
      <x:c r="Q71" s="5" t="n"/>
      <x:c r="R71" s="5" t="inlineStr">
        <x:is>
          <x:t xml:space="preserve">45 C.F.R. § 164.312(d)</x:t>
        </x:is>
      </x:c>
      <x:c r="S71" s="5" t="inlineStr">
        <x:is>
          <x:t xml:space="preserve">Person or Entity Authentication</x:t>
        </x:is>
      </x:c>
      <x:c r="T71" s="5" t="inlineStr">
        <x:is>
          <x:t xml:space="preserve">Implement procedures to verify that a person or entity seeking access to ePHI is the one claimed.</x:t>
        </x:is>
      </x:c>
      <x:c r="U71" s="5" t="inlineStr">
        <x:is>
          <x:t xml:space="preserve">Required standard</x:t>
        </x:is>
      </x:c>
      <x:c r="V71" s="5" t="inlineStr">
        <x:is>
          <x:t xml:space="preserve">Technical Safeguards</x:t>
        </x:is>
      </x:c>
      <x:c r="W71" s="28" t="inlineStr">
        <x:is>
          <x:t xml:space="preserve">https://www.ecfr.gov/current/title-45/subtitle-A/subchapter-C/part-164/section-164.312</x:t>
        </x:is>
      </x:c>
      <x:c r="X71" s="28" t="inlineStr">
        <x:is>
          <x:t xml:space="preserve">https://www.hhs.gov/hipaa/for-professionals/compliance-enforcement/audit/protocol-edited/index.html</x:t>
        </x:is>
      </x:c>
      <x:c r="Y71" s="5" t="n"/>
      <x:c r="Z71" s="5" t="n"/>
      <x:c r="AA71" s="5" t="n"/>
      <x:c r="AB71" s="5" t="n"/>
      <x:c r="AC71" s="5" t="n"/>
      <x:c r="AD71" s="5" t="n"/>
      <x:c r="AE71" s="5" t="n"/>
      <x:c r="AF71" s="5" t="n"/>
      <x:c r="AG71" s="5" t="n"/>
      <x:c r="AH71" s="5" t="n"/>
      <x:c r="AI71" s="5" t="n"/>
      <x:c r="AJ71" s="5" t="n"/>
      <x:c r="AK71" s="5" t="n"/>
      <x:c r="AL71" s="5" t="n"/>
    </x:row>
    <x:row r="72" ht="30" customHeight="1">
      <x:c r="A72" s="5" t="inlineStr">
        <x:is>
          <x:t xml:space="preserve">HITRUST e1.csv</x:t>
        </x:is>
      </x:c>
      <x:c r="B72" s="5" t="inlineStr">
        <x:is>
          <x:t xml:space="preserve">ER-53</x:t>
        </x:is>
      </x:c>
      <x:c r="C72" s="5" t="inlineStr">
        <x:is>
          <x:t xml:space="preserve">Sample</x:t>
        </x:is>
      </x:c>
      <x:c r="D72" s="5" t="inlineStr">
        <x:is>
          <x:t xml:space="preserve">Evidence of Vulnerability Scan Results</x:t>
        </x:is>
      </x:c>
      <x:c r="E72" s="5" t="inlineStr">
        <x:is>
          <x:t xml:space="preserve">REQ-46-HIPAA</x:t>
        </x:is>
      </x:c>
      <x:c r="F72" s="5" t="inlineStr">
        <x:is>
          <x:t xml:space="preserve">07.10m1Organizational.3</x:t>
        </x:is>
      </x:c>
      <x:c r="G72" s="5" t="inlineStr">
        <x:is>
          <x:t xml:space="preserve">Many:1</x:t>
        </x:is>
      </x:c>
      <x:c r="H72" s="5" t="n">
        <x:v>1</x:v>
      </x:c>
      <x:c r="I72" s="5" t="inlineStr">
        <x:is>
          <x:t xml:space="preserve">45 CFR § 164.308(a)(1)(ii)(A)</x:t>
        </x:is>
      </x:c>
      <x:c r="J72" s="5" t="inlineStr">
        <x:is>
          <x:t xml:space="preserve">Security Management Process — Risk Analysis</x:t>
        </x:is>
      </x:c>
      <x:c r="K72" s="5" t="inlineStr">
        <x:is>
          <x:t xml:space="preserve">Best-fit</x:t>
        </x:is>
      </x:c>
      <x:c r="L72" s="5" t="inlineStr">
        <x:is>
          <x:t xml:space="preserve">OCR guidance identifies vulnerability scanning as one way to identify risks and vulnerabilities to ePHI.</x:t>
        </x:is>
      </x:c>
      <x:c r="M72" s="28"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N72" s="5" t="inlineStr">
        <x:is>
          <x:t xml:space="preserve">Used for vulnerability-scan result evidence.</x:t>
        </x:is>
      </x:c>
      <x:c r="O72" s="5" t="inlineStr">
        <x:is>
          <x:t xml:space="preserve">07.10m1 Organizational.3</x:t>
        </x:is>
      </x:c>
      <x:c r="P72" s="5" t="n">
        <x:v>1</x:v>
      </x:c>
      <x:c r="Q72" s="5" t="n"/>
      <x:c r="R72" s="5" t="inlineStr">
        <x:is>
          <x:t xml:space="preserve">45 C.F.R. § 164.308(a)(1)(ii)(A)</x:t>
        </x:is>
      </x:c>
      <x:c r="S72" s="5" t="inlineStr">
        <x:is>
          <x:t xml:space="preserve">Security Management Process — Risk Analysis</x:t>
        </x:is>
      </x:c>
      <x:c r="T72" s="5" t="inlineStr">
        <x:is>
          <x:t xml:space="preserve">Conduct an accurate and thorough assessment of the potential risks and vulnerabilities to the confidentiality, integrity, and availability of ePHI.</x:t>
        </x:is>
      </x:c>
      <x:c r="U72" s="5" t="inlineStr">
        <x:is>
          <x:t xml:space="preserve">Required implementation specification</x:t>
        </x:is>
      </x:c>
      <x:c r="V72" s="5" t="inlineStr">
        <x:is>
          <x:t xml:space="preserve">Administrative Safeguards</x:t>
        </x:is>
      </x:c>
      <x:c r="W72" s="28" t="inlineStr">
        <x:is>
          <x:t xml:space="preserve">https://www.ecfr.gov/current/title-45/subtitle-A/subchapter-C/part-164/section-164.308</x:t>
        </x:is>
      </x:c>
      <x:c r="X72" s="28" t="inlineStr">
        <x:is>
          <x:t xml:space="preserve">https://www.hhs.gov/hipaa/for-professionals/security/guidance/guidance-risk-analysis/index.html</x:t>
        </x:is>
      </x:c>
      <x:c r="Y72" s="5" t="n"/>
      <x:c r="Z72" s="5" t="n"/>
      <x:c r="AA72" s="5" t="n"/>
      <x:c r="AB72" s="5" t="n"/>
      <x:c r="AC72" s="5" t="n"/>
      <x:c r="AD72" s="5" t="n"/>
      <x:c r="AE72" s="5" t="n"/>
      <x:c r="AF72" s="5" t="n"/>
      <x:c r="AG72" s="5" t="n"/>
      <x:c r="AH72" s="5" t="n"/>
      <x:c r="AI72" s="5" t="n"/>
      <x:c r="AJ72" s="5" t="n"/>
      <x:c r="AK72" s="5" t="n"/>
      <x:c r="AL72" s="5" t="n"/>
    </x:row>
    <x:row r="73" ht="30" customHeight="1">
      <x:c r="A73" s="5" t="inlineStr">
        <x:is>
          <x:t xml:space="preserve">HITRUST e1.csv</x:t>
        </x:is>
      </x:c>
      <x:c r="B73" s="5" t="inlineStr">
        <x:is>
          <x:t xml:space="preserve">ER-53</x:t>
        </x:is>
      </x:c>
      <x:c r="C73" s="5" t="inlineStr">
        <x:is>
          <x:t xml:space="preserve">Sample</x:t>
        </x:is>
      </x:c>
      <x:c r="D73" s="5" t="inlineStr">
        <x:is>
          <x:t xml:space="preserve">Evidence of Vulnerability Scan Results</x:t>
        </x:is>
      </x:c>
      <x:c r="E73" s="5" t="inlineStr">
        <x:is>
          <x:t xml:space="preserve">REQ-47-HIPAA</x:t>
        </x:is>
      </x:c>
      <x:c r="F73" s="5" t="inlineStr">
        <x:is>
          <x:t xml:space="preserve">07.10m1Organizational.3</x:t>
        </x:is>
      </x:c>
      <x:c r="G73" s="5" t="inlineStr">
        <x:is>
          <x:t xml:space="preserve">Many:1</x:t>
        </x:is>
      </x:c>
      <x:c r="H73" s="5" t="n">
        <x:v>1</x:v>
      </x:c>
      <x:c r="I73" s="5" t="inlineStr">
        <x:is>
          <x:t xml:space="preserve">45 CFR § 164.308(a)(1)(ii)(B)</x:t>
        </x:is>
      </x:c>
      <x:c r="J73" s="5" t="inlineStr">
        <x:is>
          <x:t xml:space="preserve">Security Management Process — Risk Management</x:t>
        </x:is>
      </x:c>
      <x:c r="K73" s="5" t="inlineStr">
        <x:is>
          <x:t xml:space="preserve">Best-fit</x:t>
        </x:is>
      </x:c>
      <x:c r="L73" s="5" t="inlineStr">
        <x:is>
          <x:t xml:space="preserve">Vulnerability remediation is the treatment/mitigation step after risks are identified.</x:t>
        </x:is>
      </x:c>
      <x:c r="M73" s="28"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N73" s="5" t="inlineStr">
        <x:is>
          <x:t xml:space="preserve">Used for remediation evidence and related patch/vulnerability-management policy rows.</x:t>
        </x:is>
      </x:c>
      <x:c r="O73" s="5" t="inlineStr">
        <x:is>
          <x:t xml:space="preserve">07.10m1 Organizational.3</x:t>
        </x:is>
      </x:c>
      <x:c r="P73" s="5" t="n">
        <x:v>1</x:v>
      </x:c>
      <x:c r="Q73" s="5" t="n"/>
      <x:c r="R73" s="5" t="inlineStr">
        <x:is>
          <x:t xml:space="preserve">45 C.F.R. § 164.308(a)(1)(ii)(B)</x:t>
        </x:is>
      </x:c>
      <x:c r="S73" s="5" t="inlineStr">
        <x:is>
          <x:t xml:space="preserve">Security Management Process — Risk Management</x:t>
        </x:is>
      </x:c>
      <x:c r="T73" s="5" t="inlineStr">
        <x:is>
          <x:t xml:space="preserve">Implement security measures sufficient to reduce identified risks and vulnerabilities to a reasonable and appropriate level.</x:t>
        </x:is>
      </x:c>
      <x:c r="U73" s="5" t="inlineStr">
        <x:is>
          <x:t xml:space="preserve">Required implementation specification</x:t>
        </x:is>
      </x:c>
      <x:c r="V73" s="5" t="inlineStr">
        <x:is>
          <x:t xml:space="preserve">Administrative Safeguards</x:t>
        </x:is>
      </x:c>
      <x:c r="W73" s="28" t="inlineStr">
        <x:is>
          <x:t xml:space="preserve">https://www.ecfr.gov/current/title-45/subtitle-A/subchapter-C/part-164/section-164.308</x:t>
        </x:is>
      </x:c>
      <x:c r="X73" s="28" t="inlineStr">
        <x:is>
          <x:t xml:space="preserve">https://www.hhs.gov/hipaa/for-professionals/security/guidance/guidance-risk-analysis/index.html</x:t>
        </x:is>
      </x:c>
      <x:c r="Y73" s="5" t="n"/>
      <x:c r="Z73" s="5" t="n"/>
      <x:c r="AA73" s="5" t="n"/>
      <x:c r="AB73" s="5" t="n"/>
      <x:c r="AC73" s="5" t="n"/>
      <x:c r="AD73" s="5" t="n"/>
      <x:c r="AE73" s="5" t="n"/>
      <x:c r="AF73" s="5" t="n"/>
      <x:c r="AG73" s="5" t="n"/>
      <x:c r="AH73" s="5" t="n"/>
      <x:c r="AI73" s="5" t="n"/>
      <x:c r="AJ73" s="5" t="n"/>
      <x:c r="AK73" s="5" t="n"/>
      <x:c r="AL73" s="5" t="n"/>
    </x:row>
    <x:row r="74" ht="30" customHeight="1">
      <x:c r="A74" s="5" t="inlineStr">
        <x:is>
          <x:t xml:space="preserve">HITRUST e1.csv</x:t>
        </x:is>
      </x:c>
      <x:c r="B74" s="5" t="inlineStr">
        <x:is>
          <x:t xml:space="preserve">ER-91</x:t>
        </x:is>
      </x:c>
      <x:c r="C74" s="5" t="inlineStr">
        <x:is>
          <x:t xml:space="preserve">Configuration</x:t>
        </x:is>
      </x:c>
      <x:c r="D74" s="5" t="inlineStr">
        <x:is>
          <x:t xml:space="preserve">Firewall Rules/Security Groups</x:t>
        </x:is>
      </x:c>
      <x:c r="E74" s="5" t="inlineStr">
        <x:is>
          <x:t xml:space="preserve">REQ-37-HIPAA</x:t>
        </x:is>
      </x:c>
      <x:c r="F74" s="5" t="inlineStr">
        <x:is>
          <x:t xml:space="preserve">0265.09m1Organizational.2</x:t>
        </x:is>
      </x:c>
      <x:c r="G74" s="5" t="inlineStr">
        <x:is>
          <x:t xml:space="preserve">1:Many</x:t>
        </x:is>
      </x:c>
      <x:c r="H74" s="5" t="n">
        <x:v>1</x:v>
      </x:c>
      <x:c r="I74" s="5" t="inlineStr">
        <x:is>
          <x:t xml:space="preserve">45 CFR § 164.312(a)(1)</x:t>
        </x:is>
      </x:c>
      <x:c r="J74" s="5" t="inlineStr">
        <x:is>
          <x:t xml:space="preserve">Access Control</x:t>
        </x:is>
      </x:c>
      <x:c r="K74" s="5" t="inlineStr">
        <x:is>
          <x:t xml:space="preserve">Best-fit</x:t>
        </x:is>
      </x:c>
      <x:c r="L74" s="5" t="inlineStr">
        <x:is>
          <x:t xml:space="preserve">Firewall rules/security groups are a technical means of enforcing access restrictions around systems containing ePHI.</x:t>
        </x:is>
      </x:c>
      <x:c r="M74" s="28"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N74" s="5" t="inlineStr">
        <x:is>
          <x:t xml:space="preserve">Mapped to the broad access-control standard because HIPAA does not list firewall rules as a separate named specification.</x:t>
        </x:is>
      </x:c>
      <x:c r="O74" s="5" t="inlineStr">
        <x:is>
          <x:t xml:space="preserve">0265.09m1 Organizational.2</x:t>
        </x:is>
      </x:c>
      <x:c r="P74" s="5" t="n">
        <x:v>1</x:v>
      </x:c>
      <x:c r="Q74" s="5" t="n"/>
      <x:c r="R74" s="5" t="inlineStr">
        <x:is>
          <x:t xml:space="preserve">45 C.F.R. § 164.312(a)(1)</x:t>
        </x:is>
      </x:c>
      <x:c r="S74" s="5" t="inlineStr">
        <x:is>
          <x:t xml:space="preserve">Access Control</x:t>
        </x:is>
      </x:c>
      <x:c r="T74" s="5" t="inlineStr">
        <x:is>
          <x:t xml:space="preserve">Implement technical policies and procedures for electronic information systems that maintain ePHI to allow access only to persons or software programs with authorized access rights.</x:t>
        </x:is>
      </x:c>
      <x:c r="U74" s="5" t="inlineStr">
        <x:is>
          <x:t xml:space="preserve">Standard</x:t>
        </x:is>
      </x:c>
      <x:c r="V74" s="5" t="inlineStr">
        <x:is>
          <x:t xml:space="preserve">Technical Safeguards</x:t>
        </x:is>
      </x:c>
      <x:c r="W74" s="28" t="inlineStr">
        <x:is>
          <x:t xml:space="preserve">https://www.ecfr.gov/current/title-45/subtitle-A/subchapter-C/part-164/section-164.312</x:t>
        </x:is>
      </x:c>
      <x:c r="X74" s="28" t="inlineStr">
        <x:is>
          <x:t xml:space="preserve">https://www.hhs.gov/hipaa/for-professionals/compliance-enforcement/audit/protocol-edited/index.html</x:t>
        </x:is>
      </x:c>
      <x:c r="Y74" s="5" t="n"/>
      <x:c r="Z74" s="5" t="n"/>
      <x:c r="AA74" s="5" t="n"/>
      <x:c r="AB74" s="5" t="n"/>
      <x:c r="AC74" s="5" t="n"/>
      <x:c r="AD74" s="5" t="n"/>
      <x:c r="AE74" s="5" t="n"/>
      <x:c r="AF74" s="5" t="n"/>
      <x:c r="AG74" s="5" t="n"/>
      <x:c r="AH74" s="5" t="n"/>
      <x:c r="AI74" s="5" t="n"/>
      <x:c r="AJ74" s="5" t="n"/>
      <x:c r="AK74" s="5" t="n"/>
      <x:c r="AL74" s="5" t="n"/>
    </x:row>
    <x:row r="75" ht="30" customHeight="1">
      <x:c r="A75" s="5" t="inlineStr">
        <x:is>
          <x:t xml:space="preserve">HITRUST e1.csv</x:t>
        </x:is>
      </x:c>
      <x:c r="B75" s="5" t="inlineStr">
        <x:is>
          <x:t xml:space="preserve">ER-91</x:t>
        </x:is>
      </x:c>
      <x:c r="C75" s="5" t="inlineStr">
        <x:is>
          <x:t xml:space="preserve">Configuration</x:t>
        </x:is>
      </x:c>
      <x:c r="D75" s="5" t="inlineStr">
        <x:is>
          <x:t xml:space="preserve">Firewall Rules/Security Groups</x:t>
        </x:is>
      </x:c>
      <x:c r="E75" s="5" t="inlineStr">
        <x:is>
          <x:t xml:space="preserve">REQ-37-HIPAA</x:t>
        </x:is>
      </x:c>
      <x:c r="F75" s="5" t="inlineStr">
        <x:is>
          <x:t xml:space="preserve">0805.01m1Organizational.12</x:t>
        </x:is>
      </x:c>
      <x:c r="G75" s="5" t="inlineStr">
        <x:is>
          <x:t xml:space="preserve">1:Many</x:t>
        </x:is>
      </x:c>
      <x:c r="H75" s="5" t="n">
        <x:v>1</x:v>
      </x:c>
      <x:c r="I75" s="5" t="inlineStr">
        <x:is>
          <x:t xml:space="preserve">45 CFR § 164.312(a)(1)</x:t>
        </x:is>
      </x:c>
      <x:c r="J75" s="5" t="inlineStr">
        <x:is>
          <x:t xml:space="preserve">Access Control</x:t>
        </x:is>
      </x:c>
      <x:c r="K75" s="5" t="inlineStr">
        <x:is>
          <x:t xml:space="preserve">Best-fit</x:t>
        </x:is>
      </x:c>
      <x:c r="L75" s="5" t="inlineStr">
        <x:is>
          <x:t xml:space="preserve">Firewall rules/security groups are a technical means of enforcing access restrictions around systems containing ePHI.</x:t>
        </x:is>
      </x:c>
      <x:c r="M75" s="28"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N75" s="5" t="inlineStr">
        <x:is>
          <x:t xml:space="preserve">Mapped to the broad access-control standard because HIPAA does not list firewall rules as a separate named specification.</x:t>
        </x:is>
      </x:c>
      <x:c r="O75" s="5" t="inlineStr">
        <x:is>
          <x:t xml:space="preserve">0805.01m1 Organizational.12</x:t>
        </x:is>
      </x:c>
      <x:c r="P75" s="5" t="n">
        <x:v>1</x:v>
      </x:c>
      <x:c r="Q75" s="5" t="n"/>
      <x:c r="R75" s="5" t="inlineStr">
        <x:is>
          <x:t xml:space="preserve">45 C.F.R. § 164.312(a)(1)</x:t>
        </x:is>
      </x:c>
      <x:c r="S75" s="5" t="inlineStr">
        <x:is>
          <x:t xml:space="preserve">Access Control</x:t>
        </x:is>
      </x:c>
      <x:c r="T75" s="5" t="inlineStr">
        <x:is>
          <x:t xml:space="preserve">Implement technical policies and procedures for electronic information systems that maintain ePHI to allow access only to persons or software programs with authorized access rights.</x:t>
        </x:is>
      </x:c>
      <x:c r="U75" s="5" t="inlineStr">
        <x:is>
          <x:t xml:space="preserve">Standard</x:t>
        </x:is>
      </x:c>
      <x:c r="V75" s="5" t="inlineStr">
        <x:is>
          <x:t xml:space="preserve">Technical Safeguards</x:t>
        </x:is>
      </x:c>
      <x:c r="W75" s="28" t="inlineStr">
        <x:is>
          <x:t xml:space="preserve">https://www.ecfr.gov/current/title-45/subtitle-A/subchapter-C/part-164/section-164.312</x:t>
        </x:is>
      </x:c>
      <x:c r="X75" s="28" t="inlineStr">
        <x:is>
          <x:t xml:space="preserve">https://www.hhs.gov/hipaa/for-professionals/compliance-enforcement/audit/protocol-edited/index.html</x:t>
        </x:is>
      </x:c>
      <x:c r="Y75" s="5" t="n"/>
      <x:c r="Z75" s="5" t="n"/>
      <x:c r="AA75" s="5" t="n"/>
      <x:c r="AB75" s="5" t="n"/>
      <x:c r="AC75" s="5" t="n"/>
      <x:c r="AD75" s="5" t="n"/>
      <x:c r="AE75" s="5" t="n"/>
      <x:c r="AF75" s="5" t="n"/>
      <x:c r="AG75" s="5" t="n"/>
      <x:c r="AH75" s="5" t="n"/>
      <x:c r="AI75" s="5" t="n"/>
      <x:c r="AJ75" s="5" t="n"/>
      <x:c r="AK75" s="5" t="n"/>
      <x:c r="AL75" s="5" t="n"/>
    </x:row>
    <x:row r="76" ht="30" customHeight="1">
      <x:c r="A76" s="5" t="inlineStr">
        <x:is>
          <x:t xml:space="preserve">HITRUST e1.csv</x:t>
        </x:is>
      </x:c>
      <x:c r="B76" s="5" t="inlineStr">
        <x:is>
          <x:t xml:space="preserve">ER-55</x:t>
        </x:is>
      </x:c>
      <x:c r="C76" s="5" t="inlineStr">
        <x:is>
          <x:t xml:space="preserve">Policy</x:t>
        </x:is>
      </x:c>
      <x:c r="D76" s="5" t="inlineStr">
        <x:is>
          <x:t xml:space="preserve">Incident Response</x:t>
        </x:is>
      </x:c>
      <x:c r="E76" s="5" t="inlineStr">
        <x:is>
          <x:t xml:space="preserve">REQ-48-HIPAA</x:t>
        </x:is>
      </x:c>
      <x:c r="F76" s="5" t="inlineStr">
        <x:is>
          <x:t xml:space="preserve">1561.11c1Organizational.4</x:t>
        </x:is>
      </x:c>
      <x:c r="G76" s="5" t="inlineStr">
        <x:is>
          <x:t xml:space="preserve">Many:Many</x:t>
        </x:is>
      </x:c>
      <x:c r="H76" s="5" t="n">
        <x:v>1</x:v>
      </x:c>
      <x:c r="I76" s="5" t="inlineStr">
        <x:is>
          <x:t xml:space="preserve">45 CFR § 164.308(a)(6)(i)</x:t>
        </x:is>
      </x:c>
      <x:c r="J76" s="5" t="inlineStr">
        <x:is>
          <x:t xml:space="preserve">Security Incident Procedures</x:t>
        </x:is>
      </x:c>
      <x:c r="K76" s="5" t="inlineStr">
        <x:is>
          <x:t xml:space="preserve">Direct</x:t>
        </x:is>
      </x:c>
      <x:c r="L76" s="5" t="inlineStr">
        <x:is>
          <x:t xml:space="preserve">Incident-response policy aligns directly to the Security Incident Procedures standard.</x:t>
        </x:is>
      </x:c>
      <x:c r="M76"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6" s="5" t="inlineStr">
        <x:is>
          <x:t xml:space="preserve">Used for policy-level incident-response rows.</x:t>
        </x:is>
      </x:c>
      <x:c r="O76" s="5" t="inlineStr">
        <x:is>
          <x:t xml:space="preserve">1561.11c1 Organizational.4</x:t>
        </x:is>
      </x:c>
      <x:c r="P76" s="5" t="n">
        <x:v>1</x:v>
      </x:c>
      <x:c r="Q76" s="5" t="n"/>
      <x:c r="R76" s="5" t="inlineStr">
        <x:is>
          <x:t xml:space="preserve">45 C.F.R. § 164.308(a)(6)(i)</x:t>
        </x:is>
      </x:c>
      <x:c r="S76" s="5" t="inlineStr">
        <x:is>
          <x:t xml:space="preserve">Security Incident Procedures</x:t>
        </x:is>
      </x:c>
      <x:c r="T76" s="5" t="inlineStr">
        <x:is>
          <x:t xml:space="preserve">Implement policies and procedures to address security incidents.</x:t>
        </x:is>
      </x:c>
      <x:c r="U76" s="5" t="inlineStr">
        <x:is>
          <x:t xml:space="preserve">Standard</x:t>
        </x:is>
      </x:c>
      <x:c r="V76" s="5" t="inlineStr">
        <x:is>
          <x:t xml:space="preserve">Administrative Safeguards</x:t>
        </x:is>
      </x:c>
      <x:c r="W76" s="28" t="inlineStr">
        <x:is>
          <x:t xml:space="preserve">https://www.ecfr.gov/current/title-45/subtitle-A/subchapter-C/part-164/section-164.308</x:t>
        </x:is>
      </x:c>
      <x:c r="X76" s="28" t="inlineStr">
        <x:is>
          <x:t xml:space="preserve">https://www.hhs.gov/hipaa/for-professionals/faq/2002/what-does-the-security-rule-require-a-covered-entity-to-do-to-comply/index.html</x:t>
        </x:is>
      </x:c>
      <x:c r="Y76" s="5" t="n"/>
      <x:c r="Z76" s="5" t="n"/>
      <x:c r="AA76" s="5" t="n"/>
      <x:c r="AB76" s="5" t="n"/>
      <x:c r="AC76" s="5" t="n"/>
      <x:c r="AD76" s="5" t="n"/>
      <x:c r="AE76" s="5" t="n"/>
      <x:c r="AF76" s="5" t="n"/>
      <x:c r="AG76" s="5" t="n"/>
      <x:c r="AH76" s="5" t="n"/>
      <x:c r="AI76" s="5" t="n"/>
      <x:c r="AJ76" s="5" t="n"/>
      <x:c r="AK76" s="5" t="n"/>
      <x:c r="AL76" s="5" t="n"/>
    </x:row>
    <x:row r="77" ht="30" customHeight="1">
      <x:c r="A77" s="5" t="inlineStr">
        <x:is>
          <x:t xml:space="preserve">HITRUST e1.csv</x:t>
        </x:is>
      </x:c>
      <x:c r="B77" s="5" t="inlineStr">
        <x:is>
          <x:t xml:space="preserve">ER-55</x:t>
        </x:is>
      </x:c>
      <x:c r="C77" s="5" t="inlineStr">
        <x:is>
          <x:t xml:space="preserve">Policy</x:t>
        </x:is>
      </x:c>
      <x:c r="D77" s="5" t="inlineStr">
        <x:is>
          <x:t xml:space="preserve">Incident Response</x:t>
        </x:is>
      </x:c>
      <x:c r="E77" s="5" t="inlineStr">
        <x:is>
          <x:t xml:space="preserve">REQ-48-HIPAA</x:t>
        </x:is>
      </x:c>
      <x:c r="F77" s="5" t="inlineStr">
        <x:is>
          <x:t xml:space="preserve">1589.11c1Organizational.5</x:t>
        </x:is>
      </x:c>
      <x:c r="G77" s="5" t="inlineStr">
        <x:is>
          <x:t xml:space="preserve">Many:Many</x:t>
        </x:is>
      </x:c>
      <x:c r="H77" s="5" t="n">
        <x:v>1</x:v>
      </x:c>
      <x:c r="I77" s="5" t="inlineStr">
        <x:is>
          <x:t xml:space="preserve">45 CFR § 164.308(a)(6)(i)</x:t>
        </x:is>
      </x:c>
      <x:c r="J77" s="5" t="inlineStr">
        <x:is>
          <x:t xml:space="preserve">Security Incident Procedures</x:t>
        </x:is>
      </x:c>
      <x:c r="K77" s="5" t="inlineStr">
        <x:is>
          <x:t xml:space="preserve">Direct</x:t>
        </x:is>
      </x:c>
      <x:c r="L77" s="5" t="inlineStr">
        <x:is>
          <x:t xml:space="preserve">Incident-response policy aligns directly to the Security Incident Procedures standard.</x:t>
        </x:is>
      </x:c>
      <x:c r="M77"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7" s="5" t="inlineStr">
        <x:is>
          <x:t xml:space="preserve">Used for policy-level incident-response rows.</x:t>
        </x:is>
      </x:c>
      <x:c r="O77" s="5" t="inlineStr">
        <x:is>
          <x:t xml:space="preserve">1589.11c1 Organizational.5</x:t>
        </x:is>
      </x:c>
      <x:c r="P77" s="5" t="n">
        <x:v>1</x:v>
      </x:c>
      <x:c r="Q77" s="5" t="n"/>
      <x:c r="R77" s="5" t="inlineStr">
        <x:is>
          <x:t xml:space="preserve">45 C.F.R. § 164.308(a)(6)(i)</x:t>
        </x:is>
      </x:c>
      <x:c r="S77" s="5" t="inlineStr">
        <x:is>
          <x:t xml:space="preserve">Security Incident Procedures</x:t>
        </x:is>
      </x:c>
      <x:c r="T77" s="5" t="inlineStr">
        <x:is>
          <x:t xml:space="preserve">Implement policies and procedures to address security incidents.</x:t>
        </x:is>
      </x:c>
      <x:c r="U77" s="5" t="inlineStr">
        <x:is>
          <x:t xml:space="preserve">Standard</x:t>
        </x:is>
      </x:c>
      <x:c r="V77" s="5" t="inlineStr">
        <x:is>
          <x:t xml:space="preserve">Administrative Safeguards</x:t>
        </x:is>
      </x:c>
      <x:c r="W77" s="28" t="inlineStr">
        <x:is>
          <x:t xml:space="preserve">https://www.ecfr.gov/current/title-45/subtitle-A/subchapter-C/part-164/section-164.308</x:t>
        </x:is>
      </x:c>
      <x:c r="X77" s="28" t="inlineStr">
        <x:is>
          <x:t xml:space="preserve">https://www.hhs.gov/hipaa/for-professionals/faq/2002/what-does-the-security-rule-require-a-covered-entity-to-do-to-comply/index.html</x:t>
        </x:is>
      </x:c>
      <x:c r="Y77" s="5" t="n"/>
      <x:c r="Z77" s="5" t="n"/>
      <x:c r="AA77" s="5" t="n"/>
      <x:c r="AB77" s="5" t="n"/>
      <x:c r="AC77" s="5" t="n"/>
      <x:c r="AD77" s="5" t="n"/>
      <x:c r="AE77" s="5" t="n"/>
      <x:c r="AF77" s="5" t="n"/>
      <x:c r="AG77" s="5" t="n"/>
      <x:c r="AH77" s="5" t="n"/>
      <x:c r="AI77" s="5" t="n"/>
      <x:c r="AJ77" s="5" t="n"/>
      <x:c r="AK77" s="5" t="n"/>
      <x:c r="AL77" s="5" t="n"/>
    </x:row>
    <x:row r="78" ht="30" customHeight="1">
      <x:c r="A78" s="5" t="inlineStr">
        <x:is>
          <x:t xml:space="preserve">HITRUST e1.csv</x:t>
        </x:is>
      </x:c>
      <x:c r="B78" s="5" t="inlineStr">
        <x:is>
          <x:t xml:space="preserve">ER-55</x:t>
        </x:is>
      </x:c>
      <x:c r="C78" s="5" t="inlineStr">
        <x:is>
          <x:t xml:space="preserve">Policy</x:t>
        </x:is>
      </x:c>
      <x:c r="D78" s="5" t="inlineStr">
        <x:is>
          <x:t xml:space="preserve">Incident Response</x:t>
        </x:is>
      </x:c>
      <x:c r="E78" s="5" t="inlineStr">
        <x:is>
          <x:t xml:space="preserve">REQ-49-HIPAA</x:t>
        </x:is>
      </x:c>
      <x:c r="F78" s="5" t="inlineStr">
        <x:is>
          <x:t xml:space="preserve">1561.11c1Organizational.4</x:t>
        </x:is>
      </x:c>
      <x:c r="G78" s="5" t="inlineStr">
        <x:is>
          <x:t xml:space="preserve">Many:Many</x:t>
        </x:is>
      </x:c>
      <x:c r="H78" s="5" t="n">
        <x:v>1</x:v>
      </x:c>
      <x:c r="I78" s="5" t="inlineStr">
        <x:is>
          <x:t xml:space="preserve">45 CFR § 164.308(a)(6)(ii)</x:t>
        </x:is>
      </x:c>
      <x:c r="J78" s="5" t="inlineStr">
        <x:is>
          <x:t xml:space="preserve">Security Incident Procedures — Response and Reporting</x:t>
        </x:is>
      </x:c>
      <x:c r="K78" s="5" t="inlineStr">
        <x:is>
          <x:t xml:space="preserve">Direct</x:t>
        </x:is>
      </x:c>
      <x:c r="L78" s="5" t="inlineStr">
        <x:is>
          <x:t xml:space="preserve">This internal control best aligns to the response/reporting implementation specification under incident procedures.</x:t>
        </x:is>
      </x:c>
      <x:c r="M78"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8" s="5" t="inlineStr">
        <x:is>
          <x:t xml:space="preserve">Used where the spreadsheet distinguishes the response/reporting component of incident handling.</x:t>
        </x:is>
      </x:c>
      <x:c r="O78" s="5" t="inlineStr">
        <x:is>
          <x:t xml:space="preserve">1561.11c1 Organizational.4</x:t>
        </x:is>
      </x:c>
      <x:c r="P78" s="5" t="n">
        <x:v>1</x:v>
      </x:c>
      <x:c r="Q78" s="5" t="n"/>
      <x:c r="R78" s="5" t="inlineStr">
        <x:is>
          <x:t xml:space="preserve">45 C.F.R. § 164.308(a)(6)(ii)</x:t>
        </x:is>
      </x:c>
      <x:c r="S78" s="5" t="inlineStr">
        <x:is>
          <x:t xml:space="preserve">Security Incident Procedures — Response and Reporting</x:t>
        </x:is>
      </x:c>
      <x:c r="T78" s="5" t="inlineStr">
        <x:is>
          <x:t xml:space="preserve">Identify and respond to suspected or known security incidents, mitigate harmful effects to the extent practicable, and document incidents and outcomes.</x:t>
        </x:is>
      </x:c>
      <x:c r="U78" s="5" t="inlineStr">
        <x:is>
          <x:t xml:space="preserve">Required implementation specification</x:t>
        </x:is>
      </x:c>
      <x:c r="V78" s="5" t="inlineStr">
        <x:is>
          <x:t xml:space="preserve">Administrative Safeguards</x:t>
        </x:is>
      </x:c>
      <x:c r="W78" s="28" t="inlineStr">
        <x:is>
          <x:t xml:space="preserve">https://www.ecfr.gov/current/title-45/subtitle-A/subchapter-C/part-164/section-164.308</x:t>
        </x:is>
      </x:c>
      <x:c r="X78" s="28" t="inlineStr">
        <x:is>
          <x:t xml:space="preserve">https://www.hhs.gov/hipaa/for-professionals/faq/2002/what-does-the-security-rule-require-a-covered-entity-to-do-to-comply/index.html</x:t>
        </x:is>
      </x:c>
      <x:c r="Y78" s="5" t="n"/>
      <x:c r="Z78" s="5" t="n"/>
      <x:c r="AA78" s="5" t="n"/>
      <x:c r="AB78" s="5" t="n"/>
      <x:c r="AC78" s="5" t="n"/>
      <x:c r="AD78" s="5" t="n"/>
      <x:c r="AE78" s="5" t="n"/>
      <x:c r="AF78" s="5" t="n"/>
      <x:c r="AG78" s="5" t="n"/>
      <x:c r="AH78" s="5" t="n"/>
      <x:c r="AI78" s="5" t="n"/>
      <x:c r="AJ78" s="5" t="n"/>
      <x:c r="AK78" s="5" t="n"/>
      <x:c r="AL78" s="5" t="n"/>
    </x:row>
    <x:row r="79" ht="30" customHeight="1">
      <x:c r="A79" s="5" t="inlineStr">
        <x:is>
          <x:t xml:space="preserve">HITRUST e1.csv</x:t>
        </x:is>
      </x:c>
      <x:c r="B79" s="5" t="inlineStr">
        <x:is>
          <x:t xml:space="preserve">ER-55</x:t>
        </x:is>
      </x:c>
      <x:c r="C79" s="5" t="inlineStr">
        <x:is>
          <x:t xml:space="preserve">Policy</x:t>
        </x:is>
      </x:c>
      <x:c r="D79" s="5" t="inlineStr">
        <x:is>
          <x:t xml:space="preserve">Incident Response</x:t>
        </x:is>
      </x:c>
      <x:c r="E79" s="5" t="inlineStr">
        <x:is>
          <x:t xml:space="preserve">REQ-49-HIPAA</x:t>
        </x:is>
      </x:c>
      <x:c r="F79" s="5" t="inlineStr">
        <x:is>
          <x:t xml:space="preserve">1589.11c1Organizational.5</x:t>
        </x:is>
      </x:c>
      <x:c r="G79" s="5" t="inlineStr">
        <x:is>
          <x:t xml:space="preserve">Many:Many</x:t>
        </x:is>
      </x:c>
      <x:c r="H79" s="5" t="n">
        <x:v>1</x:v>
      </x:c>
      <x:c r="I79" s="5" t="inlineStr">
        <x:is>
          <x:t xml:space="preserve">45 CFR § 164.308(a)(6)(ii)</x:t>
        </x:is>
      </x:c>
      <x:c r="J79" s="5" t="inlineStr">
        <x:is>
          <x:t xml:space="preserve">Security Incident Procedures — Response and Reporting</x:t>
        </x:is>
      </x:c>
      <x:c r="K79" s="5" t="inlineStr">
        <x:is>
          <x:t xml:space="preserve">Direct</x:t>
        </x:is>
      </x:c>
      <x:c r="L79" s="5" t="inlineStr">
        <x:is>
          <x:t xml:space="preserve">This internal control best aligns to the response/reporting implementation specification under incident procedures.</x:t>
        </x:is>
      </x:c>
      <x:c r="M79"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N79" s="5" t="inlineStr">
        <x:is>
          <x:t xml:space="preserve">Used where the spreadsheet distinguishes the response/reporting component of incident handling.</x:t>
        </x:is>
      </x:c>
      <x:c r="O79" s="5" t="inlineStr">
        <x:is>
          <x:t xml:space="preserve">1589.11c1 Organizational.5</x:t>
        </x:is>
      </x:c>
      <x:c r="P79" s="5" t="n">
        <x:v>1</x:v>
      </x:c>
      <x:c r="Q79" s="5" t="n"/>
      <x:c r="R79" s="5" t="inlineStr">
        <x:is>
          <x:t xml:space="preserve">45 C.F.R. § 164.308(a)(6)(ii)</x:t>
        </x:is>
      </x:c>
      <x:c r="S79" s="5" t="inlineStr">
        <x:is>
          <x:t xml:space="preserve">Security Incident Procedures — Response and Reporting</x:t>
        </x:is>
      </x:c>
      <x:c r="T79" s="5" t="inlineStr">
        <x:is>
          <x:t xml:space="preserve">Identify and respond to suspected or known security incidents, mitigate harmful effects to the extent practicable, and document incidents and outcomes.</x:t>
        </x:is>
      </x:c>
      <x:c r="U79" s="5" t="inlineStr">
        <x:is>
          <x:t xml:space="preserve">Required implementation specification</x:t>
        </x:is>
      </x:c>
      <x:c r="V79" s="5" t="inlineStr">
        <x:is>
          <x:t xml:space="preserve">Administrative Safeguards</x:t>
        </x:is>
      </x:c>
      <x:c r="W79" s="28" t="inlineStr">
        <x:is>
          <x:t xml:space="preserve">https://www.ecfr.gov/current/title-45/subtitle-A/subchapter-C/part-164/section-164.308</x:t>
        </x:is>
      </x:c>
      <x:c r="X79" s="28" t="inlineStr">
        <x:is>
          <x:t xml:space="preserve">https://www.hhs.gov/hipaa/for-professionals/faq/2002/what-does-the-security-rule-require-a-covered-entity-to-do-to-comply/index.html</x:t>
        </x:is>
      </x:c>
      <x:c r="Y79" s="5" t="n"/>
      <x:c r="Z79" s="5" t="n"/>
      <x:c r="AA79" s="5" t="n"/>
      <x:c r="AB79" s="5" t="n"/>
      <x:c r="AC79" s="5" t="n"/>
      <x:c r="AD79" s="5" t="n"/>
      <x:c r="AE79" s="5" t="n"/>
      <x:c r="AF79" s="5" t="n"/>
      <x:c r="AG79" s="5" t="n"/>
      <x:c r="AH79" s="5" t="n"/>
      <x:c r="AI79" s="5" t="n"/>
      <x:c r="AJ79" s="5" t="n"/>
      <x:c r="AK79" s="5" t="n"/>
      <x:c r="AL79" s="5" t="n"/>
    </x:row>
    <x:row r="80" ht="30" customHeight="1">
      <x:c r="A80" s="5" t="inlineStr">
        <x:is>
          <x:t xml:space="preserve">HITRUST e1.csv</x:t>
        </x:is>
      </x:c>
      <x:c r="B80" s="5" t="inlineStr">
        <x:is>
          <x:t xml:space="preserve">ER-57</x:t>
        </x:is>
      </x:c>
      <x:c r="C80" s="5" t="inlineStr">
        <x:is>
          <x:t xml:space="preserve">Policy</x:t>
        </x:is>
      </x:c>
      <x:c r="D80" s="5" t="inlineStr">
        <x:is>
          <x:t xml:space="preserve">Information Security</x:t>
        </x:is>
      </x:c>
      <x:c r="E80" s="5" t="inlineStr">
        <x:is>
          <x:t xml:space="preserve">REQ-1-HIPAA</x:t>
        </x:is>
      </x:c>
      <x:c r="F80" s="5" t="inlineStr">
        <x:is>
          <x:t xml:space="preserve">0113.04a1Organizational.2</x:t>
        </x:is>
      </x:c>
      <x:c r="G80" s="5" t="inlineStr">
        <x:is>
          <x:t xml:space="preserve">Many:1</x:t>
        </x:is>
      </x:c>
      <x:c r="H80" s="5" t="n">
        <x:v>2</x:v>
      </x:c>
      <x:c r="I80" s="5" t="inlineStr">
        <x:is>
          <x:t xml:space="preserve">45 CFR § 164.316(a); 45 CFR § 164.316(b)(1)</x:t>
        </x:is>
      </x:c>
      <x:c r="J80" s="5" t="inlineStr">
        <x:is>
          <x:t xml:space="preserve">Policies and Procedures; Documentation</x:t>
        </x:is>
      </x:c>
      <x:c r="K80" s="5" t="inlineStr">
        <x:is>
          <x:t xml:space="preserve">Best-fit (broad policy control)</x:t>
        </x:is>
      </x:c>
      <x:c r="L80" s="5" t="inlineStr">
        <x:is>
          <x:t xml:space="preserve">Internal control/action item is a general information-security policy repository rather than a single named HIPAA implementation specification; mapped to the Security Rule's policies/procedures and documentation requirements.</x:t>
        </x:is>
      </x:c>
      <x:c r="M80" s="28" t="inlineStr">
        <x:is>
          <x:t xml:space="preserve">https://www.ecfr.gov/current/title-45/subtitle-A/subchapter-C/part-164/section-164.316 | https://www.hhs.gov/sites/default/files/ocr/privacy/hipaa/administrative/securityrule/pprequirements.pdf | https://www.hhs.gov/ocr/privacy/hipaa/administrative/securityrule/index.html</x:t>
        </x:is>
      </x:c>
      <x:c r="N80" s="5" t="inlineStr">
        <x:is>
          <x:t xml:space="preserve">Used as the umbrella HIPAA citation for documented security policies. This is broader than any single safeguard requirement.</x:t>
        </x:is>
      </x:c>
      <x:c r="O80" s="5" t="inlineStr">
        <x:is>
          <x:t xml:space="preserve">0113.04a1 Organizational.2</x:t>
        </x:is>
      </x:c>
      <x:c r="P80" s="5" t="n">
        <x:v>2</x:v>
      </x:c>
      <x:c r="Q80" s="5" t="n"/>
      <x:c r="R80" s="5" t="inlineStr">
        <x:is>
          <x:t xml:space="preserve">45 C.F.R. § 164.316(a)</x:t>
        </x:is>
      </x:c>
      <x:c r="S80" s="5" t="inlineStr">
        <x:is>
          <x:t xml:space="preserve">Policies and Procedures</x:t>
        </x:is>
      </x:c>
      <x:c r="T80" s="5" t="inlineStr">
        <x:is>
          <x:t xml:space="preserve">Implement reasonable and appropriate policies and procedures to comply with the Security Rule standards, implementation specifications, and other requirements.</x:t>
        </x:is>
      </x:c>
      <x:c r="U80" s="5" t="inlineStr">
        <x:is>
          <x:t xml:space="preserve">Standard</x:t>
        </x:is>
      </x:c>
      <x:c r="V80" s="5" t="inlineStr">
        <x:is>
          <x:t xml:space="preserve">Policies / Documentation</x:t>
        </x:is>
      </x:c>
      <x:c r="W80" s="28" t="inlineStr">
        <x:is>
          <x:t xml:space="preserve">https://www.ecfr.gov/current/title-45/subtitle-A/subchapter-C/part-164/section-164.316</x:t>
        </x:is>
      </x:c>
      <x:c r="X80" s="28" t="inlineStr">
        <x:is>
          <x:t xml:space="preserve">https://www.hhs.gov/sites/default/files/ocr/privacy/hipaa/administrative/securityrule/pprequirements.pdf</x:t>
        </x:is>
      </x:c>
      <x:c r="Y80" s="5" t="inlineStr">
        <x:is>
          <x:t xml:space="preserve">45 C.F.R. § 164.316(b)(1)</x:t>
        </x:is>
      </x:c>
      <x:c r="Z80" s="5" t="inlineStr">
        <x:is>
          <x:t xml:space="preserve">Documentation</x:t>
        </x:is>
      </x:c>
      <x:c r="AA80" s="5" t="inlineStr">
        <x:is>
          <x:t xml:space="preserve">Maintain written or electronic policies and procedures implemented to comply with the Security Rule and written or electronic records of required actions, activities, and assessments.</x:t>
        </x:is>
      </x:c>
      <x:c r="AB80" s="5" t="inlineStr">
        <x:is>
          <x:t xml:space="preserve">Standard</x:t>
        </x:is>
      </x:c>
      <x:c r="AC80" s="5" t="inlineStr">
        <x:is>
          <x:t xml:space="preserve">Policies / Documentation</x:t>
        </x:is>
      </x:c>
      <x:c r="AD80" s="28" t="inlineStr">
        <x:is>
          <x:t xml:space="preserve">https://www.ecfr.gov/current/title-45/subtitle-A/subchapter-C/part-164/section-164.316</x:t>
        </x:is>
      </x:c>
      <x:c r="AE80" s="28" t="inlineStr">
        <x:is>
          <x:t xml:space="preserve">https://www.hhs.gov/sites/default/files/ocr/privacy/hipaa/administrative/securityrule/pprequirements.pdf</x:t>
        </x:is>
      </x:c>
      <x:c r="AF80" s="5" t="n"/>
      <x:c r="AG80" s="5" t="n"/>
      <x:c r="AH80" s="5" t="n"/>
      <x:c r="AI80" s="5" t="n"/>
      <x:c r="AJ80" s="5" t="n"/>
      <x:c r="AK80" s="5" t="n"/>
      <x:c r="AL80" s="5" t="n"/>
    </x:row>
    <x:row r="81" ht="30" customHeight="1">
      <x:c r="A81" s="5" t="inlineStr">
        <x:is>
          <x:t xml:space="preserve">HITRUST e1.csv</x:t>
        </x:is>
      </x:c>
      <x:c r="B81" s="5" t="inlineStr">
        <x:is>
          <x:t xml:space="preserve">ER-57</x:t>
        </x:is>
      </x:c>
      <x:c r="C81" s="5" t="inlineStr">
        <x:is>
          <x:t xml:space="preserve">Policy</x:t>
        </x:is>
      </x:c>
      <x:c r="D81" s="5" t="inlineStr">
        <x:is>
          <x:t xml:space="preserve">Information Security</x:t>
        </x:is>
      </x:c>
      <x:c r="E81" s="5" t="inlineStr">
        <x:is>
          <x:t xml:space="preserve">REQ-12-HIPAA</x:t>
        </x:is>
      </x:c>
      <x:c r="F81" s="5" t="inlineStr">
        <x:is>
          <x:t xml:space="preserve">0113.04a1Organizational.2</x:t>
        </x:is>
      </x:c>
      <x:c r="G81" s="5" t="inlineStr">
        <x:is>
          <x:t xml:space="preserve">Many:1</x:t>
        </x:is>
      </x:c>
      <x:c r="H81" s="5" t="n">
        <x:v>2</x:v>
      </x:c>
      <x:c r="I81" s="5" t="inlineStr">
        <x:is>
          <x:t xml:space="preserve">45 CFR § 164.308(a)(5)</x:t>
        </x:is>
      </x:c>
      <x:c r="J81" s="5" t="inlineStr">
        <x:is>
          <x:t xml:space="preserve">Security Awareness and Training</x:t>
        </x:is>
      </x:c>
      <x:c r="K81" s="5" t="inlineStr">
        <x:is>
          <x:t xml:space="preserve">Direct</x:t>
        </x:is>
      </x:c>
      <x:c r="L81" s="5" t="inlineStr">
        <x:is>
          <x:t xml:space="preserve">Action item and control context align to workforce security-awareness training for new hires.</x:t>
        </x:is>
      </x:c>
      <x:c r="M81"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1" s="5" t="inlineStr">
        <x:is>
          <x:t xml:space="preserve">Mapped at the standard level because the spreadsheet does not break new-hire training into the more granular addressable sub-specifications.</x:t>
        </x:is>
      </x:c>
      <x:c r="O81" s="5" t="inlineStr">
        <x:is>
          <x:t xml:space="preserve">0113.04a1 Organizational.2</x:t>
        </x:is>
      </x:c>
      <x:c r="P81" s="5" t="n">
        <x:v>1</x:v>
      </x:c>
      <x:c r="Q81" s="5" t="n"/>
      <x:c r="R81" s="5" t="inlineStr">
        <x:is>
          <x:t xml:space="preserve">45 C.F.R. § 164.308(a)(5)</x:t>
        </x:is>
      </x:c>
      <x:c r="S81" s="5" t="inlineStr">
        <x:is>
          <x:t xml:space="preserve">Security Awareness and Training</x:t>
        </x:is>
      </x:c>
      <x:c r="T81" s="5" t="inlineStr">
        <x:is>
          <x:t xml:space="preserve">Implement a security awareness and training program for all members of the workforce, including management.</x:t>
        </x:is>
      </x:c>
      <x:c r="U81" s="5" t="inlineStr">
        <x:is>
          <x:t xml:space="preserve">Standard</x:t>
        </x:is>
      </x:c>
      <x:c r="V81" s="5" t="inlineStr">
        <x:is>
          <x:t xml:space="preserve">Administrative Safeguards</x:t>
        </x:is>
      </x:c>
      <x:c r="W81" s="28" t="inlineStr">
        <x:is>
          <x:t xml:space="preserve">https://www.ecfr.gov/current/title-45/subtitle-A/subchapter-C/part-164/section-164.308</x:t>
        </x:is>
      </x:c>
      <x:c r="X81" s="28" t="inlineStr">
        <x:is>
          <x:t xml:space="preserve">https://www.hhs.gov/sites/default/files/ocr/privacy/hipaa/administrative/securityrule/adminsafeguards.pdf</x:t>
        </x:is>
      </x:c>
      <x:c r="Y81" s="5" t="n"/>
      <x:c r="Z81" s="5" t="n"/>
      <x:c r="AA81" s="5" t="n"/>
      <x:c r="AB81" s="5" t="n"/>
      <x:c r="AC81" s="5" t="n"/>
      <x:c r="AD81" s="5" t="n"/>
      <x:c r="AE81" s="5" t="n"/>
      <x:c r="AF81" s="5" t="n"/>
      <x:c r="AG81" s="5" t="n"/>
      <x:c r="AH81" s="5" t="n"/>
      <x:c r="AI81" s="5" t="n"/>
      <x:c r="AJ81" s="5" t="n"/>
      <x:c r="AK81" s="5" t="n"/>
      <x:c r="AL81" s="5" t="n"/>
    </x:row>
    <x:row r="82" ht="30" customHeight="1">
      <x:c r="A82" s="5" t="inlineStr">
        <x:is>
          <x:t xml:space="preserve">HITRUST e1.csv</x:t>
        </x:is>
      </x:c>
      <x:c r="B82" s="5" t="inlineStr">
        <x:is>
          <x:t xml:space="preserve">ER-57</x:t>
        </x:is>
      </x:c>
      <x:c r="C82" s="5" t="inlineStr">
        <x:is>
          <x:t xml:space="preserve">Policy</x:t>
        </x:is>
      </x:c>
      <x:c r="D82" s="5" t="inlineStr">
        <x:is>
          <x:t xml:space="preserve">Information Security</x:t>
        </x:is>
      </x:c>
      <x:c r="E82" s="5" t="inlineStr">
        <x:is>
          <x:t xml:space="preserve">REQ-13-HIPAA</x:t>
        </x:is>
      </x:c>
      <x:c r="F82" s="5" t="inlineStr">
        <x:is>
          <x:t xml:space="preserve">0113.04a1Organizational.2</x:t>
        </x:is>
      </x:c>
      <x:c r="G82" s="5" t="inlineStr">
        <x:is>
          <x:t xml:space="preserve">Many:1</x:t>
        </x:is>
      </x:c>
      <x:c r="H82" s="5" t="n">
        <x:v>2</x:v>
      </x:c>
      <x:c r="I82" s="5" t="inlineStr">
        <x:is>
          <x:t xml:space="preserve">45 CFR § 164.308(a)(5)</x:t>
        </x:is>
      </x:c>
      <x:c r="J82" s="5" t="inlineStr">
        <x:is>
          <x:t xml:space="preserve">Security Awareness and Training</x:t>
        </x:is>
      </x:c>
      <x:c r="K82" s="5" t="inlineStr">
        <x:is>
          <x:t xml:space="preserve">Direct</x:t>
        </x:is>
      </x:c>
      <x:c r="L82" s="5" t="inlineStr">
        <x:is>
          <x:t xml:space="preserve">Action item and control context align to ongoing/current-employee security-awareness training.</x:t>
        </x:is>
      </x:c>
      <x:c r="M82"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2" s="5" t="inlineStr">
        <x:is>
          <x:t xml:space="preserve">Mapped at the standard level because the spreadsheet expresses periodic training broadly, not only reminders or phishing-specific sub-controls.</x:t>
        </x:is>
      </x:c>
      <x:c r="O82" s="5" t="inlineStr">
        <x:is>
          <x:t xml:space="preserve">0113.04a1 Organizational.2</x:t>
        </x:is>
      </x:c>
      <x:c r="P82" s="5" t="n">
        <x:v>1</x:v>
      </x:c>
      <x:c r="Q82" s="5" t="n"/>
      <x:c r="R82" s="5" t="inlineStr">
        <x:is>
          <x:t xml:space="preserve">45 C.F.R. § 164.308(a)(5)</x:t>
        </x:is>
      </x:c>
      <x:c r="S82" s="5" t="inlineStr">
        <x:is>
          <x:t xml:space="preserve">Security Awareness and Training</x:t>
        </x:is>
      </x:c>
      <x:c r="T82" s="5" t="inlineStr">
        <x:is>
          <x:t xml:space="preserve">Implement a security awareness and training program for all members of the workforce, including management.</x:t>
        </x:is>
      </x:c>
      <x:c r="U82" s="5" t="inlineStr">
        <x:is>
          <x:t xml:space="preserve">Standard</x:t>
        </x:is>
      </x:c>
      <x:c r="V82" s="5" t="inlineStr">
        <x:is>
          <x:t xml:space="preserve">Administrative Safeguards</x:t>
        </x:is>
      </x:c>
      <x:c r="W82" s="28" t="inlineStr">
        <x:is>
          <x:t xml:space="preserve">https://www.ecfr.gov/current/title-45/subtitle-A/subchapter-C/part-164/section-164.308</x:t>
        </x:is>
      </x:c>
      <x:c r="X82" s="28" t="inlineStr">
        <x:is>
          <x:t xml:space="preserve">https://www.hhs.gov/sites/default/files/ocr/privacy/hipaa/administrative/securityrule/adminsafeguards.pdf</x:t>
        </x:is>
      </x:c>
      <x:c r="Y82" s="5" t="n"/>
      <x:c r="Z82" s="5" t="n"/>
      <x:c r="AA82" s="5" t="n"/>
      <x:c r="AB82" s="5" t="n"/>
      <x:c r="AC82" s="5" t="n"/>
      <x:c r="AD82" s="5" t="n"/>
      <x:c r="AE82" s="5" t="n"/>
      <x:c r="AF82" s="5" t="n"/>
      <x:c r="AG82" s="5" t="n"/>
      <x:c r="AH82" s="5" t="n"/>
      <x:c r="AI82" s="5" t="n"/>
      <x:c r="AJ82" s="5" t="n"/>
      <x:c r="AK82" s="5" t="n"/>
      <x:c r="AL82" s="5" t="n"/>
    </x:row>
    <x:row r="83" ht="30" customHeight="1">
      <x:c r="A83" s="5" t="inlineStr">
        <x:is>
          <x:t xml:space="preserve">HITRUST e1.csv</x:t>
        </x:is>
      </x:c>
      <x:c r="B83" s="5" t="inlineStr">
        <x:is>
          <x:t xml:space="preserve">ER-56</x:t>
        </x:is>
      </x:c>
      <x:c r="C83" s="5" t="inlineStr">
        <x:is>
          <x:t xml:space="preserve">Operational</x:t>
        </x:is>
      </x:c>
      <x:c r="D83" s="5" t="inlineStr">
        <x:is>
          <x:t xml:space="preserve">Information Security Policy Repository</x:t>
        </x:is>
      </x:c>
      <x:c r="E83" s="5" t="inlineStr">
        <x:is>
          <x:t xml:space="preserve">REQ-1-HIPAA</x:t>
        </x:is>
      </x:c>
      <x:c r="F83" s="5" t="inlineStr">
        <x:is>
          <x:t xml:space="preserve">0113.04a1Organizational.2</x:t>
        </x:is>
      </x:c>
      <x:c r="G83" s="5" t="inlineStr">
        <x:is>
          <x:t xml:space="preserve">Many:1</x:t>
        </x:is>
      </x:c>
      <x:c r="H83" s="5" t="n">
        <x:v>2</x:v>
      </x:c>
      <x:c r="I83" s="5" t="inlineStr">
        <x:is>
          <x:t xml:space="preserve">45 CFR § 164.316(a); 45 CFR § 164.316(b)(1)</x:t>
        </x:is>
      </x:c>
      <x:c r="J83" s="5" t="inlineStr">
        <x:is>
          <x:t xml:space="preserve">Policies and Procedures; Documentation</x:t>
        </x:is>
      </x:c>
      <x:c r="K83" s="5" t="inlineStr">
        <x:is>
          <x:t xml:space="preserve">Best-fit (broad policy control)</x:t>
        </x:is>
      </x:c>
      <x:c r="L83" s="5" t="inlineStr">
        <x:is>
          <x:t xml:space="preserve">Internal control/action item is a general information-security policy repository rather than a single named HIPAA implementation specification; mapped to the Security Rule's policies/procedures and documentation requirements.</x:t>
        </x:is>
      </x:c>
      <x:c r="M83" s="28" t="inlineStr">
        <x:is>
          <x:t xml:space="preserve">https://www.ecfr.gov/current/title-45/subtitle-A/subchapter-C/part-164/section-164.316 | https://www.hhs.gov/sites/default/files/ocr/privacy/hipaa/administrative/securityrule/pprequirements.pdf | https://www.hhs.gov/ocr/privacy/hipaa/administrative/securityrule/index.html</x:t>
        </x:is>
      </x:c>
      <x:c r="N83" s="5" t="inlineStr">
        <x:is>
          <x:t xml:space="preserve">Used as the umbrella HIPAA citation for documented security policies. This is broader than any single safeguard requirement.</x:t>
        </x:is>
      </x:c>
      <x:c r="O83" s="5" t="inlineStr">
        <x:is>
          <x:t xml:space="preserve">0113.04a1 Organizational.2</x:t>
        </x:is>
      </x:c>
      <x:c r="P83" s="5" t="n">
        <x:v>2</x:v>
      </x:c>
      <x:c r="Q83" s="5" t="n"/>
      <x:c r="R83" s="5" t="inlineStr">
        <x:is>
          <x:t xml:space="preserve">45 C.F.R. § 164.316(a)</x:t>
        </x:is>
      </x:c>
      <x:c r="S83" s="5" t="inlineStr">
        <x:is>
          <x:t xml:space="preserve">Policies and Procedures</x:t>
        </x:is>
      </x:c>
      <x:c r="T83" s="5" t="inlineStr">
        <x:is>
          <x:t xml:space="preserve">Implement reasonable and appropriate policies and procedures to comply with the Security Rule standards, implementation specifications, and other requirements.</x:t>
        </x:is>
      </x:c>
      <x:c r="U83" s="5" t="inlineStr">
        <x:is>
          <x:t xml:space="preserve">Standard</x:t>
        </x:is>
      </x:c>
      <x:c r="V83" s="5" t="inlineStr">
        <x:is>
          <x:t xml:space="preserve">Policies / Documentation</x:t>
        </x:is>
      </x:c>
      <x:c r="W83" s="28" t="inlineStr">
        <x:is>
          <x:t xml:space="preserve">https://www.ecfr.gov/current/title-45/subtitle-A/subchapter-C/part-164/section-164.316</x:t>
        </x:is>
      </x:c>
      <x:c r="X83" s="28" t="inlineStr">
        <x:is>
          <x:t xml:space="preserve">https://www.hhs.gov/sites/default/files/ocr/privacy/hipaa/administrative/securityrule/pprequirements.pdf</x:t>
        </x:is>
      </x:c>
      <x:c r="Y83" s="5" t="inlineStr">
        <x:is>
          <x:t xml:space="preserve">45 C.F.R. § 164.316(b)(1)</x:t>
        </x:is>
      </x:c>
      <x:c r="Z83" s="5" t="inlineStr">
        <x:is>
          <x:t xml:space="preserve">Documentation</x:t>
        </x:is>
      </x:c>
      <x:c r="AA83" s="5" t="inlineStr">
        <x:is>
          <x:t xml:space="preserve">Maintain written or electronic policies and procedures implemented to comply with the Security Rule and written or electronic records of required actions, activities, and assessments.</x:t>
        </x:is>
      </x:c>
      <x:c r="AB83" s="5" t="inlineStr">
        <x:is>
          <x:t xml:space="preserve">Standard</x:t>
        </x:is>
      </x:c>
      <x:c r="AC83" s="5" t="inlineStr">
        <x:is>
          <x:t xml:space="preserve">Policies / Documentation</x:t>
        </x:is>
      </x:c>
      <x:c r="AD83" s="28" t="inlineStr">
        <x:is>
          <x:t xml:space="preserve">https://www.ecfr.gov/current/title-45/subtitle-A/subchapter-C/part-164/section-164.316</x:t>
        </x:is>
      </x:c>
      <x:c r="AE83" s="28" t="inlineStr">
        <x:is>
          <x:t xml:space="preserve">https://www.hhs.gov/sites/default/files/ocr/privacy/hipaa/administrative/securityrule/pprequirements.pdf</x:t>
        </x:is>
      </x:c>
      <x:c r="AF83" s="5" t="n"/>
      <x:c r="AG83" s="5" t="n"/>
      <x:c r="AH83" s="5" t="n"/>
      <x:c r="AI83" s="5" t="n"/>
      <x:c r="AJ83" s="5" t="n"/>
      <x:c r="AK83" s="5" t="n"/>
      <x:c r="AL83" s="5" t="n"/>
    </x:row>
    <x:row r="84" ht="30" customHeight="1">
      <x:c r="A84" s="5" t="inlineStr">
        <x:is>
          <x:t xml:space="preserve">HITRUST e1.csv</x:t>
        </x:is>
      </x:c>
      <x:c r="B84" s="5" t="inlineStr">
        <x:is>
          <x:t xml:space="preserve">ER-56</x:t>
        </x:is>
      </x:c>
      <x:c r="C84" s="5" t="inlineStr">
        <x:is>
          <x:t xml:space="preserve">Operational</x:t>
        </x:is>
      </x:c>
      <x:c r="D84" s="5" t="inlineStr">
        <x:is>
          <x:t xml:space="preserve">Information Security Policy Repository</x:t>
        </x:is>
      </x:c>
      <x:c r="E84" s="5" t="inlineStr">
        <x:is>
          <x:t xml:space="preserve">REQ-12-HIPAA</x:t>
        </x:is>
      </x:c>
      <x:c r="F84" s="5" t="inlineStr">
        <x:is>
          <x:t xml:space="preserve">0113.04a1Organizational.2</x:t>
        </x:is>
      </x:c>
      <x:c r="G84" s="5" t="inlineStr">
        <x:is>
          <x:t xml:space="preserve">Many:1</x:t>
        </x:is>
      </x:c>
      <x:c r="H84" s="5" t="n">
        <x:v>2</x:v>
      </x:c>
      <x:c r="I84" s="5" t="inlineStr">
        <x:is>
          <x:t xml:space="preserve">45 CFR § 164.308(a)(5)</x:t>
        </x:is>
      </x:c>
      <x:c r="J84" s="5" t="inlineStr">
        <x:is>
          <x:t xml:space="preserve">Security Awareness and Training</x:t>
        </x:is>
      </x:c>
      <x:c r="K84" s="5" t="inlineStr">
        <x:is>
          <x:t xml:space="preserve">Direct</x:t>
        </x:is>
      </x:c>
      <x:c r="L84" s="5" t="inlineStr">
        <x:is>
          <x:t xml:space="preserve">Action item and control context align to workforce security-awareness training for new hires.</x:t>
        </x:is>
      </x:c>
      <x:c r="M84"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4" s="5" t="inlineStr">
        <x:is>
          <x:t xml:space="preserve">Mapped at the standard level because the spreadsheet does not break new-hire training into the more granular addressable sub-specifications.</x:t>
        </x:is>
      </x:c>
      <x:c r="O84" s="5" t="inlineStr">
        <x:is>
          <x:t xml:space="preserve">0113.04a1 Organizational.2</x:t>
        </x:is>
      </x:c>
      <x:c r="P84" s="5" t="n">
        <x:v>1</x:v>
      </x:c>
      <x:c r="Q84" s="5" t="n"/>
      <x:c r="R84" s="5" t="inlineStr">
        <x:is>
          <x:t xml:space="preserve">45 C.F.R. § 164.308(a)(5)</x:t>
        </x:is>
      </x:c>
      <x:c r="S84" s="5" t="inlineStr">
        <x:is>
          <x:t xml:space="preserve">Security Awareness and Training</x:t>
        </x:is>
      </x:c>
      <x:c r="T84" s="5" t="inlineStr">
        <x:is>
          <x:t xml:space="preserve">Implement a security awareness and training program for all members of the workforce, including management.</x:t>
        </x:is>
      </x:c>
      <x:c r="U84" s="5" t="inlineStr">
        <x:is>
          <x:t xml:space="preserve">Standard</x:t>
        </x:is>
      </x:c>
      <x:c r="V84" s="5" t="inlineStr">
        <x:is>
          <x:t xml:space="preserve">Administrative Safeguards</x:t>
        </x:is>
      </x:c>
      <x:c r="W84" s="28" t="inlineStr">
        <x:is>
          <x:t xml:space="preserve">https://www.ecfr.gov/current/title-45/subtitle-A/subchapter-C/part-164/section-164.308</x:t>
        </x:is>
      </x:c>
      <x:c r="X84" s="28" t="inlineStr">
        <x:is>
          <x:t xml:space="preserve">https://www.hhs.gov/sites/default/files/ocr/privacy/hipaa/administrative/securityrule/adminsafeguards.pdf</x:t>
        </x:is>
      </x:c>
      <x:c r="Y84" s="5" t="n"/>
      <x:c r="Z84" s="5" t="n"/>
      <x:c r="AA84" s="5" t="n"/>
      <x:c r="AB84" s="5" t="n"/>
      <x:c r="AC84" s="5" t="n"/>
      <x:c r="AD84" s="5" t="n"/>
      <x:c r="AE84" s="5" t="n"/>
      <x:c r="AF84" s="5" t="n"/>
      <x:c r="AG84" s="5" t="n"/>
      <x:c r="AH84" s="5" t="n"/>
      <x:c r="AI84" s="5" t="n"/>
      <x:c r="AJ84" s="5" t="n"/>
      <x:c r="AK84" s="5" t="n"/>
      <x:c r="AL84" s="5" t="n"/>
    </x:row>
    <x:row r="85" ht="30" customHeight="1">
      <x:c r="A85" s="5" t="inlineStr">
        <x:is>
          <x:t xml:space="preserve">HITRUST e1.csv</x:t>
        </x:is>
      </x:c>
      <x:c r="B85" s="5" t="inlineStr">
        <x:is>
          <x:t xml:space="preserve">ER-56</x:t>
        </x:is>
      </x:c>
      <x:c r="C85" s="5" t="inlineStr">
        <x:is>
          <x:t xml:space="preserve">Operational</x:t>
        </x:is>
      </x:c>
      <x:c r="D85" s="5" t="inlineStr">
        <x:is>
          <x:t xml:space="preserve">Information Security Policy Repository</x:t>
        </x:is>
      </x:c>
      <x:c r="E85" s="5" t="inlineStr">
        <x:is>
          <x:t xml:space="preserve">REQ-13-HIPAA</x:t>
        </x:is>
      </x:c>
      <x:c r="F85" s="5" t="inlineStr">
        <x:is>
          <x:t xml:space="preserve">0113.04a1Organizational.2</x:t>
        </x:is>
      </x:c>
      <x:c r="G85" s="5" t="inlineStr">
        <x:is>
          <x:t xml:space="preserve">Many:1</x:t>
        </x:is>
      </x:c>
      <x:c r="H85" s="5" t="n">
        <x:v>2</x:v>
      </x:c>
      <x:c r="I85" s="5" t="inlineStr">
        <x:is>
          <x:t xml:space="preserve">45 CFR § 164.308(a)(5)</x:t>
        </x:is>
      </x:c>
      <x:c r="J85" s="5" t="inlineStr">
        <x:is>
          <x:t xml:space="preserve">Security Awareness and Training</x:t>
        </x:is>
      </x:c>
      <x:c r="K85" s="5" t="inlineStr">
        <x:is>
          <x:t xml:space="preserve">Direct</x:t>
        </x:is>
      </x:c>
      <x:c r="L85" s="5" t="inlineStr">
        <x:is>
          <x:t xml:space="preserve">Action item and control context align to ongoing/current-employee security-awareness training.</x:t>
        </x:is>
      </x:c>
      <x:c r="M85"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85" s="5" t="inlineStr">
        <x:is>
          <x:t xml:space="preserve">Mapped at the standard level because the spreadsheet expresses periodic training broadly, not only reminders or phishing-specific sub-controls.</x:t>
        </x:is>
      </x:c>
      <x:c r="O85" s="5" t="inlineStr">
        <x:is>
          <x:t xml:space="preserve">0113.04a1 Organizational.2</x:t>
        </x:is>
      </x:c>
      <x:c r="P85" s="5" t="n">
        <x:v>1</x:v>
      </x:c>
      <x:c r="Q85" s="5" t="n"/>
      <x:c r="R85" s="5" t="inlineStr">
        <x:is>
          <x:t xml:space="preserve">45 C.F.R. § 164.308(a)(5)</x:t>
        </x:is>
      </x:c>
      <x:c r="S85" s="5" t="inlineStr">
        <x:is>
          <x:t xml:space="preserve">Security Awareness and Training</x:t>
        </x:is>
      </x:c>
      <x:c r="T85" s="5" t="inlineStr">
        <x:is>
          <x:t xml:space="preserve">Implement a security awareness and training program for all members of the workforce, including management.</x:t>
        </x:is>
      </x:c>
      <x:c r="U85" s="5" t="inlineStr">
        <x:is>
          <x:t xml:space="preserve">Standard</x:t>
        </x:is>
      </x:c>
      <x:c r="V85" s="5" t="inlineStr">
        <x:is>
          <x:t xml:space="preserve">Administrative Safeguards</x:t>
        </x:is>
      </x:c>
      <x:c r="W85" s="28" t="inlineStr">
        <x:is>
          <x:t xml:space="preserve">https://www.ecfr.gov/current/title-45/subtitle-A/subchapter-C/part-164/section-164.308</x:t>
        </x:is>
      </x:c>
      <x:c r="X85" s="28" t="inlineStr">
        <x:is>
          <x:t xml:space="preserve">https://www.hhs.gov/sites/default/files/ocr/privacy/hipaa/administrative/securityrule/adminsafeguards.pdf</x:t>
        </x:is>
      </x:c>
      <x:c r="Y85" s="5" t="n"/>
      <x:c r="Z85" s="5" t="n"/>
      <x:c r="AA85" s="5" t="n"/>
      <x:c r="AB85" s="5" t="n"/>
      <x:c r="AC85" s="5" t="n"/>
      <x:c r="AD85" s="5" t="n"/>
      <x:c r="AE85" s="5" t="n"/>
      <x:c r="AF85" s="5" t="n"/>
      <x:c r="AG85" s="5" t="n"/>
      <x:c r="AH85" s="5" t="n"/>
      <x:c r="AI85" s="5" t="n"/>
      <x:c r="AJ85" s="5" t="n"/>
      <x:c r="AK85" s="5" t="n"/>
      <x:c r="AL85" s="5" t="n"/>
    </x:row>
    <x:row r="86" ht="30" customHeight="1">
      <x:c r="A86" s="5" t="inlineStr">
        <x:is>
          <x:t xml:space="preserve">HITRUST e1.csv</x:t>
        </x:is>
      </x:c>
      <x:c r="B86" s="5" t="inlineStr">
        <x:is>
          <x:t xml:space="preserve">ER-12</x:t>
        </x:is>
      </x:c>
      <x:c r="C86" s="5" t="inlineStr">
        <x:is>
          <x:t xml:space="preserve">Configuration</x:t>
        </x:is>
      </x:c>
      <x:c r="D86" s="5" t="inlineStr">
        <x:is>
          <x:t xml:space="preserve">List of All Production Systems (Servers, VMs, Data Stores)</x:t>
        </x:is>
      </x:c>
      <x:c r="E86" s="5" t="inlineStr">
        <x:is>
          <x:t xml:space="preserve">REQ-102-HIPAA</x:t>
        </x:is>
      </x:c>
      <x:c r="F86" s="5" t="inlineStr">
        <x:is>
          <x:t xml:space="preserve">07.07a1Organizational.8</x:t>
        </x:is>
      </x:c>
      <x:c r="G86" s="5" t="inlineStr">
        <x:is>
          <x:t xml:space="preserve">Many:Many</x:t>
        </x:is>
      </x:c>
      <x:c r="H86" s="5" t="n">
        <x:v>1</x:v>
      </x:c>
      <x:c r="I86" s="5" t="inlineStr">
        <x:is>
          <x:t xml:space="preserve">45 CFR § 164.308(a)(1)(ii)(A)</x:t>
        </x:is>
      </x:c>
      <x:c r="J86" s="5" t="inlineStr">
        <x:is>
          <x:t xml:space="preserve">Security Management Process — Risk Analysis</x:t>
        </x:is>
      </x:c>
      <x:c r="K86" s="5" t="inlineStr">
        <x:is>
          <x:t xml:space="preserve">Best-fit</x:t>
        </x:is>
      </x:c>
      <x:c r="L86" s="5" t="inlineStr">
        <x:is>
          <x:t xml:space="preserve">HIPAA does not expressly mandate an IT asset inventory, but OCR guidance says a comprehensive technology asset inventory and ePHI data-flow diagrams are valuable tools for an accurate and thorough risk analysis.</x:t>
        </x:is>
      </x:c>
      <x:c r="M86" s="28"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N86" s="5" t="inlineStr">
        <x:is>
          <x:t xml:space="preserve">Mapped as supporting evidence for risk analysis rather than as a standalone named HIPAA inventory control.</x:t>
        </x:is>
      </x:c>
      <x:c r="O86" s="5" t="inlineStr">
        <x:is>
          <x:t xml:space="preserve">07.07a1 Organizational.8</x:t>
        </x:is>
      </x:c>
      <x:c r="P86" s="5" t="n">
        <x:v>1</x:v>
      </x:c>
      <x:c r="Q86" s="5" t="n"/>
      <x:c r="R86" s="5" t="inlineStr">
        <x:is>
          <x:t xml:space="preserve">45 C.F.R. § 164.308(a)(1)(ii)(A)</x:t>
        </x:is>
      </x:c>
      <x:c r="S86" s="5" t="inlineStr">
        <x:is>
          <x:t xml:space="preserve">Security Management Process — Risk Analysis</x:t>
        </x:is>
      </x:c>
      <x:c r="T86" s="5" t="inlineStr">
        <x:is>
          <x:t xml:space="preserve">Conduct an accurate and thorough assessment of the potential risks and vulnerabilities to the confidentiality, integrity, and availability of ePHI.</x:t>
        </x:is>
      </x:c>
      <x:c r="U86" s="5" t="inlineStr">
        <x:is>
          <x:t xml:space="preserve">Required implementation specification</x:t>
        </x:is>
      </x:c>
      <x:c r="V86" s="5" t="inlineStr">
        <x:is>
          <x:t xml:space="preserve">Administrative Safeguards</x:t>
        </x:is>
      </x:c>
      <x:c r="W86" s="28" t="inlineStr">
        <x:is>
          <x:t xml:space="preserve">https://www.ecfr.gov/current/title-45/subtitle-A/subchapter-C/part-164/section-164.308</x:t>
        </x:is>
      </x:c>
      <x:c r="X86" s="28" t="inlineStr">
        <x:is>
          <x:t xml:space="preserve">https://www.hhs.gov/hipaa/for-professionals/security/guidance/guidance-risk-analysis/index.html</x:t>
        </x:is>
      </x:c>
      <x:c r="Y86" s="5" t="n"/>
      <x:c r="Z86" s="5" t="n"/>
      <x:c r="AA86" s="5" t="n"/>
      <x:c r="AB86" s="5" t="n"/>
      <x:c r="AC86" s="5" t="n"/>
      <x:c r="AD86" s="5" t="n"/>
      <x:c r="AE86" s="5" t="n"/>
      <x:c r="AF86" s="5" t="n"/>
      <x:c r="AG86" s="5" t="n"/>
      <x:c r="AH86" s="5" t="n"/>
      <x:c r="AI86" s="5" t="n"/>
      <x:c r="AJ86" s="5" t="n"/>
      <x:c r="AK86" s="5" t="n"/>
      <x:c r="AL86" s="5" t="n"/>
    </x:row>
    <x:row r="87" ht="30" customHeight="1">
      <x:c r="A87" s="5" t="inlineStr">
        <x:is>
          <x:t xml:space="preserve">HITRUST e1.csv</x:t>
        </x:is>
      </x:c>
      <x:c r="B87" s="5" t="inlineStr">
        <x:is>
          <x:t xml:space="preserve">ER-12</x:t>
        </x:is>
      </x:c>
      <x:c r="C87" s="5" t="inlineStr">
        <x:is>
          <x:t xml:space="preserve">Configuration</x:t>
        </x:is>
      </x:c>
      <x:c r="D87" s="5" t="inlineStr">
        <x:is>
          <x:t xml:space="preserve">List of All Production Systems (Servers, VMs, Data Stores)</x:t>
        </x:is>
      </x:c>
      <x:c r="E87" s="5" t="inlineStr">
        <x:is>
          <x:t xml:space="preserve">REQ-102-HIPAA</x:t>
        </x:is>
      </x:c>
      <x:c r="F87" s="5" t="inlineStr">
        <x:is>
          <x:t xml:space="preserve">0701.07a1Organizational.7</x:t>
        </x:is>
      </x:c>
      <x:c r="G87" s="5" t="inlineStr">
        <x:is>
          <x:t xml:space="preserve">Many:Many</x:t>
        </x:is>
      </x:c>
      <x:c r="H87" s="5" t="n">
        <x:v>1</x:v>
      </x:c>
      <x:c r="I87" s="5" t="inlineStr">
        <x:is>
          <x:t xml:space="preserve">45 CFR § 164.308(a)(1)(ii)(A)</x:t>
        </x:is>
      </x:c>
      <x:c r="J87" s="5" t="inlineStr">
        <x:is>
          <x:t xml:space="preserve">Security Management Process — Risk Analysis</x:t>
        </x:is>
      </x:c>
      <x:c r="K87" s="5" t="inlineStr">
        <x:is>
          <x:t xml:space="preserve">Best-fit</x:t>
        </x:is>
      </x:c>
      <x:c r="L87" s="5" t="inlineStr">
        <x:is>
          <x:t xml:space="preserve">HIPAA does not expressly mandate an IT asset inventory, but OCR guidance says a comprehensive technology asset inventory and ePHI data-flow diagrams are valuable tools for an accurate and thorough risk analysis.</x:t>
        </x:is>
      </x:c>
      <x:c r="M87" s="28"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N87" s="5" t="inlineStr">
        <x:is>
          <x:t xml:space="preserve">Mapped as supporting evidence for risk analysis rather than as a standalone named HIPAA inventory control.</x:t>
        </x:is>
      </x:c>
      <x:c r="O87" s="5" t="inlineStr">
        <x:is>
          <x:t xml:space="preserve">0701.07a1 Organizational.7</x:t>
        </x:is>
      </x:c>
      <x:c r="P87" s="5" t="n">
        <x:v>1</x:v>
      </x:c>
      <x:c r="Q87" s="5" t="n"/>
      <x:c r="R87" s="5" t="inlineStr">
        <x:is>
          <x:t xml:space="preserve">45 C.F.R. § 164.308(a)(1)(ii)(A)</x:t>
        </x:is>
      </x:c>
      <x:c r="S87" s="5" t="inlineStr">
        <x:is>
          <x:t xml:space="preserve">Security Management Process — Risk Analysis</x:t>
        </x:is>
      </x:c>
      <x:c r="T87" s="5" t="inlineStr">
        <x:is>
          <x:t xml:space="preserve">Conduct an accurate and thorough assessment of the potential risks and vulnerabilities to the confidentiality, integrity, and availability of ePHI.</x:t>
        </x:is>
      </x:c>
      <x:c r="U87" s="5" t="inlineStr">
        <x:is>
          <x:t xml:space="preserve">Required implementation specification</x:t>
        </x:is>
      </x:c>
      <x:c r="V87" s="5" t="inlineStr">
        <x:is>
          <x:t xml:space="preserve">Administrative Safeguards</x:t>
        </x:is>
      </x:c>
      <x:c r="W87" s="28" t="inlineStr">
        <x:is>
          <x:t xml:space="preserve">https://www.ecfr.gov/current/title-45/subtitle-A/subchapter-C/part-164/section-164.308</x:t>
        </x:is>
      </x:c>
      <x:c r="X87" s="28" t="inlineStr">
        <x:is>
          <x:t xml:space="preserve">https://www.hhs.gov/hipaa/for-professionals/security/guidance/guidance-risk-analysis/index.html</x:t>
        </x:is>
      </x:c>
      <x:c r="Y87" s="5" t="n"/>
      <x:c r="Z87" s="5" t="n"/>
      <x:c r="AA87" s="5" t="n"/>
      <x:c r="AB87" s="5" t="n"/>
      <x:c r="AC87" s="5" t="n"/>
      <x:c r="AD87" s="5" t="n"/>
      <x:c r="AE87" s="5" t="n"/>
      <x:c r="AF87" s="5" t="n"/>
      <x:c r="AG87" s="5" t="n"/>
      <x:c r="AH87" s="5" t="n"/>
      <x:c r="AI87" s="5" t="n"/>
      <x:c r="AJ87" s="5" t="n"/>
      <x:c r="AK87" s="5" t="n"/>
      <x:c r="AL87" s="5" t="n"/>
    </x:row>
    <x:row r="88" ht="30" customHeight="1">
      <x:c r="A88" s="5" t="inlineStr">
        <x:is>
          <x:t xml:space="preserve">HITRUST e1.csv</x:t>
        </x:is>
      </x:c>
      <x:c r="B88" s="5" t="inlineStr">
        <x:is>
          <x:t xml:space="preserve">ER-12</x:t>
        </x:is>
      </x:c>
      <x:c r="C88" s="5" t="inlineStr">
        <x:is>
          <x:t xml:space="preserve">Configuration</x:t>
        </x:is>
      </x:c>
      <x:c r="D88" s="5" t="inlineStr">
        <x:is>
          <x:t xml:space="preserve">List of All Production Systems (Servers, VMs, Data Stores)</x:t>
        </x:is>
      </x:c>
      <x:c r="E88" s="5" t="inlineStr">
        <x:is>
          <x:t xml:space="preserve">REQ-102-HIPAA</x:t>
        </x:is>
      </x:c>
      <x:c r="F88" s="5" t="inlineStr">
        <x:is>
          <x:t xml:space="preserve">0701.07a1Organizational.8</x:t>
        </x:is>
      </x:c>
      <x:c r="G88" s="5" t="inlineStr">
        <x:is>
          <x:t xml:space="preserve">Many:Many</x:t>
        </x:is>
      </x:c>
      <x:c r="H88" s="5" t="n">
        <x:v>1</x:v>
      </x:c>
      <x:c r="I88" s="5" t="inlineStr">
        <x:is>
          <x:t xml:space="preserve">45 CFR § 164.308(a)(1)(ii)(A)</x:t>
        </x:is>
      </x:c>
      <x:c r="J88" s="5" t="inlineStr">
        <x:is>
          <x:t xml:space="preserve">Security Management Process — Risk Analysis</x:t>
        </x:is>
      </x:c>
      <x:c r="K88" s="5" t="inlineStr">
        <x:is>
          <x:t xml:space="preserve">Best-fit</x:t>
        </x:is>
      </x:c>
      <x:c r="L88" s="5" t="inlineStr">
        <x:is>
          <x:t xml:space="preserve">HIPAA does not expressly mandate an IT asset inventory, but OCR guidance says a comprehensive technology asset inventory and ePHI data-flow diagrams are valuable tools for an accurate and thorough risk analysis.</x:t>
        </x:is>
      </x:c>
      <x:c r="M88" s="28"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N88" s="5" t="inlineStr">
        <x:is>
          <x:t xml:space="preserve">Mapped as supporting evidence for risk analysis rather than as a standalone named HIPAA inventory control.</x:t>
        </x:is>
      </x:c>
      <x:c r="O88" s="5" t="inlineStr">
        <x:is>
          <x:t xml:space="preserve">0701.07a1 Organizational.8</x:t>
        </x:is>
      </x:c>
      <x:c r="P88" s="5" t="n">
        <x:v>1</x:v>
      </x:c>
      <x:c r="Q88" s="5" t="n"/>
      <x:c r="R88" s="5" t="inlineStr">
        <x:is>
          <x:t xml:space="preserve">45 C.F.R. § 164.308(a)(1)(ii)(A)</x:t>
        </x:is>
      </x:c>
      <x:c r="S88" s="5" t="inlineStr">
        <x:is>
          <x:t xml:space="preserve">Security Management Process — Risk Analysis</x:t>
        </x:is>
      </x:c>
      <x:c r="T88" s="5" t="inlineStr">
        <x:is>
          <x:t xml:space="preserve">Conduct an accurate and thorough assessment of the potential risks and vulnerabilities to the confidentiality, integrity, and availability of ePHI.</x:t>
        </x:is>
      </x:c>
      <x:c r="U88" s="5" t="inlineStr">
        <x:is>
          <x:t xml:space="preserve">Required implementation specification</x:t>
        </x:is>
      </x:c>
      <x:c r="V88" s="5" t="inlineStr">
        <x:is>
          <x:t xml:space="preserve">Administrative Safeguards</x:t>
        </x:is>
      </x:c>
      <x:c r="W88" s="28" t="inlineStr">
        <x:is>
          <x:t xml:space="preserve">https://www.ecfr.gov/current/title-45/subtitle-A/subchapter-C/part-164/section-164.308</x:t>
        </x:is>
      </x:c>
      <x:c r="X88" s="28" t="inlineStr">
        <x:is>
          <x:t xml:space="preserve">https://www.hhs.gov/hipaa/for-professionals/security/guidance/guidance-risk-analysis/index.html</x:t>
        </x:is>
      </x:c>
      <x:c r="Y88" s="5" t="n"/>
      <x:c r="Z88" s="5" t="n"/>
      <x:c r="AA88" s="5" t="n"/>
      <x:c r="AB88" s="5" t="n"/>
      <x:c r="AC88" s="5" t="n"/>
      <x:c r="AD88" s="5" t="n"/>
      <x:c r="AE88" s="5" t="n"/>
      <x:c r="AF88" s="5" t="n"/>
      <x:c r="AG88" s="5" t="n"/>
      <x:c r="AH88" s="5" t="n"/>
      <x:c r="AI88" s="5" t="n"/>
      <x:c r="AJ88" s="5" t="n"/>
      <x:c r="AK88" s="5" t="n"/>
      <x:c r="AL88" s="5" t="n"/>
    </x:row>
    <x:row r="89" ht="30" customHeight="1">
      <x:c r="A89" s="5" t="inlineStr">
        <x:is>
          <x:t xml:space="preserve">HITRUST e1.csv</x:t>
        </x:is>
      </x:c>
      <x:c r="B89" s="5" t="inlineStr">
        <x:is>
          <x:t xml:space="preserve">ER-12</x:t>
        </x:is>
      </x:c>
      <x:c r="C89" s="5" t="inlineStr">
        <x:is>
          <x:t xml:space="preserve">Configuration</x:t>
        </x:is>
      </x:c>
      <x:c r="D89" s="5" t="inlineStr">
        <x:is>
          <x:t xml:space="preserve">List of All Production Systems (Servers, VMs, Data Stores)</x:t>
        </x:is>
      </x:c>
      <x:c r="E89" s="5" t="inlineStr">
        <x:is>
          <x:t xml:space="preserve">REQ-33-HIPAA</x:t>
        </x:is>
      </x:c>
      <x:c r="F89" s="5" t="inlineStr">
        <x:is>
          <x:t xml:space="preserve">07.07a1Organizational.8</x:t>
        </x:is>
      </x:c>
      <x:c r="G89" s="5" t="inlineStr">
        <x:is>
          <x:t xml:space="preserve">Many:Many</x:t>
        </x:is>
      </x:c>
      <x:c r="H89" s="5" t="n">
        <x:v>1</x:v>
      </x:c>
      <x:c r="I89" s="5" t="inlineStr">
        <x:is>
          <x:t xml:space="preserve">45 CFR § 164.308(a)(1)(ii)(A); 45 CFR § 164.312(a)(2)(iv); 45 CFR § 164.312(e)(2)(ii)</x:t>
        </x:is>
      </x:c>
      <x:c r="J89" s="5" t="inlineStr">
        <x:is>
          <x:t xml:space="preserve">Security Management Process — Risk Analysis; Access Control — Encryption and Decryption; Transmission Security — Encryption</x:t>
        </x:is>
      </x:c>
      <x:c r="K89" s="5" t="inlineStr">
        <x:is>
          <x:t xml:space="preserve">Best-fit composite</x:t>
        </x:is>
      </x:c>
      <x:c r="L89" s="5" t="inlineStr">
        <x:is>
          <x:t xml:space="preserve">System-inventory evidence is not explicitly named in the Security Rule, but OCR guidance treats asset inventories and system scoping as supporting accurate risk analysis and implementation of encryption safeguards.</x:t>
        </x:is>
      </x:c>
      <x:c r="M89"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N89" s="5" t="inlineStr">
        <x:is>
          <x:t xml:space="preserve">Inventory/list-of-systems evidence is supporting evidence for encryption coverage, not a standalone named HIPAA inventory mandate.</x:t>
        </x:is>
      </x:c>
      <x:c r="O89" s="5" t="inlineStr">
        <x:is>
          <x:t xml:space="preserve">07.07a1 Organizational.8</x:t>
        </x:is>
      </x:c>
      <x:c r="P89" s="5" t="n">
        <x:v>3</x:v>
      </x:c>
      <x:c r="Q89" s="5" t="n"/>
      <x:c r="R89" s="5" t="inlineStr">
        <x:is>
          <x:t xml:space="preserve">45 C.F.R. § 164.308(a)(1)(ii)(A)</x:t>
        </x:is>
      </x:c>
      <x:c r="S89" s="5" t="inlineStr">
        <x:is>
          <x:t xml:space="preserve">Security Management Process — Risk Analysis</x:t>
        </x:is>
      </x:c>
      <x:c r="T89" s="5" t="inlineStr">
        <x:is>
          <x:t xml:space="preserve">Conduct an accurate and thorough assessment of the potential risks and vulnerabilities to the confidentiality, integrity, and availability of ePHI.</x:t>
        </x:is>
      </x:c>
      <x:c r="U89" s="5" t="inlineStr">
        <x:is>
          <x:t xml:space="preserve">Required implementation specification</x:t>
        </x:is>
      </x:c>
      <x:c r="V89" s="5" t="inlineStr">
        <x:is>
          <x:t xml:space="preserve">Administrative Safeguards</x:t>
        </x:is>
      </x:c>
      <x:c r="W89" s="28" t="inlineStr">
        <x:is>
          <x:t xml:space="preserve">https://www.ecfr.gov/current/title-45/subtitle-A/subchapter-C/part-164/section-164.308</x:t>
        </x:is>
      </x:c>
      <x:c r="X89" s="28" t="inlineStr">
        <x:is>
          <x:t xml:space="preserve">https://www.hhs.gov/hipaa/for-professionals/security/guidance/guidance-risk-analysis/index.html</x:t>
        </x:is>
      </x:c>
      <x:c r="Y89" s="5" t="inlineStr">
        <x:is>
          <x:t xml:space="preserve">45 C.F.R. § 164.312(a)(2)(iv)</x:t>
        </x:is>
      </x:c>
      <x:c r="Z89" s="5" t="inlineStr">
        <x:is>
          <x:t xml:space="preserve">Access Control — Encryption and Decryption</x:t>
        </x:is>
      </x:c>
      <x:c r="AA89" s="5" t="inlineStr">
        <x:is>
          <x:t xml:space="preserve">Implement a mechanism to encrypt and decrypt ePHI.</x:t>
        </x:is>
      </x:c>
      <x:c r="AB89" s="5" t="inlineStr">
        <x:is>
          <x:t xml:space="preserve">Addressable implementation specification</x:t>
        </x:is>
      </x:c>
      <x:c r="AC89" s="5" t="inlineStr">
        <x:is>
          <x:t xml:space="preserve">Technical Safeguards</x:t>
        </x:is>
      </x:c>
      <x:c r="AD89" s="28" t="inlineStr">
        <x:is>
          <x:t xml:space="preserve">https://www.ecfr.gov/current/title-45/subtitle-A/subchapter-C/part-164/section-164.312</x:t>
        </x:is>
      </x:c>
      <x:c r="AE89" s="28" t="inlineStr">
        <x:is>
          <x:t xml:space="preserve">https://www.hhs.gov/hipaa/for-professionals/faq/2001/is-the-use-of-encryption-mandatory-in-the-security-rule/index.html</x:t>
        </x:is>
      </x:c>
      <x:c r="AF89" s="5" t="inlineStr">
        <x:is>
          <x:t xml:space="preserve">45 C.F.R. § 164.312(e)(2)(ii)</x:t>
        </x:is>
      </x:c>
      <x:c r="AG89" s="5" t="inlineStr">
        <x:is>
          <x:t xml:space="preserve">Transmission Security — Encryption</x:t>
        </x:is>
      </x:c>
      <x:c r="AH89" s="5" t="inlineStr">
        <x:is>
          <x:t xml:space="preserve">Implement a mechanism to encrypt ePHI whenever deemed appropriate during electronic transmission.</x:t>
        </x:is>
      </x:c>
      <x:c r="AI89" s="5" t="inlineStr">
        <x:is>
          <x:t xml:space="preserve">Addressable implementation specification</x:t>
        </x:is>
      </x:c>
      <x:c r="AJ89" s="5" t="inlineStr">
        <x:is>
          <x:t xml:space="preserve">Technical Safeguards</x:t>
        </x:is>
      </x:c>
      <x:c r="AK89" s="28" t="inlineStr">
        <x:is>
          <x:t xml:space="preserve">https://www.ecfr.gov/current/title-45/subtitle-A/subchapter-C/part-164/section-164.312</x:t>
        </x:is>
      </x:c>
      <x:c r="AL89" s="28" t="inlineStr">
        <x:is>
          <x:t xml:space="preserve">https://www.hhs.gov/hipaa/for-professionals/faq/2001/is-the-use-of-encryption-mandatory-in-the-security-rule/index.html</x:t>
        </x:is>
      </x:c>
    </x:row>
    <x:row r="90" ht="30" customHeight="1">
      <x:c r="A90" s="5" t="inlineStr">
        <x:is>
          <x:t xml:space="preserve">HITRUST e1.csv</x:t>
        </x:is>
      </x:c>
      <x:c r="B90" s="5" t="inlineStr">
        <x:is>
          <x:t xml:space="preserve">ER-12</x:t>
        </x:is>
      </x:c>
      <x:c r="C90" s="5" t="inlineStr">
        <x:is>
          <x:t xml:space="preserve">Configuration</x:t>
        </x:is>
      </x:c>
      <x:c r="D90" s="5" t="inlineStr">
        <x:is>
          <x:t xml:space="preserve">List of All Production Systems (Servers, VMs, Data Stores)</x:t>
        </x:is>
      </x:c>
      <x:c r="E90" s="5" t="inlineStr">
        <x:is>
          <x:t xml:space="preserve">REQ-33-HIPAA</x:t>
        </x:is>
      </x:c>
      <x:c r="F90" s="5" t="inlineStr">
        <x:is>
          <x:t xml:space="preserve">0701.07a1Organizational.7</x:t>
        </x:is>
      </x:c>
      <x:c r="G90" s="5" t="inlineStr">
        <x:is>
          <x:t xml:space="preserve">Many:Many</x:t>
        </x:is>
      </x:c>
      <x:c r="H90" s="5" t="n">
        <x:v>1</x:v>
      </x:c>
      <x:c r="I90" s="5" t="inlineStr">
        <x:is>
          <x:t xml:space="preserve">45 CFR § 164.308(a)(1)(ii)(A); 45 CFR § 164.312(a)(2)(iv); 45 CFR § 164.312(e)(2)(ii)</x:t>
        </x:is>
      </x:c>
      <x:c r="J90" s="5" t="inlineStr">
        <x:is>
          <x:t xml:space="preserve">Security Management Process — Risk Analysis; Access Control — Encryption and Decryption; Transmission Security — Encryption</x:t>
        </x:is>
      </x:c>
      <x:c r="K90" s="5" t="inlineStr">
        <x:is>
          <x:t xml:space="preserve">Best-fit composite</x:t>
        </x:is>
      </x:c>
      <x:c r="L90" s="5" t="inlineStr">
        <x:is>
          <x:t xml:space="preserve">System-inventory evidence is not explicitly named in the Security Rule, but OCR guidance treats asset inventories and system scoping as supporting accurate risk analysis and implementation of encryption safeguards.</x:t>
        </x:is>
      </x:c>
      <x:c r="M90"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N90" s="5" t="inlineStr">
        <x:is>
          <x:t xml:space="preserve">Inventory/list-of-systems evidence is supporting evidence for encryption coverage, not a standalone named HIPAA inventory mandate.</x:t>
        </x:is>
      </x:c>
      <x:c r="O90" s="5" t="inlineStr">
        <x:is>
          <x:t xml:space="preserve">0701.07a1 Organizational.7</x:t>
        </x:is>
      </x:c>
      <x:c r="P90" s="5" t="n">
        <x:v>3</x:v>
      </x:c>
      <x:c r="Q90" s="5" t="n"/>
      <x:c r="R90" s="5" t="inlineStr">
        <x:is>
          <x:t xml:space="preserve">45 C.F.R. § 164.308(a)(1)(ii)(A)</x:t>
        </x:is>
      </x:c>
      <x:c r="S90" s="5" t="inlineStr">
        <x:is>
          <x:t xml:space="preserve">Security Management Process — Risk Analysis</x:t>
        </x:is>
      </x:c>
      <x:c r="T90" s="5" t="inlineStr">
        <x:is>
          <x:t xml:space="preserve">Conduct an accurate and thorough assessment of the potential risks and vulnerabilities to the confidentiality, integrity, and availability of ePHI.</x:t>
        </x:is>
      </x:c>
      <x:c r="U90" s="5" t="inlineStr">
        <x:is>
          <x:t xml:space="preserve">Required implementation specification</x:t>
        </x:is>
      </x:c>
      <x:c r="V90" s="5" t="inlineStr">
        <x:is>
          <x:t xml:space="preserve">Administrative Safeguards</x:t>
        </x:is>
      </x:c>
      <x:c r="W90" s="28" t="inlineStr">
        <x:is>
          <x:t xml:space="preserve">https://www.ecfr.gov/current/title-45/subtitle-A/subchapter-C/part-164/section-164.308</x:t>
        </x:is>
      </x:c>
      <x:c r="X90" s="28" t="inlineStr">
        <x:is>
          <x:t xml:space="preserve">https://www.hhs.gov/hipaa/for-professionals/security/guidance/guidance-risk-analysis/index.html</x:t>
        </x:is>
      </x:c>
      <x:c r="Y90" s="5" t="inlineStr">
        <x:is>
          <x:t xml:space="preserve">45 C.F.R. § 164.312(a)(2)(iv)</x:t>
        </x:is>
      </x:c>
      <x:c r="Z90" s="5" t="inlineStr">
        <x:is>
          <x:t xml:space="preserve">Access Control — Encryption and Decryption</x:t>
        </x:is>
      </x:c>
      <x:c r="AA90" s="5" t="inlineStr">
        <x:is>
          <x:t xml:space="preserve">Implement a mechanism to encrypt and decrypt ePHI.</x:t>
        </x:is>
      </x:c>
      <x:c r="AB90" s="5" t="inlineStr">
        <x:is>
          <x:t xml:space="preserve">Addressable implementation specification</x:t>
        </x:is>
      </x:c>
      <x:c r="AC90" s="5" t="inlineStr">
        <x:is>
          <x:t xml:space="preserve">Technical Safeguards</x:t>
        </x:is>
      </x:c>
      <x:c r="AD90" s="28" t="inlineStr">
        <x:is>
          <x:t xml:space="preserve">https://www.ecfr.gov/current/title-45/subtitle-A/subchapter-C/part-164/section-164.312</x:t>
        </x:is>
      </x:c>
      <x:c r="AE90" s="28" t="inlineStr">
        <x:is>
          <x:t xml:space="preserve">https://www.hhs.gov/hipaa/for-professionals/faq/2001/is-the-use-of-encryption-mandatory-in-the-security-rule/index.html</x:t>
        </x:is>
      </x:c>
      <x:c r="AF90" s="5" t="inlineStr">
        <x:is>
          <x:t xml:space="preserve">45 C.F.R. § 164.312(e)(2)(ii)</x:t>
        </x:is>
      </x:c>
      <x:c r="AG90" s="5" t="inlineStr">
        <x:is>
          <x:t xml:space="preserve">Transmission Security — Encryption</x:t>
        </x:is>
      </x:c>
      <x:c r="AH90" s="5" t="inlineStr">
        <x:is>
          <x:t xml:space="preserve">Implement a mechanism to encrypt ePHI whenever deemed appropriate during electronic transmission.</x:t>
        </x:is>
      </x:c>
      <x:c r="AI90" s="5" t="inlineStr">
        <x:is>
          <x:t xml:space="preserve">Addressable implementation specification</x:t>
        </x:is>
      </x:c>
      <x:c r="AJ90" s="5" t="inlineStr">
        <x:is>
          <x:t xml:space="preserve">Technical Safeguards</x:t>
        </x:is>
      </x:c>
      <x:c r="AK90" s="28" t="inlineStr">
        <x:is>
          <x:t xml:space="preserve">https://www.ecfr.gov/current/title-45/subtitle-A/subchapter-C/part-164/section-164.312</x:t>
        </x:is>
      </x:c>
      <x:c r="AL90" s="28" t="inlineStr">
        <x:is>
          <x:t xml:space="preserve">https://www.hhs.gov/hipaa/for-professionals/faq/2001/is-the-use-of-encryption-mandatory-in-the-security-rule/index.html</x:t>
        </x:is>
      </x:c>
    </x:row>
    <x:row r="91" ht="30" customHeight="1">
      <x:c r="A91" s="5" t="inlineStr">
        <x:is>
          <x:t xml:space="preserve">HITRUST e1.csv</x:t>
        </x:is>
      </x:c>
      <x:c r="B91" s="5" t="inlineStr">
        <x:is>
          <x:t xml:space="preserve">ER-12</x:t>
        </x:is>
      </x:c>
      <x:c r="C91" s="5" t="inlineStr">
        <x:is>
          <x:t xml:space="preserve">Configuration</x:t>
        </x:is>
      </x:c>
      <x:c r="D91" s="5" t="inlineStr">
        <x:is>
          <x:t xml:space="preserve">List of All Production Systems (Servers, VMs, Data Stores)</x:t>
        </x:is>
      </x:c>
      <x:c r="E91" s="5" t="inlineStr">
        <x:is>
          <x:t xml:space="preserve">REQ-33-HIPAA</x:t>
        </x:is>
      </x:c>
      <x:c r="F91" s="5" t="inlineStr">
        <x:is>
          <x:t xml:space="preserve">0701.07a1Organizational.8</x:t>
        </x:is>
      </x:c>
      <x:c r="G91" s="5" t="inlineStr">
        <x:is>
          <x:t xml:space="preserve">Many:Many</x:t>
        </x:is>
      </x:c>
      <x:c r="H91" s="5" t="n">
        <x:v>1</x:v>
      </x:c>
      <x:c r="I91" s="5" t="inlineStr">
        <x:is>
          <x:t xml:space="preserve">45 CFR § 164.308(a)(1)(ii)(A); 45 CFR § 164.312(a)(2)(iv); 45 CFR § 164.312(e)(2)(ii)</x:t>
        </x:is>
      </x:c>
      <x:c r="J91" s="5" t="inlineStr">
        <x:is>
          <x:t xml:space="preserve">Security Management Process — Risk Analysis; Access Control — Encryption and Decryption; Transmission Security — Encryption</x:t>
        </x:is>
      </x:c>
      <x:c r="K91" s="5" t="inlineStr">
        <x:is>
          <x:t xml:space="preserve">Best-fit composite</x:t>
        </x:is>
      </x:c>
      <x:c r="L91" s="5" t="inlineStr">
        <x:is>
          <x:t xml:space="preserve">System-inventory evidence is not explicitly named in the Security Rule, but OCR guidance treats asset inventories and system scoping as supporting accurate risk analysis and implementation of encryption safeguards.</x:t>
        </x:is>
      </x:c>
      <x:c r="M91"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N91" s="5" t="inlineStr">
        <x:is>
          <x:t xml:space="preserve">Inventory/list-of-systems evidence is supporting evidence for encryption coverage, not a standalone named HIPAA inventory mandate.</x:t>
        </x:is>
      </x:c>
      <x:c r="O91" s="5" t="inlineStr">
        <x:is>
          <x:t xml:space="preserve">0701.07a1 Organizational.8</x:t>
        </x:is>
      </x:c>
      <x:c r="P91" s="5" t="n">
        <x:v>3</x:v>
      </x:c>
      <x:c r="Q91" s="5" t="n"/>
      <x:c r="R91" s="5" t="inlineStr">
        <x:is>
          <x:t xml:space="preserve">45 C.F.R. § 164.308(a)(1)(ii)(A)</x:t>
        </x:is>
      </x:c>
      <x:c r="S91" s="5" t="inlineStr">
        <x:is>
          <x:t xml:space="preserve">Security Management Process — Risk Analysis</x:t>
        </x:is>
      </x:c>
      <x:c r="T91" s="5" t="inlineStr">
        <x:is>
          <x:t xml:space="preserve">Conduct an accurate and thorough assessment of the potential risks and vulnerabilities to the confidentiality, integrity, and availability of ePHI.</x:t>
        </x:is>
      </x:c>
      <x:c r="U91" s="5" t="inlineStr">
        <x:is>
          <x:t xml:space="preserve">Required implementation specification</x:t>
        </x:is>
      </x:c>
      <x:c r="V91" s="5" t="inlineStr">
        <x:is>
          <x:t xml:space="preserve">Administrative Safeguards</x:t>
        </x:is>
      </x:c>
      <x:c r="W91" s="28" t="inlineStr">
        <x:is>
          <x:t xml:space="preserve">https://www.ecfr.gov/current/title-45/subtitle-A/subchapter-C/part-164/section-164.308</x:t>
        </x:is>
      </x:c>
      <x:c r="X91" s="28" t="inlineStr">
        <x:is>
          <x:t xml:space="preserve">https://www.hhs.gov/hipaa/for-professionals/security/guidance/guidance-risk-analysis/index.html</x:t>
        </x:is>
      </x:c>
      <x:c r="Y91" s="5" t="inlineStr">
        <x:is>
          <x:t xml:space="preserve">45 C.F.R. § 164.312(a)(2)(iv)</x:t>
        </x:is>
      </x:c>
      <x:c r="Z91" s="5" t="inlineStr">
        <x:is>
          <x:t xml:space="preserve">Access Control — Encryption and Decryption</x:t>
        </x:is>
      </x:c>
      <x:c r="AA91" s="5" t="inlineStr">
        <x:is>
          <x:t xml:space="preserve">Implement a mechanism to encrypt and decrypt ePHI.</x:t>
        </x:is>
      </x:c>
      <x:c r="AB91" s="5" t="inlineStr">
        <x:is>
          <x:t xml:space="preserve">Addressable implementation specification</x:t>
        </x:is>
      </x:c>
      <x:c r="AC91" s="5" t="inlineStr">
        <x:is>
          <x:t xml:space="preserve">Technical Safeguards</x:t>
        </x:is>
      </x:c>
      <x:c r="AD91" s="28" t="inlineStr">
        <x:is>
          <x:t xml:space="preserve">https://www.ecfr.gov/current/title-45/subtitle-A/subchapter-C/part-164/section-164.312</x:t>
        </x:is>
      </x:c>
      <x:c r="AE91" s="28" t="inlineStr">
        <x:is>
          <x:t xml:space="preserve">https://www.hhs.gov/hipaa/for-professionals/faq/2001/is-the-use-of-encryption-mandatory-in-the-security-rule/index.html</x:t>
        </x:is>
      </x:c>
      <x:c r="AF91" s="5" t="inlineStr">
        <x:is>
          <x:t xml:space="preserve">45 C.F.R. § 164.312(e)(2)(ii)</x:t>
        </x:is>
      </x:c>
      <x:c r="AG91" s="5" t="inlineStr">
        <x:is>
          <x:t xml:space="preserve">Transmission Security — Encryption</x:t>
        </x:is>
      </x:c>
      <x:c r="AH91" s="5" t="inlineStr">
        <x:is>
          <x:t xml:space="preserve">Implement a mechanism to encrypt ePHI whenever deemed appropriate during electronic transmission.</x:t>
        </x:is>
      </x:c>
      <x:c r="AI91" s="5" t="inlineStr">
        <x:is>
          <x:t xml:space="preserve">Addressable implementation specification</x:t>
        </x:is>
      </x:c>
      <x:c r="AJ91" s="5" t="inlineStr">
        <x:is>
          <x:t xml:space="preserve">Technical Safeguards</x:t>
        </x:is>
      </x:c>
      <x:c r="AK91" s="28" t="inlineStr">
        <x:is>
          <x:t xml:space="preserve">https://www.ecfr.gov/current/title-45/subtitle-A/subchapter-C/part-164/section-164.312</x:t>
        </x:is>
      </x:c>
      <x:c r="AL91" s="28" t="inlineStr">
        <x:is>
          <x:t xml:space="preserve">https://www.hhs.gov/hipaa/for-professionals/faq/2001/is-the-use-of-encryption-mandatory-in-the-security-rule/index.html</x:t>
        </x:is>
      </x:c>
    </x:row>
    <x:row r="92" ht="30" customHeight="1">
      <x:c r="A92" s="5" t="inlineStr">
        <x:is>
          <x:t xml:space="preserve">HITRUST e1.csv</x:t>
        </x:is>
      </x:c>
      <x:c r="B92" s="5" t="inlineStr">
        <x:is>
          <x:t xml:space="preserve">ER-12</x:t>
        </x:is>
      </x:c>
      <x:c r="C92" s="5" t="inlineStr">
        <x:is>
          <x:t xml:space="preserve">Configuration</x:t>
        </x:is>
      </x:c>
      <x:c r="D92" s="5" t="inlineStr">
        <x:is>
          <x:t xml:space="preserve">List of All Production Systems (Servers, VMs, Data Stores)</x:t>
        </x:is>
      </x:c>
      <x:c r="E92" s="5" t="inlineStr">
        <x:is>
          <x:t xml:space="preserve">REQ-34-HIPAA</x:t>
        </x:is>
      </x:c>
      <x:c r="F92" s="5" t="inlineStr">
        <x:is>
          <x:t xml:space="preserve">07.07a1Organizational.8</x:t>
        </x:is>
      </x:c>
      <x:c r="G92" s="5" t="inlineStr">
        <x:is>
          <x:t xml:space="preserve">Many:Many</x:t>
        </x:is>
      </x:c>
      <x:c r="H92" s="5" t="n">
        <x:v>1</x:v>
      </x:c>
      <x:c r="I92" s="5" t="inlineStr">
        <x:is>
          <x:t xml:space="preserve">45 CFR § 164.308(a)(1)(ii)(A); 45 CFR § 164.312(a)(2)(iv)</x:t>
        </x:is>
      </x:c>
      <x:c r="J92" s="5" t="inlineStr">
        <x:is>
          <x:t xml:space="preserve">Security Management Process — Risk Analysis; Access Control — Encryption and Decryption</x:t>
        </x:is>
      </x:c>
      <x:c r="K92" s="5" t="inlineStr">
        <x:is>
          <x:t xml:space="preserve">Best-fit composite</x:t>
        </x:is>
      </x:c>
      <x:c r="L92" s="5" t="inlineStr">
        <x:is>
          <x:t xml:space="preserve">System inventory supports scoping/coverage of at-rest encryption and accurate risk analysis.</x:t>
        </x:is>
      </x:c>
      <x:c r="M92"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N92" s="5" t="inlineStr">
        <x:is>
          <x:t xml:space="preserve">Asset inventory is supporting evidence rather than an explicit standalone at-rest-encryption requirement.</x:t>
        </x:is>
      </x:c>
      <x:c r="O92" s="5" t="inlineStr">
        <x:is>
          <x:t xml:space="preserve">07.07a1 Organizational.8</x:t>
        </x:is>
      </x:c>
      <x:c r="P92" s="5" t="n">
        <x:v>2</x:v>
      </x:c>
      <x:c r="Q92" s="5" t="n"/>
      <x:c r="R92" s="5" t="inlineStr">
        <x:is>
          <x:t xml:space="preserve">45 C.F.R. § 164.308(a)(1)(ii)(A)</x:t>
        </x:is>
      </x:c>
      <x:c r="S92" s="5" t="inlineStr">
        <x:is>
          <x:t xml:space="preserve">Security Management Process — Risk Analysis</x:t>
        </x:is>
      </x:c>
      <x:c r="T92" s="5" t="inlineStr">
        <x:is>
          <x:t xml:space="preserve">Conduct an accurate and thorough assessment of the potential risks and vulnerabilities to the confidentiality, integrity, and availability of ePHI.</x:t>
        </x:is>
      </x:c>
      <x:c r="U92" s="5" t="inlineStr">
        <x:is>
          <x:t xml:space="preserve">Required implementation specification</x:t>
        </x:is>
      </x:c>
      <x:c r="V92" s="5" t="inlineStr">
        <x:is>
          <x:t xml:space="preserve">Administrative Safeguards</x:t>
        </x:is>
      </x:c>
      <x:c r="W92" s="28" t="inlineStr">
        <x:is>
          <x:t xml:space="preserve">https://www.ecfr.gov/current/title-45/subtitle-A/subchapter-C/part-164/section-164.308</x:t>
        </x:is>
      </x:c>
      <x:c r="X92" s="28" t="inlineStr">
        <x:is>
          <x:t xml:space="preserve">https://www.hhs.gov/hipaa/for-professionals/security/guidance/guidance-risk-analysis/index.html</x:t>
        </x:is>
      </x:c>
      <x:c r="Y92" s="5" t="inlineStr">
        <x:is>
          <x:t xml:space="preserve">45 C.F.R. § 164.312(a)(2)(iv)</x:t>
        </x:is>
      </x:c>
      <x:c r="Z92" s="5" t="inlineStr">
        <x:is>
          <x:t xml:space="preserve">Access Control — Encryption and Decryption</x:t>
        </x:is>
      </x:c>
      <x:c r="AA92" s="5" t="inlineStr">
        <x:is>
          <x:t xml:space="preserve">Implement a mechanism to encrypt and decrypt ePHI.</x:t>
        </x:is>
      </x:c>
      <x:c r="AB92" s="5" t="inlineStr">
        <x:is>
          <x:t xml:space="preserve">Addressable implementation specification</x:t>
        </x:is>
      </x:c>
      <x:c r="AC92" s="5" t="inlineStr">
        <x:is>
          <x:t xml:space="preserve">Technical Safeguards</x:t>
        </x:is>
      </x:c>
      <x:c r="AD92" s="28" t="inlineStr">
        <x:is>
          <x:t xml:space="preserve">https://www.ecfr.gov/current/title-45/subtitle-A/subchapter-C/part-164/section-164.312</x:t>
        </x:is>
      </x:c>
      <x:c r="AE92" s="28" t="inlineStr">
        <x:is>
          <x:t xml:space="preserve">https://www.hhs.gov/hipaa/for-professionals/faq/2001/is-the-use-of-encryption-mandatory-in-the-security-rule/index.html</x:t>
        </x:is>
      </x:c>
      <x:c r="AF92" s="5" t="n"/>
      <x:c r="AG92" s="5" t="n"/>
      <x:c r="AH92" s="5" t="n"/>
      <x:c r="AI92" s="5" t="n"/>
      <x:c r="AJ92" s="5" t="n"/>
      <x:c r="AK92" s="5" t="n"/>
      <x:c r="AL92" s="5" t="n"/>
    </x:row>
    <x:row r="93" ht="30" customHeight="1">
      <x:c r="A93" s="5" t="inlineStr">
        <x:is>
          <x:t xml:space="preserve">HITRUST e1.csv</x:t>
        </x:is>
      </x:c>
      <x:c r="B93" s="5" t="inlineStr">
        <x:is>
          <x:t xml:space="preserve">ER-12</x:t>
        </x:is>
      </x:c>
      <x:c r="C93" s="5" t="inlineStr">
        <x:is>
          <x:t xml:space="preserve">Configuration</x:t>
        </x:is>
      </x:c>
      <x:c r="D93" s="5" t="inlineStr">
        <x:is>
          <x:t xml:space="preserve">List of All Production Systems (Servers, VMs, Data Stores)</x:t>
        </x:is>
      </x:c>
      <x:c r="E93" s="5" t="inlineStr">
        <x:is>
          <x:t xml:space="preserve">REQ-34-HIPAA</x:t>
        </x:is>
      </x:c>
      <x:c r="F93" s="5" t="inlineStr">
        <x:is>
          <x:t xml:space="preserve">0701.07a1Organizational.7</x:t>
        </x:is>
      </x:c>
      <x:c r="G93" s="5" t="inlineStr">
        <x:is>
          <x:t xml:space="preserve">Many:Many</x:t>
        </x:is>
      </x:c>
      <x:c r="H93" s="5" t="n">
        <x:v>1</x:v>
      </x:c>
      <x:c r="I93" s="5" t="inlineStr">
        <x:is>
          <x:t xml:space="preserve">45 CFR § 164.308(a)(1)(ii)(A); 45 CFR § 164.312(a)(2)(iv)</x:t>
        </x:is>
      </x:c>
      <x:c r="J93" s="5" t="inlineStr">
        <x:is>
          <x:t xml:space="preserve">Security Management Process — Risk Analysis; Access Control — Encryption and Decryption</x:t>
        </x:is>
      </x:c>
      <x:c r="K93" s="5" t="inlineStr">
        <x:is>
          <x:t xml:space="preserve">Best-fit composite</x:t>
        </x:is>
      </x:c>
      <x:c r="L93" s="5" t="inlineStr">
        <x:is>
          <x:t xml:space="preserve">System inventory supports scoping/coverage of at-rest encryption and accurate risk analysis.</x:t>
        </x:is>
      </x:c>
      <x:c r="M93"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N93" s="5" t="inlineStr">
        <x:is>
          <x:t xml:space="preserve">Asset inventory is supporting evidence rather than an explicit standalone at-rest-encryption requirement.</x:t>
        </x:is>
      </x:c>
      <x:c r="O93" s="5" t="inlineStr">
        <x:is>
          <x:t xml:space="preserve">0701.07a1 Organizational.7</x:t>
        </x:is>
      </x:c>
      <x:c r="P93" s="5" t="n">
        <x:v>2</x:v>
      </x:c>
      <x:c r="Q93" s="5" t="n"/>
      <x:c r="R93" s="5" t="inlineStr">
        <x:is>
          <x:t xml:space="preserve">45 C.F.R. § 164.308(a)(1)(ii)(A)</x:t>
        </x:is>
      </x:c>
      <x:c r="S93" s="5" t="inlineStr">
        <x:is>
          <x:t xml:space="preserve">Security Management Process — Risk Analysis</x:t>
        </x:is>
      </x:c>
      <x:c r="T93" s="5" t="inlineStr">
        <x:is>
          <x:t xml:space="preserve">Conduct an accurate and thorough assessment of the potential risks and vulnerabilities to the confidentiality, integrity, and availability of ePHI.</x:t>
        </x:is>
      </x:c>
      <x:c r="U93" s="5" t="inlineStr">
        <x:is>
          <x:t xml:space="preserve">Required implementation specification</x:t>
        </x:is>
      </x:c>
      <x:c r="V93" s="5" t="inlineStr">
        <x:is>
          <x:t xml:space="preserve">Administrative Safeguards</x:t>
        </x:is>
      </x:c>
      <x:c r="W93" s="28" t="inlineStr">
        <x:is>
          <x:t xml:space="preserve">https://www.ecfr.gov/current/title-45/subtitle-A/subchapter-C/part-164/section-164.308</x:t>
        </x:is>
      </x:c>
      <x:c r="X93" s="28" t="inlineStr">
        <x:is>
          <x:t xml:space="preserve">https://www.hhs.gov/hipaa/for-professionals/security/guidance/guidance-risk-analysis/index.html</x:t>
        </x:is>
      </x:c>
      <x:c r="Y93" s="5" t="inlineStr">
        <x:is>
          <x:t xml:space="preserve">45 C.F.R. § 164.312(a)(2)(iv)</x:t>
        </x:is>
      </x:c>
      <x:c r="Z93" s="5" t="inlineStr">
        <x:is>
          <x:t xml:space="preserve">Access Control — Encryption and Decryption</x:t>
        </x:is>
      </x:c>
      <x:c r="AA93" s="5" t="inlineStr">
        <x:is>
          <x:t xml:space="preserve">Implement a mechanism to encrypt and decrypt ePHI.</x:t>
        </x:is>
      </x:c>
      <x:c r="AB93" s="5" t="inlineStr">
        <x:is>
          <x:t xml:space="preserve">Addressable implementation specification</x:t>
        </x:is>
      </x:c>
      <x:c r="AC93" s="5" t="inlineStr">
        <x:is>
          <x:t xml:space="preserve">Technical Safeguards</x:t>
        </x:is>
      </x:c>
      <x:c r="AD93" s="28" t="inlineStr">
        <x:is>
          <x:t xml:space="preserve">https://www.ecfr.gov/current/title-45/subtitle-A/subchapter-C/part-164/section-164.312</x:t>
        </x:is>
      </x:c>
      <x:c r="AE93" s="28" t="inlineStr">
        <x:is>
          <x:t xml:space="preserve">https://www.hhs.gov/hipaa/for-professionals/faq/2001/is-the-use-of-encryption-mandatory-in-the-security-rule/index.html</x:t>
        </x:is>
      </x:c>
      <x:c r="AF93" s="5" t="n"/>
      <x:c r="AG93" s="5" t="n"/>
      <x:c r="AH93" s="5" t="n"/>
      <x:c r="AI93" s="5" t="n"/>
      <x:c r="AJ93" s="5" t="n"/>
      <x:c r="AK93" s="5" t="n"/>
      <x:c r="AL93" s="5" t="n"/>
    </x:row>
    <x:row r="94" ht="30" customHeight="1">
      <x:c r="A94" s="5" t="inlineStr">
        <x:is>
          <x:t xml:space="preserve">HITRUST e1.csv</x:t>
        </x:is>
      </x:c>
      <x:c r="B94" s="5" t="inlineStr">
        <x:is>
          <x:t xml:space="preserve">ER-12</x:t>
        </x:is>
      </x:c>
      <x:c r="C94" s="5" t="inlineStr">
        <x:is>
          <x:t xml:space="preserve">Configuration</x:t>
        </x:is>
      </x:c>
      <x:c r="D94" s="5" t="inlineStr">
        <x:is>
          <x:t xml:space="preserve">List of All Production Systems (Servers, VMs, Data Stores)</x:t>
        </x:is>
      </x:c>
      <x:c r="E94" s="5" t="inlineStr">
        <x:is>
          <x:t xml:space="preserve">REQ-34-HIPAA</x:t>
        </x:is>
      </x:c>
      <x:c r="F94" s="5" t="inlineStr">
        <x:is>
          <x:t xml:space="preserve">0701.07a1Organizational.8</x:t>
        </x:is>
      </x:c>
      <x:c r="G94" s="5" t="inlineStr">
        <x:is>
          <x:t xml:space="preserve">Many:Many</x:t>
        </x:is>
      </x:c>
      <x:c r="H94" s="5" t="n">
        <x:v>1</x:v>
      </x:c>
      <x:c r="I94" s="5" t="inlineStr">
        <x:is>
          <x:t xml:space="preserve">45 CFR § 164.308(a)(1)(ii)(A); 45 CFR § 164.312(a)(2)(iv)</x:t>
        </x:is>
      </x:c>
      <x:c r="J94" s="5" t="inlineStr">
        <x:is>
          <x:t xml:space="preserve">Security Management Process — Risk Analysis; Access Control — Encryption and Decryption</x:t>
        </x:is>
      </x:c>
      <x:c r="K94" s="5" t="inlineStr">
        <x:is>
          <x:t xml:space="preserve">Best-fit composite</x:t>
        </x:is>
      </x:c>
      <x:c r="L94" s="5" t="inlineStr">
        <x:is>
          <x:t xml:space="preserve">System inventory supports scoping/coverage of at-rest encryption and accurate risk analysis.</x:t>
        </x:is>
      </x:c>
      <x:c r="M94"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N94" s="5" t="inlineStr">
        <x:is>
          <x:t xml:space="preserve">Asset inventory is supporting evidence rather than an explicit standalone at-rest-encryption requirement.</x:t>
        </x:is>
      </x:c>
      <x:c r="O94" s="5" t="inlineStr">
        <x:is>
          <x:t xml:space="preserve">0701.07a1 Organizational.8</x:t>
        </x:is>
      </x:c>
      <x:c r="P94" s="5" t="n">
        <x:v>2</x:v>
      </x:c>
      <x:c r="Q94" s="5" t="n"/>
      <x:c r="R94" s="5" t="inlineStr">
        <x:is>
          <x:t xml:space="preserve">45 C.F.R. § 164.308(a)(1)(ii)(A)</x:t>
        </x:is>
      </x:c>
      <x:c r="S94" s="5" t="inlineStr">
        <x:is>
          <x:t xml:space="preserve">Security Management Process — Risk Analysis</x:t>
        </x:is>
      </x:c>
      <x:c r="T94" s="5" t="inlineStr">
        <x:is>
          <x:t xml:space="preserve">Conduct an accurate and thorough assessment of the potential risks and vulnerabilities to the confidentiality, integrity, and availability of ePHI.</x:t>
        </x:is>
      </x:c>
      <x:c r="U94" s="5" t="inlineStr">
        <x:is>
          <x:t xml:space="preserve">Required implementation specification</x:t>
        </x:is>
      </x:c>
      <x:c r="V94" s="5" t="inlineStr">
        <x:is>
          <x:t xml:space="preserve">Administrative Safeguards</x:t>
        </x:is>
      </x:c>
      <x:c r="W94" s="28" t="inlineStr">
        <x:is>
          <x:t xml:space="preserve">https://www.ecfr.gov/current/title-45/subtitle-A/subchapter-C/part-164/section-164.308</x:t>
        </x:is>
      </x:c>
      <x:c r="X94" s="28" t="inlineStr">
        <x:is>
          <x:t xml:space="preserve">https://www.hhs.gov/hipaa/for-professionals/security/guidance/guidance-risk-analysis/index.html</x:t>
        </x:is>
      </x:c>
      <x:c r="Y94" s="5" t="inlineStr">
        <x:is>
          <x:t xml:space="preserve">45 C.F.R. § 164.312(a)(2)(iv)</x:t>
        </x:is>
      </x:c>
      <x:c r="Z94" s="5" t="inlineStr">
        <x:is>
          <x:t xml:space="preserve">Access Control — Encryption and Decryption</x:t>
        </x:is>
      </x:c>
      <x:c r="AA94" s="5" t="inlineStr">
        <x:is>
          <x:t xml:space="preserve">Implement a mechanism to encrypt and decrypt ePHI.</x:t>
        </x:is>
      </x:c>
      <x:c r="AB94" s="5" t="inlineStr">
        <x:is>
          <x:t xml:space="preserve">Addressable implementation specification</x:t>
        </x:is>
      </x:c>
      <x:c r="AC94" s="5" t="inlineStr">
        <x:is>
          <x:t xml:space="preserve">Technical Safeguards</x:t>
        </x:is>
      </x:c>
      <x:c r="AD94" s="28" t="inlineStr">
        <x:is>
          <x:t xml:space="preserve">https://www.ecfr.gov/current/title-45/subtitle-A/subchapter-C/part-164/section-164.312</x:t>
        </x:is>
      </x:c>
      <x:c r="AE94" s="28" t="inlineStr">
        <x:is>
          <x:t xml:space="preserve">https://www.hhs.gov/hipaa/for-professionals/faq/2001/is-the-use-of-encryption-mandatory-in-the-security-rule/index.html</x:t>
        </x:is>
      </x:c>
      <x:c r="AF94" s="5" t="n"/>
      <x:c r="AG94" s="5" t="n"/>
      <x:c r="AH94" s="5" t="n"/>
      <x:c r="AI94" s="5" t="n"/>
      <x:c r="AJ94" s="5" t="n"/>
      <x:c r="AK94" s="5" t="n"/>
      <x:c r="AL94" s="5" t="n"/>
    </x:row>
    <x:row r="95" ht="30" customHeight="1">
      <x:c r="A95" s="5" t="inlineStr">
        <x:is>
          <x:t xml:space="preserve">HITRUST e1.csv</x:t>
        </x:is>
      </x:c>
      <x:c r="B95" s="5" t="inlineStr">
        <x:is>
          <x:t xml:space="preserve">ER-12</x:t>
        </x:is>
      </x:c>
      <x:c r="C95" s="5" t="inlineStr">
        <x:is>
          <x:t xml:space="preserve">Configuration</x:t>
        </x:is>
      </x:c>
      <x:c r="D95" s="5" t="inlineStr">
        <x:is>
          <x:t xml:space="preserve">List of All Production Systems (Servers, VMs, Data Stores)</x:t>
        </x:is>
      </x:c>
      <x:c r="E95" s="5" t="inlineStr">
        <x:is>
          <x:t xml:space="preserve">REQ-43-HIPAA</x:t>
        </x:is>
      </x:c>
      <x:c r="F95" s="5" t="inlineStr">
        <x:is>
          <x:t xml:space="preserve">07.07a1Organizational.8</x:t>
        </x:is>
      </x:c>
      <x:c r="G95" s="5" t="inlineStr">
        <x:is>
          <x:t xml:space="preserve">Many:Many</x:t>
        </x:is>
      </x:c>
      <x:c r="H95" s="5" t="n">
        <x:v>1</x:v>
      </x:c>
      <x:c r="I95" s="5" t="inlineStr">
        <x:is>
          <x:t xml:space="preserve">45 CFR § 164.308(a)(1)(ii)(A); 45 CFR § 164.308(a)(1)(ii)(B)</x:t>
        </x:is>
      </x:c>
      <x:c r="J95" s="5" t="inlineStr">
        <x:is>
          <x:t xml:space="preserve">Security Management Process — Risk Analysis; Security Management Process — Risk Management</x:t>
        </x:is>
      </x:c>
      <x:c r="K95" s="5" t="inlineStr">
        <x:is>
          <x:t xml:space="preserve">Best-fit composite</x:t>
        </x:is>
      </x:c>
      <x:c r="L95" s="5" t="inlineStr">
        <x:is>
          <x:t xml:space="preserve">A production-systems inventory is supporting evidence for patch coverage and vulnerability scoping under risk analysis/risk management.</x:t>
        </x:is>
      </x:c>
      <x:c r="M95" s="28"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N95" s="5" t="inlineStr">
        <x:is>
          <x:t xml:space="preserve">OCR guidance treats a technology asset inventory as a valuable tool for accurate and thorough risk analysis.</x:t>
        </x:is>
      </x:c>
      <x:c r="O95" s="5" t="inlineStr">
        <x:is>
          <x:t xml:space="preserve">07.07a1 Organizational.8</x:t>
        </x:is>
      </x:c>
      <x:c r="P95" s="5" t="n">
        <x:v>2</x:v>
      </x:c>
      <x:c r="Q95" s="5" t="n"/>
      <x:c r="R95" s="5" t="inlineStr">
        <x:is>
          <x:t xml:space="preserve">45 C.F.R. § 164.308(a)(1)(ii)(A)</x:t>
        </x:is>
      </x:c>
      <x:c r="S95" s="5" t="inlineStr">
        <x:is>
          <x:t xml:space="preserve">Security Management Process — Risk Analysis</x:t>
        </x:is>
      </x:c>
      <x:c r="T95" s="5" t="inlineStr">
        <x:is>
          <x:t xml:space="preserve">Conduct an accurate and thorough assessment of the potential risks and vulnerabilities to the confidentiality, integrity, and availability of ePHI.</x:t>
        </x:is>
      </x:c>
      <x:c r="U95" s="5" t="inlineStr">
        <x:is>
          <x:t xml:space="preserve">Required implementation specification</x:t>
        </x:is>
      </x:c>
      <x:c r="V95" s="5" t="inlineStr">
        <x:is>
          <x:t xml:space="preserve">Administrative Safeguards</x:t>
        </x:is>
      </x:c>
      <x:c r="W95" s="28" t="inlineStr">
        <x:is>
          <x:t xml:space="preserve">https://www.ecfr.gov/current/title-45/subtitle-A/subchapter-C/part-164/section-164.308</x:t>
        </x:is>
      </x:c>
      <x:c r="X95" s="28" t="inlineStr">
        <x:is>
          <x:t xml:space="preserve">https://www.hhs.gov/hipaa/for-professionals/security/guidance/guidance-risk-analysis/index.html</x:t>
        </x:is>
      </x:c>
      <x:c r="Y95" s="5" t="inlineStr">
        <x:is>
          <x:t xml:space="preserve">45 C.F.R. § 164.308(a)(1)(ii)(B)</x:t>
        </x:is>
      </x:c>
      <x:c r="Z95" s="5" t="inlineStr">
        <x:is>
          <x:t xml:space="preserve">Security Management Process — Risk Management</x:t>
        </x:is>
      </x:c>
      <x:c r="AA95" s="5" t="inlineStr">
        <x:is>
          <x:t xml:space="preserve">Implement security measures sufficient to reduce identified risks and vulnerabilities to a reasonable and appropriate level.</x:t>
        </x:is>
      </x:c>
      <x:c r="AB95" s="5" t="inlineStr">
        <x:is>
          <x:t xml:space="preserve">Required implementation specification</x:t>
        </x:is>
      </x:c>
      <x:c r="AC95" s="5" t="inlineStr">
        <x:is>
          <x:t xml:space="preserve">Administrative Safeguards</x:t>
        </x:is>
      </x:c>
      <x:c r="AD95" s="28" t="inlineStr">
        <x:is>
          <x:t xml:space="preserve">https://www.ecfr.gov/current/title-45/subtitle-A/subchapter-C/part-164/section-164.308</x:t>
        </x:is>
      </x:c>
      <x:c r="AE95" s="28" t="inlineStr">
        <x:is>
          <x:t xml:space="preserve">https://www.hhs.gov/hipaa/for-professionals/security/guidance/guidance-risk-analysis/index.html</x:t>
        </x:is>
      </x:c>
      <x:c r="AF95" s="5" t="n"/>
      <x:c r="AG95" s="5" t="n"/>
      <x:c r="AH95" s="5" t="n"/>
      <x:c r="AI95" s="5" t="n"/>
      <x:c r="AJ95" s="5" t="n"/>
      <x:c r="AK95" s="5" t="n"/>
      <x:c r="AL95" s="5" t="n"/>
    </x:row>
    <x:row r="96" ht="30" customHeight="1">
      <x:c r="A96" s="5" t="inlineStr">
        <x:is>
          <x:t xml:space="preserve">HITRUST e1.csv</x:t>
        </x:is>
      </x:c>
      <x:c r="B96" s="5" t="inlineStr">
        <x:is>
          <x:t xml:space="preserve">ER-12</x:t>
        </x:is>
      </x:c>
      <x:c r="C96" s="5" t="inlineStr">
        <x:is>
          <x:t xml:space="preserve">Configuration</x:t>
        </x:is>
      </x:c>
      <x:c r="D96" s="5" t="inlineStr">
        <x:is>
          <x:t xml:space="preserve">List of All Production Systems (Servers, VMs, Data Stores)</x:t>
        </x:is>
      </x:c>
      <x:c r="E96" s="5" t="inlineStr">
        <x:is>
          <x:t xml:space="preserve">REQ-43-HIPAA</x:t>
        </x:is>
      </x:c>
      <x:c r="F96" s="5" t="inlineStr">
        <x:is>
          <x:t xml:space="preserve">0701.07a1Organizational.7</x:t>
        </x:is>
      </x:c>
      <x:c r="G96" s="5" t="inlineStr">
        <x:is>
          <x:t xml:space="preserve">Many:Many</x:t>
        </x:is>
      </x:c>
      <x:c r="H96" s="5" t="n">
        <x:v>1</x:v>
      </x:c>
      <x:c r="I96" s="5" t="inlineStr">
        <x:is>
          <x:t xml:space="preserve">45 CFR § 164.308(a)(1)(ii)(A); 45 CFR § 164.308(a)(1)(ii)(B)</x:t>
        </x:is>
      </x:c>
      <x:c r="J96" s="5" t="inlineStr">
        <x:is>
          <x:t xml:space="preserve">Security Management Process — Risk Analysis; Security Management Process — Risk Management</x:t>
        </x:is>
      </x:c>
      <x:c r="K96" s="5" t="inlineStr">
        <x:is>
          <x:t xml:space="preserve">Best-fit composite</x:t>
        </x:is>
      </x:c>
      <x:c r="L96" s="5" t="inlineStr">
        <x:is>
          <x:t xml:space="preserve">A production-systems inventory is supporting evidence for patch coverage and vulnerability scoping under risk analysis/risk management.</x:t>
        </x:is>
      </x:c>
      <x:c r="M96" s="28"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N96" s="5" t="inlineStr">
        <x:is>
          <x:t xml:space="preserve">OCR guidance treats a technology asset inventory as a valuable tool for accurate and thorough risk analysis.</x:t>
        </x:is>
      </x:c>
      <x:c r="O96" s="5" t="inlineStr">
        <x:is>
          <x:t xml:space="preserve">0701.07a1 Organizational.7</x:t>
        </x:is>
      </x:c>
      <x:c r="P96" s="5" t="n">
        <x:v>2</x:v>
      </x:c>
      <x:c r="Q96" s="5" t="n"/>
      <x:c r="R96" s="5" t="inlineStr">
        <x:is>
          <x:t xml:space="preserve">45 C.F.R. § 164.308(a)(1)(ii)(A)</x:t>
        </x:is>
      </x:c>
      <x:c r="S96" s="5" t="inlineStr">
        <x:is>
          <x:t xml:space="preserve">Security Management Process — Risk Analysis</x:t>
        </x:is>
      </x:c>
      <x:c r="T96" s="5" t="inlineStr">
        <x:is>
          <x:t xml:space="preserve">Conduct an accurate and thorough assessment of the potential risks and vulnerabilities to the confidentiality, integrity, and availability of ePHI.</x:t>
        </x:is>
      </x:c>
      <x:c r="U96" s="5" t="inlineStr">
        <x:is>
          <x:t xml:space="preserve">Required implementation specification</x:t>
        </x:is>
      </x:c>
      <x:c r="V96" s="5" t="inlineStr">
        <x:is>
          <x:t xml:space="preserve">Administrative Safeguards</x:t>
        </x:is>
      </x:c>
      <x:c r="W96" s="28" t="inlineStr">
        <x:is>
          <x:t xml:space="preserve">https://www.ecfr.gov/current/title-45/subtitle-A/subchapter-C/part-164/section-164.308</x:t>
        </x:is>
      </x:c>
      <x:c r="X96" s="28" t="inlineStr">
        <x:is>
          <x:t xml:space="preserve">https://www.hhs.gov/hipaa/for-professionals/security/guidance/guidance-risk-analysis/index.html</x:t>
        </x:is>
      </x:c>
      <x:c r="Y96" s="5" t="inlineStr">
        <x:is>
          <x:t xml:space="preserve">45 C.F.R. § 164.308(a)(1)(ii)(B)</x:t>
        </x:is>
      </x:c>
      <x:c r="Z96" s="5" t="inlineStr">
        <x:is>
          <x:t xml:space="preserve">Security Management Process — Risk Management</x:t>
        </x:is>
      </x:c>
      <x:c r="AA96" s="5" t="inlineStr">
        <x:is>
          <x:t xml:space="preserve">Implement security measures sufficient to reduce identified risks and vulnerabilities to a reasonable and appropriate level.</x:t>
        </x:is>
      </x:c>
      <x:c r="AB96" s="5" t="inlineStr">
        <x:is>
          <x:t xml:space="preserve">Required implementation specification</x:t>
        </x:is>
      </x:c>
      <x:c r="AC96" s="5" t="inlineStr">
        <x:is>
          <x:t xml:space="preserve">Administrative Safeguards</x:t>
        </x:is>
      </x:c>
      <x:c r="AD96" s="28" t="inlineStr">
        <x:is>
          <x:t xml:space="preserve">https://www.ecfr.gov/current/title-45/subtitle-A/subchapter-C/part-164/section-164.308</x:t>
        </x:is>
      </x:c>
      <x:c r="AE96" s="28" t="inlineStr">
        <x:is>
          <x:t xml:space="preserve">https://www.hhs.gov/hipaa/for-professionals/security/guidance/guidance-risk-analysis/index.html</x:t>
        </x:is>
      </x:c>
      <x:c r="AF96" s="5" t="n"/>
      <x:c r="AG96" s="5" t="n"/>
      <x:c r="AH96" s="5" t="n"/>
      <x:c r="AI96" s="5" t="n"/>
      <x:c r="AJ96" s="5" t="n"/>
      <x:c r="AK96" s="5" t="n"/>
      <x:c r="AL96" s="5" t="n"/>
    </x:row>
    <x:row r="97" ht="30" customHeight="1">
      <x:c r="A97" s="5" t="inlineStr">
        <x:is>
          <x:t xml:space="preserve">HITRUST e1.csv</x:t>
        </x:is>
      </x:c>
      <x:c r="B97" s="5" t="inlineStr">
        <x:is>
          <x:t xml:space="preserve">ER-12</x:t>
        </x:is>
      </x:c>
      <x:c r="C97" s="5" t="inlineStr">
        <x:is>
          <x:t xml:space="preserve">Configuration</x:t>
        </x:is>
      </x:c>
      <x:c r="D97" s="5" t="inlineStr">
        <x:is>
          <x:t xml:space="preserve">List of All Production Systems (Servers, VMs, Data Stores)</x:t>
        </x:is>
      </x:c>
      <x:c r="E97" s="5" t="inlineStr">
        <x:is>
          <x:t xml:space="preserve">REQ-43-HIPAA</x:t>
        </x:is>
      </x:c>
      <x:c r="F97" s="5" t="inlineStr">
        <x:is>
          <x:t xml:space="preserve">0701.07a1Organizational.8</x:t>
        </x:is>
      </x:c>
      <x:c r="G97" s="5" t="inlineStr">
        <x:is>
          <x:t xml:space="preserve">Many:Many</x:t>
        </x:is>
      </x:c>
      <x:c r="H97" s="5" t="n">
        <x:v>1</x:v>
      </x:c>
      <x:c r="I97" s="5" t="inlineStr">
        <x:is>
          <x:t xml:space="preserve">45 CFR § 164.308(a)(1)(ii)(A); 45 CFR § 164.308(a)(1)(ii)(B)</x:t>
        </x:is>
      </x:c>
      <x:c r="J97" s="5" t="inlineStr">
        <x:is>
          <x:t xml:space="preserve">Security Management Process — Risk Analysis; Security Management Process — Risk Management</x:t>
        </x:is>
      </x:c>
      <x:c r="K97" s="5" t="inlineStr">
        <x:is>
          <x:t xml:space="preserve">Best-fit composite</x:t>
        </x:is>
      </x:c>
      <x:c r="L97" s="5" t="inlineStr">
        <x:is>
          <x:t xml:space="preserve">A production-systems inventory is supporting evidence for patch coverage and vulnerability scoping under risk analysis/risk management.</x:t>
        </x:is>
      </x:c>
      <x:c r="M97" s="28"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N97" s="5" t="inlineStr">
        <x:is>
          <x:t xml:space="preserve">OCR guidance treats a technology asset inventory as a valuable tool for accurate and thorough risk analysis.</x:t>
        </x:is>
      </x:c>
      <x:c r="O97" s="5" t="inlineStr">
        <x:is>
          <x:t xml:space="preserve">0701.07a1 Organizational.8</x:t>
        </x:is>
      </x:c>
      <x:c r="P97" s="5" t="n">
        <x:v>2</x:v>
      </x:c>
      <x:c r="Q97" s="5" t="n"/>
      <x:c r="R97" s="5" t="inlineStr">
        <x:is>
          <x:t xml:space="preserve">45 C.F.R. § 164.308(a)(1)(ii)(A)</x:t>
        </x:is>
      </x:c>
      <x:c r="S97" s="5" t="inlineStr">
        <x:is>
          <x:t xml:space="preserve">Security Management Process — Risk Analysis</x:t>
        </x:is>
      </x:c>
      <x:c r="T97" s="5" t="inlineStr">
        <x:is>
          <x:t xml:space="preserve">Conduct an accurate and thorough assessment of the potential risks and vulnerabilities to the confidentiality, integrity, and availability of ePHI.</x:t>
        </x:is>
      </x:c>
      <x:c r="U97" s="5" t="inlineStr">
        <x:is>
          <x:t xml:space="preserve">Required implementation specification</x:t>
        </x:is>
      </x:c>
      <x:c r="V97" s="5" t="inlineStr">
        <x:is>
          <x:t xml:space="preserve">Administrative Safeguards</x:t>
        </x:is>
      </x:c>
      <x:c r="W97" s="28" t="inlineStr">
        <x:is>
          <x:t xml:space="preserve">https://www.ecfr.gov/current/title-45/subtitle-A/subchapter-C/part-164/section-164.308</x:t>
        </x:is>
      </x:c>
      <x:c r="X97" s="28" t="inlineStr">
        <x:is>
          <x:t xml:space="preserve">https://www.hhs.gov/hipaa/for-professionals/security/guidance/guidance-risk-analysis/index.html</x:t>
        </x:is>
      </x:c>
      <x:c r="Y97" s="5" t="inlineStr">
        <x:is>
          <x:t xml:space="preserve">45 C.F.R. § 164.308(a)(1)(ii)(B)</x:t>
        </x:is>
      </x:c>
      <x:c r="Z97" s="5" t="inlineStr">
        <x:is>
          <x:t xml:space="preserve">Security Management Process — Risk Management</x:t>
        </x:is>
      </x:c>
      <x:c r="AA97" s="5" t="inlineStr">
        <x:is>
          <x:t xml:space="preserve">Implement security measures sufficient to reduce identified risks and vulnerabilities to a reasonable and appropriate level.</x:t>
        </x:is>
      </x:c>
      <x:c r="AB97" s="5" t="inlineStr">
        <x:is>
          <x:t xml:space="preserve">Required implementation specification</x:t>
        </x:is>
      </x:c>
      <x:c r="AC97" s="5" t="inlineStr">
        <x:is>
          <x:t xml:space="preserve">Administrative Safeguards</x:t>
        </x:is>
      </x:c>
      <x:c r="AD97" s="28" t="inlineStr">
        <x:is>
          <x:t xml:space="preserve">https://www.ecfr.gov/current/title-45/subtitle-A/subchapter-C/part-164/section-164.308</x:t>
        </x:is>
      </x:c>
      <x:c r="AE97" s="28" t="inlineStr">
        <x:is>
          <x:t xml:space="preserve">https://www.hhs.gov/hipaa/for-professionals/security/guidance/guidance-risk-analysis/index.html</x:t>
        </x:is>
      </x:c>
      <x:c r="AF97" s="5" t="n"/>
      <x:c r="AG97" s="5" t="n"/>
      <x:c r="AH97" s="5" t="n"/>
      <x:c r="AI97" s="5" t="n"/>
      <x:c r="AJ97" s="5" t="n"/>
      <x:c r="AK97" s="5" t="n"/>
      <x:c r="AL97" s="5" t="n"/>
    </x:row>
    <x:row r="98" ht="30" customHeight="1">
      <x:c r="A98" s="5" t="inlineStr">
        <x:is>
          <x:t xml:space="preserve">HITRUST e1.csv</x:t>
        </x:is>
      </x:c>
      <x:c r="B98" s="5" t="inlineStr">
        <x:is>
          <x:t xml:space="preserve">ER-83</x:t>
        </x:is>
      </x:c>
      <x:c r="C98" s="5" t="inlineStr">
        <x:is>
          <x:t xml:space="preserve">Configuration</x:t>
        </x:is>
      </x:c>
      <x:c r="D98" s="5" t="inlineStr">
        <x:is>
          <x:t xml:space="preserve">Network Diagram and Segmentation</x:t>
        </x:is>
      </x:c>
      <x:c r="E98" s="5" t="inlineStr">
        <x:is>
          <x:t xml:space="preserve">REQ-36-HIPAA</x:t>
        </x:is>
      </x:c>
      <x:c r="F98" s="5" t="inlineStr">
        <x:is>
          <x:t xml:space="preserve">0504.09m1Organizational.13</x:t>
        </x:is>
      </x:c>
      <x:c r="G98" s="5" t="inlineStr">
        <x:is>
          <x:t xml:space="preserve">1:Many</x:t>
        </x:is>
      </x:c>
      <x:c r="H98" s="5" t="n">
        <x:v>1</x:v>
      </x:c>
      <x:c r="I98" s="5" t="inlineStr">
        <x:is>
          <x:t xml:space="preserve">45 CFR § 164.312(a)(1)</x:t>
        </x:is>
      </x:c>
      <x:c r="J98" s="5" t="inlineStr">
        <x:is>
          <x:t xml:space="preserve">Access Control</x:t>
        </x:is>
      </x:c>
      <x:c r="K98" s="5" t="inlineStr">
        <x:is>
          <x:t xml:space="preserve">Best-fit</x:t>
        </x:is>
      </x:c>
      <x:c r="L98" s="5" t="inlineStr">
        <x:is>
          <x:t xml:space="preserve">HIPAA does not explicitly name network segmentation, but OCR guidance and enforcement materials cite segmentation as a way to implement access control between systems.</x:t>
        </x:is>
      </x:c>
      <x:c r="M98" s="28"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N98" s="5" t="inlineStr">
        <x:is>
          <x:t xml:space="preserve">Mapped as an access-control implementation example rather than a standalone named HIPAA implementation specification.</x:t>
        </x:is>
      </x:c>
      <x:c r="O98" s="5" t="inlineStr">
        <x:is>
          <x:t xml:space="preserve">0504.09m1 Organizational.13</x:t>
        </x:is>
      </x:c>
      <x:c r="P98" s="5" t="n">
        <x:v>1</x:v>
      </x:c>
      <x:c r="Q98" s="5" t="n"/>
      <x:c r="R98" s="5" t="inlineStr">
        <x:is>
          <x:t xml:space="preserve">45 C.F.R. § 164.312(a)(1)</x:t>
        </x:is>
      </x:c>
      <x:c r="S98" s="5" t="inlineStr">
        <x:is>
          <x:t xml:space="preserve">Access Control</x:t>
        </x:is>
      </x:c>
      <x:c r="T98" s="5" t="inlineStr">
        <x:is>
          <x:t xml:space="preserve">Implement technical policies and procedures for electronic information systems that maintain ePHI to allow access only to persons or software programs with authorized access rights.</x:t>
        </x:is>
      </x:c>
      <x:c r="U98" s="5" t="inlineStr">
        <x:is>
          <x:t xml:space="preserve">Standard</x:t>
        </x:is>
      </x:c>
      <x:c r="V98" s="5" t="inlineStr">
        <x:is>
          <x:t xml:space="preserve">Technical Safeguards</x:t>
        </x:is>
      </x:c>
      <x:c r="W98" s="28" t="inlineStr">
        <x:is>
          <x:t xml:space="preserve">https://www.ecfr.gov/current/title-45/subtitle-A/subchapter-C/part-164/section-164.312</x:t>
        </x:is>
      </x:c>
      <x:c r="X98" s="28" t="inlineStr">
        <x:is>
          <x:t xml:space="preserve">https://www.hhs.gov/hipaa/for-professionals/compliance-enforcement/audit/protocol-edited/index.html</x:t>
        </x:is>
      </x:c>
      <x:c r="Y98" s="5" t="n"/>
      <x:c r="Z98" s="5" t="n"/>
      <x:c r="AA98" s="5" t="n"/>
      <x:c r="AB98" s="5" t="n"/>
      <x:c r="AC98" s="5" t="n"/>
      <x:c r="AD98" s="5" t="n"/>
      <x:c r="AE98" s="5" t="n"/>
      <x:c r="AF98" s="5" t="n"/>
      <x:c r="AG98" s="5" t="n"/>
      <x:c r="AH98" s="5" t="n"/>
      <x:c r="AI98" s="5" t="n"/>
      <x:c r="AJ98" s="5" t="n"/>
      <x:c r="AK98" s="5" t="n"/>
      <x:c r="AL98" s="5" t="n"/>
    </x:row>
    <x:row r="99" ht="30" customHeight="1">
      <x:c r="A99" s="5" t="inlineStr">
        <x:is>
          <x:t xml:space="preserve">HITRUST e1.csv</x:t>
        </x:is>
      </x:c>
      <x:c r="B99" s="5" t="inlineStr">
        <x:is>
          <x:t xml:space="preserve">ER-83</x:t>
        </x:is>
      </x:c>
      <x:c r="C99" s="5" t="inlineStr">
        <x:is>
          <x:t xml:space="preserve">Configuration</x:t>
        </x:is>
      </x:c>
      <x:c r="D99" s="5" t="inlineStr">
        <x:is>
          <x:t xml:space="preserve">Network Diagram and Segmentation</x:t>
        </x:is>
      </x:c>
      <x:c r="E99" s="5" t="inlineStr">
        <x:is>
          <x:t xml:space="preserve">REQ-36-HIPAA</x:t>
        </x:is>
      </x:c>
      <x:c r="F99" s="5" t="inlineStr">
        <x:is>
          <x:t xml:space="preserve">0805.01m1Organizational.12</x:t>
        </x:is>
      </x:c>
      <x:c r="G99" s="5" t="inlineStr">
        <x:is>
          <x:t xml:space="preserve">1:Many</x:t>
        </x:is>
      </x:c>
      <x:c r="H99" s="5" t="n">
        <x:v>1</x:v>
      </x:c>
      <x:c r="I99" s="5" t="inlineStr">
        <x:is>
          <x:t xml:space="preserve">45 CFR § 164.312(a)(1)</x:t>
        </x:is>
      </x:c>
      <x:c r="J99" s="5" t="inlineStr">
        <x:is>
          <x:t xml:space="preserve">Access Control</x:t>
        </x:is>
      </x:c>
      <x:c r="K99" s="5" t="inlineStr">
        <x:is>
          <x:t xml:space="preserve">Best-fit</x:t>
        </x:is>
      </x:c>
      <x:c r="L99" s="5" t="inlineStr">
        <x:is>
          <x:t xml:space="preserve">HIPAA does not explicitly name network segmentation, but OCR guidance and enforcement materials cite segmentation as a way to implement access control between systems.</x:t>
        </x:is>
      </x:c>
      <x:c r="M99" s="28"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N99" s="5" t="inlineStr">
        <x:is>
          <x:t xml:space="preserve">Mapped as an access-control implementation example rather than a standalone named HIPAA implementation specification.</x:t>
        </x:is>
      </x:c>
      <x:c r="O99" s="5" t="inlineStr">
        <x:is>
          <x:t xml:space="preserve">0805.01m1 Organizational.12</x:t>
        </x:is>
      </x:c>
      <x:c r="P99" s="5" t="n">
        <x:v>1</x:v>
      </x:c>
      <x:c r="Q99" s="5" t="n"/>
      <x:c r="R99" s="5" t="inlineStr">
        <x:is>
          <x:t xml:space="preserve">45 C.F.R. § 164.312(a)(1)</x:t>
        </x:is>
      </x:c>
      <x:c r="S99" s="5" t="inlineStr">
        <x:is>
          <x:t xml:space="preserve">Access Control</x:t>
        </x:is>
      </x:c>
      <x:c r="T99" s="5" t="inlineStr">
        <x:is>
          <x:t xml:space="preserve">Implement technical policies and procedures for electronic information systems that maintain ePHI to allow access only to persons or software programs with authorized access rights.</x:t>
        </x:is>
      </x:c>
      <x:c r="U99" s="5" t="inlineStr">
        <x:is>
          <x:t xml:space="preserve">Standard</x:t>
        </x:is>
      </x:c>
      <x:c r="V99" s="5" t="inlineStr">
        <x:is>
          <x:t xml:space="preserve">Technical Safeguards</x:t>
        </x:is>
      </x:c>
      <x:c r="W99" s="28" t="inlineStr">
        <x:is>
          <x:t xml:space="preserve">https://www.ecfr.gov/current/title-45/subtitle-A/subchapter-C/part-164/section-164.312</x:t>
        </x:is>
      </x:c>
      <x:c r="X99" s="28" t="inlineStr">
        <x:is>
          <x:t xml:space="preserve">https://www.hhs.gov/hipaa/for-professionals/compliance-enforcement/audit/protocol-edited/index.html</x:t>
        </x:is>
      </x:c>
      <x:c r="Y99" s="5" t="n"/>
      <x:c r="Z99" s="5" t="n"/>
      <x:c r="AA99" s="5" t="n"/>
      <x:c r="AB99" s="5" t="n"/>
      <x:c r="AC99" s="5" t="n"/>
      <x:c r="AD99" s="5" t="n"/>
      <x:c r="AE99" s="5" t="n"/>
      <x:c r="AF99" s="5" t="n"/>
      <x:c r="AG99" s="5" t="n"/>
      <x:c r="AH99" s="5" t="n"/>
      <x:c r="AI99" s="5" t="n"/>
      <x:c r="AJ99" s="5" t="n"/>
      <x:c r="AK99" s="5" t="n"/>
      <x:c r="AL99" s="5" t="n"/>
    </x:row>
    <x:row r="100" ht="30" customHeight="1">
      <x:c r="A100" s="5" t="inlineStr">
        <x:is>
          <x:t xml:space="preserve">HITRUST e1.csv</x:t>
        </x:is>
      </x:c>
      <x:c r="B100" s="5" t="inlineStr">
        <x:is>
          <x:t xml:space="preserve">ER-89</x:t>
        </x:is>
      </x:c>
      <x:c r="C100" s="5" t="inlineStr">
        <x:is>
          <x:t xml:space="preserve">Sample</x:t>
        </x:is>
      </x:c>
      <x:c r="D100" s="5" t="inlineStr">
        <x:is>
          <x:t xml:space="preserve">New Hire Access Request Form</x:t>
        </x:is>
      </x:c>
      <x:c r="E100" s="5" t="inlineStr">
        <x:is>
          <x:t xml:space="preserve">REQ-30-HIPAA</x:t>
        </x:is>
      </x:c>
      <x:c r="F100" s="5" t="inlineStr">
        <x:is>
          <x:t xml:space="preserve">1143.01c1System.123</x:t>
        </x:is>
      </x:c>
      <x:c r="G100" s="5" t="inlineStr">
        <x:is>
          <x:t xml:space="preserve">1:1</x:t>
        </x:is>
      </x:c>
      <x:c r="H100" s="5" t="n">
        <x:v>1</x:v>
      </x:c>
      <x:c r="I100" s="5" t="inlineStr">
        <x:is>
          <x:t xml:space="preserve">45 CFR § 164.308(a)(4)(ii)(B)</x:t>
        </x:is>
      </x:c>
      <x:c r="J100" s="5" t="inlineStr">
        <x:is>
          <x:t xml:space="preserve">Information Access Management — Access Authorization</x:t>
        </x:is>
      </x:c>
      <x:c r="K100" s="5" t="inlineStr">
        <x:is>
          <x:t xml:space="preserve">Direct</x:t>
        </x:is>
      </x:c>
      <x:c r="L100" s="5" t="inlineStr">
        <x:is>
          <x:t xml:space="preserve">New-hire access request and approval evidence aligns directly to access authorization.</x:t>
        </x:is>
      </x:c>
      <x:c r="M100"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N100" s="5" t="inlineStr">
        <x:is>
          <x:t xml:space="preserve">Used for access-request forms/templates and access-control rows that center on approvals.</x:t>
        </x:is>
      </x:c>
      <x:c r="O100" s="5" t="inlineStr">
        <x:is>
          <x:t xml:space="preserve">1143.01c1 System.123</x:t>
        </x:is>
      </x:c>
      <x:c r="P100" s="5" t="n">
        <x:v>1</x:v>
      </x:c>
      <x:c r="Q100" s="5" t="n"/>
      <x:c r="R100" s="5" t="inlineStr">
        <x:is>
          <x:t xml:space="preserve">45 C.F.R. § 164.308(a)(4)(ii)(B)</x:t>
        </x:is>
      </x:c>
      <x:c r="S100" s="5" t="inlineStr">
        <x:is>
          <x:t xml:space="preserve">Information Access Management — Access Authorization</x:t>
        </x:is>
      </x:c>
      <x:c r="T100" s="5" t="inlineStr">
        <x:is>
          <x:t xml:space="preserve">Implement policies and procedures for granting access to ePHI through appropriate mechanisms such as workstations, transactions, programs, or processes.</x:t>
        </x:is>
      </x:c>
      <x:c r="U100" s="5" t="inlineStr">
        <x:is>
          <x:t xml:space="preserve">Addressable implementation specification</x:t>
        </x:is>
      </x:c>
      <x:c r="V100" s="5" t="inlineStr">
        <x:is>
          <x:t xml:space="preserve">Administrative Safeguards</x:t>
        </x:is>
      </x:c>
      <x:c r="W100" s="28" t="inlineStr">
        <x:is>
          <x:t xml:space="preserve">https://www.ecfr.gov/current/title-45/subtitle-A/subchapter-C/part-164/section-164.308</x:t>
        </x:is>
      </x:c>
      <x:c r="X100" s="28" t="inlineStr">
        <x:is>
          <x:t xml:space="preserve">https://www.hhs.gov/hipaa/for-professionals/compliance-enforcement/audit/protocol-edited/index.html</x:t>
        </x:is>
      </x:c>
      <x:c r="Y100" s="5" t="n"/>
      <x:c r="Z100" s="5" t="n"/>
      <x:c r="AA100" s="5" t="n"/>
      <x:c r="AB100" s="5" t="n"/>
      <x:c r="AC100" s="5" t="n"/>
      <x:c r="AD100" s="5" t="n"/>
      <x:c r="AE100" s="5" t="n"/>
      <x:c r="AF100" s="5" t="n"/>
      <x:c r="AG100" s="5" t="n"/>
      <x:c r="AH100" s="5" t="n"/>
      <x:c r="AI100" s="5" t="n"/>
      <x:c r="AJ100" s="5" t="n"/>
      <x:c r="AK100" s="5" t="n"/>
      <x:c r="AL100" s="5" t="n"/>
    </x:row>
    <x:row r="101" ht="30" customHeight="1">
      <x:c r="A101" s="5" t="inlineStr">
        <x:is>
          <x:t xml:space="preserve">HITRUST e1.csv</x:t>
        </x:is>
      </x:c>
      <x:c r="B101" s="5" t="inlineStr">
        <x:is>
          <x:t xml:space="preserve">ER-33</x:t>
        </x:is>
      </x:c>
      <x:c r="C101" s="5" t="inlineStr">
        <x:is>
          <x:t xml:space="preserve">Sample</x:t>
        </x:is>
      </x:c>
      <x:c r="D101" s="5" t="inlineStr">
        <x:is>
          <x:t xml:space="preserve">New Hire Security Awareness Training</x:t>
        </x:is>
      </x:c>
      <x:c r="E101" s="5" t="inlineStr">
        <x:is>
          <x:t xml:space="preserve">REQ-12-HIPAA</x:t>
        </x:is>
      </x:c>
      <x:c r="F101" s="5" t="inlineStr">
        <x:is>
          <x:t xml:space="preserve">13.02e1Organizational.6</x:t>
        </x:is>
      </x:c>
      <x:c r="G101" s="5" t="inlineStr">
        <x:is>
          <x:t xml:space="preserve">1:Many</x:t>
        </x:is>
      </x:c>
      <x:c r="H101" s="5" t="n">
        <x:v>1</x:v>
      </x:c>
      <x:c r="I101" s="5" t="inlineStr">
        <x:is>
          <x:t xml:space="preserve">45 CFR § 164.308(a)(5)</x:t>
        </x:is>
      </x:c>
      <x:c r="J101" s="5" t="inlineStr">
        <x:is>
          <x:t xml:space="preserve">Security Awareness and Training</x:t>
        </x:is>
      </x:c>
      <x:c r="K101" s="5" t="inlineStr">
        <x:is>
          <x:t xml:space="preserve">Direct</x:t>
        </x:is>
      </x:c>
      <x:c r="L101" s="5" t="inlineStr">
        <x:is>
          <x:t xml:space="preserve">Action item and control context align to workforce security-awareness training for new hires.</x:t>
        </x:is>
      </x:c>
      <x:c r="M101"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101" s="5" t="inlineStr">
        <x:is>
          <x:t xml:space="preserve">Mapped at the standard level because the spreadsheet does not break new-hire training into the more granular addressable sub-specifications.</x:t>
        </x:is>
      </x:c>
      <x:c r="O101" s="5" t="inlineStr">
        <x:is>
          <x:t xml:space="preserve">13.02e1 Organizational.6</x:t>
        </x:is>
      </x:c>
      <x:c r="P101" s="5" t="n">
        <x:v>1</x:v>
      </x:c>
      <x:c r="Q101" s="5" t="n"/>
      <x:c r="R101" s="5" t="inlineStr">
        <x:is>
          <x:t xml:space="preserve">45 C.F.R. § 164.308(a)(5)</x:t>
        </x:is>
      </x:c>
      <x:c r="S101" s="5" t="inlineStr">
        <x:is>
          <x:t xml:space="preserve">Security Awareness and Training</x:t>
        </x:is>
      </x:c>
      <x:c r="T101" s="5" t="inlineStr">
        <x:is>
          <x:t xml:space="preserve">Implement a security awareness and training program for all members of the workforce, including management.</x:t>
        </x:is>
      </x:c>
      <x:c r="U101" s="5" t="inlineStr">
        <x:is>
          <x:t xml:space="preserve">Standard</x:t>
        </x:is>
      </x:c>
      <x:c r="V101" s="5" t="inlineStr">
        <x:is>
          <x:t xml:space="preserve">Administrative Safeguards</x:t>
        </x:is>
      </x:c>
      <x:c r="W101" s="28" t="inlineStr">
        <x:is>
          <x:t xml:space="preserve">https://www.ecfr.gov/current/title-45/subtitle-A/subchapter-C/part-164/section-164.308</x:t>
        </x:is>
      </x:c>
      <x:c r="X101" s="28" t="inlineStr">
        <x:is>
          <x:t xml:space="preserve">https://www.hhs.gov/sites/default/files/ocr/privacy/hipaa/administrative/securityrule/adminsafeguards.pdf</x:t>
        </x:is>
      </x:c>
      <x:c r="Y101" s="5" t="n"/>
      <x:c r="Z101" s="5" t="n"/>
      <x:c r="AA101" s="5" t="n"/>
      <x:c r="AB101" s="5" t="n"/>
      <x:c r="AC101" s="5" t="n"/>
      <x:c r="AD101" s="5" t="n"/>
      <x:c r="AE101" s="5" t="n"/>
      <x:c r="AF101" s="5" t="n"/>
      <x:c r="AG101" s="5" t="n"/>
      <x:c r="AH101" s="5" t="n"/>
      <x:c r="AI101" s="5" t="n"/>
      <x:c r="AJ101" s="5" t="n"/>
      <x:c r="AK101" s="5" t="n"/>
      <x:c r="AL101" s="5" t="n"/>
    </x:row>
    <x:row r="102" ht="30" customHeight="1">
      <x:c r="A102" s="5" t="inlineStr">
        <x:is>
          <x:t xml:space="preserve">HITRUST e1.csv</x:t>
        </x:is>
      </x:c>
      <x:c r="B102" s="5" t="inlineStr">
        <x:is>
          <x:t xml:space="preserve">ER-33</x:t>
        </x:is>
      </x:c>
      <x:c r="C102" s="5" t="inlineStr">
        <x:is>
          <x:t xml:space="preserve">Sample</x:t>
        </x:is>
      </x:c>
      <x:c r="D102" s="5" t="inlineStr">
        <x:is>
          <x:t xml:space="preserve">New Hire Security Awareness Training</x:t>
        </x:is>
      </x:c>
      <x:c r="E102" s="5" t="inlineStr">
        <x:is>
          <x:t xml:space="preserve">REQ-12-HIPAA</x:t>
        </x:is>
      </x:c>
      <x:c r="F102" s="5" t="inlineStr">
        <x:is>
          <x:t xml:space="preserve">1308.09j1Organizational.5.a</x:t>
        </x:is>
      </x:c>
      <x:c r="G102" s="5" t="inlineStr">
        <x:is>
          <x:t xml:space="preserve">1:Many</x:t>
        </x:is>
      </x:c>
      <x:c r="H102" s="5" t="n">
        <x:v>1</x:v>
      </x:c>
      <x:c r="I102" s="5" t="inlineStr">
        <x:is>
          <x:t xml:space="preserve">45 CFR § 164.308(a)(5)</x:t>
        </x:is>
      </x:c>
      <x:c r="J102" s="5" t="inlineStr">
        <x:is>
          <x:t xml:space="preserve">Security Awareness and Training</x:t>
        </x:is>
      </x:c>
      <x:c r="K102" s="5" t="inlineStr">
        <x:is>
          <x:t xml:space="preserve">Direct</x:t>
        </x:is>
      </x:c>
      <x:c r="L102" s="5" t="inlineStr">
        <x:is>
          <x:t xml:space="preserve">Action item and control context align to workforce security-awareness training for new hires.</x:t>
        </x:is>
      </x:c>
      <x:c r="M102"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102" s="5" t="inlineStr">
        <x:is>
          <x:t xml:space="preserve">Mapped at the standard level because the spreadsheet does not break new-hire training into the more granular addressable sub-specifications.</x:t>
        </x:is>
      </x:c>
      <x:c r="O102" s="5" t="inlineStr">
        <x:is>
          <x:t xml:space="preserve">1308.09j1 Organizational.5.a</x:t>
        </x:is>
      </x:c>
      <x:c r="P102" s="5" t="n">
        <x:v>1</x:v>
      </x:c>
      <x:c r="Q102" s="5" t="n"/>
      <x:c r="R102" s="5" t="inlineStr">
        <x:is>
          <x:t xml:space="preserve">45 C.F.R. § 164.308(a)(5)</x:t>
        </x:is>
      </x:c>
      <x:c r="S102" s="5" t="inlineStr">
        <x:is>
          <x:t xml:space="preserve">Security Awareness and Training</x:t>
        </x:is>
      </x:c>
      <x:c r="T102" s="5" t="inlineStr">
        <x:is>
          <x:t xml:space="preserve">Implement a security awareness and training program for all members of the workforce, including management.</x:t>
        </x:is>
      </x:c>
      <x:c r="U102" s="5" t="inlineStr">
        <x:is>
          <x:t xml:space="preserve">Standard</x:t>
        </x:is>
      </x:c>
      <x:c r="V102" s="5" t="inlineStr">
        <x:is>
          <x:t xml:space="preserve">Administrative Safeguards</x:t>
        </x:is>
      </x:c>
      <x:c r="W102" s="28" t="inlineStr">
        <x:is>
          <x:t xml:space="preserve">https://www.ecfr.gov/current/title-45/subtitle-A/subchapter-C/part-164/section-164.308</x:t>
        </x:is>
      </x:c>
      <x:c r="X102" s="28" t="inlineStr">
        <x:is>
          <x:t xml:space="preserve">https://www.hhs.gov/sites/default/files/ocr/privacy/hipaa/administrative/securityrule/adminsafeguards.pdf</x:t>
        </x:is>
      </x:c>
      <x:c r="Y102" s="5" t="n"/>
      <x:c r="Z102" s="5" t="n"/>
      <x:c r="AA102" s="5" t="n"/>
      <x:c r="AB102" s="5" t="n"/>
      <x:c r="AC102" s="5" t="n"/>
      <x:c r="AD102" s="5" t="n"/>
      <x:c r="AE102" s="5" t="n"/>
      <x:c r="AF102" s="5" t="n"/>
      <x:c r="AG102" s="5" t="n"/>
      <x:c r="AH102" s="5" t="n"/>
      <x:c r="AI102" s="5" t="n"/>
      <x:c r="AJ102" s="5" t="n"/>
      <x:c r="AK102" s="5" t="n"/>
      <x:c r="AL102" s="5" t="n"/>
    </x:row>
    <x:row r="103" ht="30" customHeight="1">
      <x:c r="A103" s="5" t="inlineStr">
        <x:is>
          <x:t xml:space="preserve">HITRUST e1.csv</x:t>
        </x:is>
      </x:c>
      <x:c r="B103" s="5" t="inlineStr">
        <x:is>
          <x:t xml:space="preserve">ER-33</x:t>
        </x:is>
      </x:c>
      <x:c r="C103" s="5" t="inlineStr">
        <x:is>
          <x:t xml:space="preserve">Sample</x:t>
        </x:is>
      </x:c>
      <x:c r="D103" s="5" t="inlineStr">
        <x:is>
          <x:t xml:space="preserve">New Hire Security Awareness Training</x:t>
        </x:is>
      </x:c>
      <x:c r="E103" s="5" t="inlineStr">
        <x:is>
          <x:t xml:space="preserve">REQ-12-HIPAA</x:t>
        </x:is>
      </x:c>
      <x:c r="F103" s="5" t="inlineStr">
        <x:is>
          <x:t xml:space="preserve">13998.02e1Organizational.2</x:t>
        </x:is>
      </x:c>
      <x:c r="G103" s="5" t="inlineStr">
        <x:is>
          <x:t xml:space="preserve">1:Many</x:t>
        </x:is>
      </x:c>
      <x:c r="H103" s="5" t="n">
        <x:v>1</x:v>
      </x:c>
      <x:c r="I103" s="5" t="inlineStr">
        <x:is>
          <x:t xml:space="preserve">45 CFR § 164.308(a)(5)</x:t>
        </x:is>
      </x:c>
      <x:c r="J103" s="5" t="inlineStr">
        <x:is>
          <x:t xml:space="preserve">Security Awareness and Training</x:t>
        </x:is>
      </x:c>
      <x:c r="K103" s="5" t="inlineStr">
        <x:is>
          <x:t xml:space="preserve">Direct</x:t>
        </x:is>
      </x:c>
      <x:c r="L103" s="5" t="inlineStr">
        <x:is>
          <x:t xml:space="preserve">Action item and control context align to workforce security-awareness training for new hires.</x:t>
        </x:is>
      </x:c>
      <x:c r="M103"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N103" s="5" t="inlineStr">
        <x:is>
          <x:t xml:space="preserve">Mapped at the standard level because the spreadsheet does not break new-hire training into the more granular addressable sub-specifications.</x:t>
        </x:is>
      </x:c>
      <x:c r="O103" s="5" t="inlineStr">
        <x:is>
          <x:t xml:space="preserve">13998.02e1 Organizational.2</x:t>
        </x:is>
      </x:c>
      <x:c r="P103" s="5" t="n">
        <x:v>1</x:v>
      </x:c>
      <x:c r="Q103" s="5" t="n"/>
      <x:c r="R103" s="5" t="inlineStr">
        <x:is>
          <x:t xml:space="preserve">45 C.F.R. § 164.308(a)(5)</x:t>
        </x:is>
      </x:c>
      <x:c r="S103" s="5" t="inlineStr">
        <x:is>
          <x:t xml:space="preserve">Security Awareness and Training</x:t>
        </x:is>
      </x:c>
      <x:c r="T103" s="5" t="inlineStr">
        <x:is>
          <x:t xml:space="preserve">Implement a security awareness and training program for all members of the workforce, including management.</x:t>
        </x:is>
      </x:c>
      <x:c r="U103" s="5" t="inlineStr">
        <x:is>
          <x:t xml:space="preserve">Standard</x:t>
        </x:is>
      </x:c>
      <x:c r="V103" s="5" t="inlineStr">
        <x:is>
          <x:t xml:space="preserve">Administrative Safeguards</x:t>
        </x:is>
      </x:c>
      <x:c r="W103" s="28" t="inlineStr">
        <x:is>
          <x:t xml:space="preserve">https://www.ecfr.gov/current/title-45/subtitle-A/subchapter-C/part-164/section-164.308</x:t>
        </x:is>
      </x:c>
      <x:c r="X103" s="28" t="inlineStr">
        <x:is>
          <x:t xml:space="preserve">https://www.hhs.gov/sites/default/files/ocr/privacy/hipaa/administrative/securityrule/adminsafeguards.pdf</x:t>
        </x:is>
      </x:c>
      <x:c r="Y103" s="5" t="n"/>
      <x:c r="Z103" s="5" t="n"/>
      <x:c r="AA103" s="5" t="n"/>
      <x:c r="AB103" s="5" t="n"/>
      <x:c r="AC103" s="5" t="n"/>
      <x:c r="AD103" s="5" t="n"/>
      <x:c r="AE103" s="5" t="n"/>
      <x:c r="AF103" s="5" t="n"/>
      <x:c r="AG103" s="5" t="n"/>
      <x:c r="AH103" s="5" t="n"/>
      <x:c r="AI103" s="5" t="n"/>
      <x:c r="AJ103" s="5" t="n"/>
      <x:c r="AK103" s="5" t="n"/>
      <x:c r="AL103" s="5" t="n"/>
    </x:row>
    <x:row r="104" ht="30" customHeight="1">
      <x:c r="A104" s="5" t="inlineStr">
        <x:is>
          <x:t xml:space="preserve">HITRUST e1.csv</x:t>
        </x:is>
      </x:c>
      <x:c r="B104" s="5" t="inlineStr">
        <x:is>
          <x:t xml:space="preserve">ER-67</x:t>
        </x:is>
      </x:c>
      <x:c r="C104" s="5" t="inlineStr">
        <x:is>
          <x:t xml:space="preserve">Configuration</x:t>
        </x:is>
      </x:c>
      <x:c r="D104" s="5" t="inlineStr">
        <x:is>
          <x:t xml:space="preserve">Password Vault and Shared Accounts</x:t>
        </x:is>
      </x:c>
      <x:c r="E104" s="5" t="inlineStr">
        <x:is>
          <x:t xml:space="preserve">REQ-28-HIPAA</x:t>
        </x:is>
      </x:c>
      <x:c r="F104" s="5" t="inlineStr">
        <x:is>
          <x:t xml:space="preserve">1123.01q1System.2</x:t>
        </x:is>
      </x:c>
      <x:c r="G104" s="5" t="inlineStr">
        <x:is>
          <x:t xml:space="preserve">Many:1</x:t>
        </x:is>
      </x:c>
      <x:c r="H104" s="5" t="n">
        <x:v>1</x:v>
      </x:c>
      <x:c r="I104" s="5" t="inlineStr">
        <x:is>
          <x:t xml:space="preserve">45 CFR § 164.312(a)(2)(i); 45 CFR § 164.308(a)(4)(ii)(C)</x:t>
        </x:is>
      </x:c>
      <x:c r="J104" s="5" t="inlineStr">
        <x:is>
          <x:t xml:space="preserve">Access Control — Unique User Identification; Information Access Management — Access Establishment and Modification</x:t>
        </x:is>
      </x:c>
      <x:c r="K104" s="5" t="inlineStr">
        <x:is>
          <x:t xml:space="preserve">Composite</x:t>
        </x:is>
      </x:c>
      <x:c r="L104" s="5" t="inlineStr">
        <x:is>
          <x:t xml:space="preserve">Password-vault/shared-account and privileged-access evidence supports unique attribution of user activity and management of privileged rights.</x:t>
        </x:is>
      </x:c>
      <x:c r="M104" s="28"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https://www.hhs.gov/sites/default/files/ocr/privacy/hipaa/administrative/securityrule/adminsafeguards.pdf</x:t>
        </x:is>
      </x:c>
      <x:c r="N104" s="5" t="inlineStr">
        <x:is>
          <x:t xml:space="preserve">Shared or generic-account controls are best matched to unique user identification, with access-right administration as a secondary basis.</x:t>
        </x:is>
      </x:c>
      <x:c r="O104" s="5" t="inlineStr">
        <x:is>
          <x:t xml:space="preserve">1123.01q1 System.2</x:t>
        </x:is>
      </x:c>
      <x:c r="P104" s="5" t="n">
        <x:v>2</x:v>
      </x:c>
      <x:c r="Q104" s="5" t="n"/>
      <x:c r="R104" s="5" t="inlineStr">
        <x:is>
          <x:t xml:space="preserve">45 C.F.R. § 164.312(a)(2)(i)</x:t>
        </x:is>
      </x:c>
      <x:c r="S104" s="5" t="inlineStr">
        <x:is>
          <x:t xml:space="preserve">Access Control — Unique User Identification</x:t>
        </x:is>
      </x:c>
      <x:c r="T104" s="5" t="inlineStr">
        <x:is>
          <x:t xml:space="preserve">Assign a unique name and/or number for identifying and tracking user identity.</x:t>
        </x:is>
      </x:c>
      <x:c r="U104" s="5" t="inlineStr">
        <x:is>
          <x:t xml:space="preserve">Required implementation specification</x:t>
        </x:is>
      </x:c>
      <x:c r="V104" s="5" t="inlineStr">
        <x:is>
          <x:t xml:space="preserve">Technical Safeguards</x:t>
        </x:is>
      </x:c>
      <x:c r="W104" s="28" t="inlineStr">
        <x:is>
          <x:t xml:space="preserve">https://www.ecfr.gov/current/title-45/subtitle-A/subchapter-C/part-164/section-164.312</x:t>
        </x:is>
      </x:c>
      <x:c r="X104" s="28" t="inlineStr">
        <x:is>
          <x:t xml:space="preserve">https://www.hhs.gov/hipaa/for-professionals/compliance-enforcement/audit/protocol-edited/index.html</x:t>
        </x:is>
      </x:c>
      <x:c r="Y104" s="5" t="inlineStr">
        <x:is>
          <x:t xml:space="preserve">45 C.F.R. § 164.308(a)(4)(ii)(C)</x:t>
        </x:is>
      </x:c>
      <x:c r="Z104" s="5" t="inlineStr">
        <x:is>
          <x:t xml:space="preserve">Information Access Management — Access Establishment and Modification</x:t>
        </x:is>
      </x:c>
      <x:c r="AA104" s="5" t="inlineStr">
        <x:is>
          <x:t xml:space="preserve">Implement policies and procedures to establish, document, review, and modify a user’s right of access to a workstation, transaction, program, or process.</x:t>
        </x:is>
      </x:c>
      <x:c r="AB104" s="5" t="inlineStr">
        <x:is>
          <x:t xml:space="preserve">Addressable implementation specification</x:t>
        </x:is>
      </x:c>
      <x:c r="AC104" s="5" t="inlineStr">
        <x:is>
          <x:t xml:space="preserve">Administrative Safeguards</x:t>
        </x:is>
      </x:c>
      <x:c r="AD104" s="28" t="inlineStr">
        <x:is>
          <x:t xml:space="preserve">https://www.ecfr.gov/current/title-45/subtitle-A/subchapter-C/part-164/section-164.308</x:t>
        </x:is>
      </x:c>
      <x:c r="AE104" s="28" t="inlineStr">
        <x:is>
          <x:t xml:space="preserve">https://www.hhs.gov/hipaa/for-professionals/compliance-enforcement/audit/protocol-edited/index.html</x:t>
        </x:is>
      </x:c>
      <x:c r="AF104" s="5" t="n"/>
      <x:c r="AG104" s="5" t="n"/>
      <x:c r="AH104" s="5" t="n"/>
      <x:c r="AI104" s="5" t="n"/>
      <x:c r="AJ104" s="5" t="n"/>
      <x:c r="AK104" s="5" t="n"/>
      <x:c r="AL104" s="5" t="n"/>
    </x:row>
    <x:row r="105" ht="30" customHeight="1">
      <x:c r="A105" s="5" t="inlineStr">
        <x:is>
          <x:t xml:space="preserve">HITRUST e1.csv</x:t>
        </x:is>
      </x:c>
      <x:c r="B105" s="5" t="inlineStr">
        <x:is>
          <x:t xml:space="preserve">ER-67</x:t>
        </x:is>
      </x:c>
      <x:c r="C105" s="5" t="inlineStr">
        <x:is>
          <x:t xml:space="preserve">Configuration</x:t>
        </x:is>
      </x:c>
      <x:c r="D105" s="5" t="inlineStr">
        <x:is>
          <x:t xml:space="preserve">Password Vault and Shared Accounts</x:t>
        </x:is>
      </x:c>
      <x:c r="E105" s="5" t="inlineStr">
        <x:is>
          <x:t xml:space="preserve">REQ-31-HIPAA</x:t>
        </x:is>
      </x:c>
      <x:c r="F105" s="5" t="inlineStr">
        <x:is>
          <x:t xml:space="preserve">1123.01q1System.2</x:t>
        </x:is>
      </x:c>
      <x:c r="G105" s="5" t="inlineStr">
        <x:is>
          <x:t xml:space="preserve">Many:1</x:t>
        </x:is>
      </x:c>
      <x:c r="H105" s="5" t="n">
        <x:v>1</x:v>
      </x:c>
      <x:c r="I105" s="5" t="inlineStr">
        <x:is>
          <x:t xml:space="preserve">45 CFR § 164.308(a)(3)(ii)(C); 45 CFR § 164.312(a)(2)(i)</x:t>
        </x:is>
      </x:c>
      <x:c r="J105" s="5" t="inlineStr">
        <x:is>
          <x:t xml:space="preserve">Workforce Security — Termination Procedures; Access Control — Unique User Identification</x:t>
        </x:is>
      </x:c>
      <x:c r="K105" s="5" t="inlineStr">
        <x:is>
          <x:t xml:space="preserve">Composite</x:t>
        </x:is>
      </x:c>
      <x:c r="L105" s="5" t="inlineStr">
        <x:is>
          <x:t xml:space="preserve">Shared-account and privileged-access listings support timely removal of departing users and accountability for access tied to individuals.</x:t>
        </x:is>
      </x:c>
      <x:c r="M105" s="28" t="inlineStr">
        <x:is>
          <x:t xml:space="preserve">https://www.ecfr.gov/current/title-45/subtitle-A/subchapter-C/part-164/section-164.308 | https://www.ecfr.gov/current/title-45/subtitle-A/subchapter-C/part-164/section-164.312 | https://www.hhs.gov/hipaa/for-professionals/compliance-enforcement/audit/protocol/index.html | https://www.hhs.gov/hipaa/for-professionals/security/guidance/cybersecurity-newsletter-summer-2019/index.html</x:t>
        </x:is>
      </x:c>
      <x:c r="N105" s="5" t="inlineStr">
        <x:is>
          <x:t xml:space="preserve">Best read as supporting evidence that terminated users are removed from shared/privileged access paths.</x:t>
        </x:is>
      </x:c>
      <x:c r="O105" s="5" t="inlineStr">
        <x:is>
          <x:t xml:space="preserve">1123.01q1 System.2</x:t>
        </x:is>
      </x:c>
      <x:c r="P105" s="5" t="n">
        <x:v>2</x:v>
      </x:c>
      <x:c r="Q105" s="5" t="n"/>
      <x:c r="R105" s="5" t="inlineStr">
        <x:is>
          <x:t xml:space="preserve">45 C.F.R. § 164.308(a)(3)(ii)(C)</x:t>
        </x:is>
      </x:c>
      <x:c r="S105" s="5" t="inlineStr">
        <x:is>
          <x:t xml:space="preserve">Workforce Security — Termination Procedures</x:t>
        </x:is>
      </x:c>
      <x:c r="T105" s="5" t="inlineStr">
        <x:is>
          <x:t xml:space="preserve">Implement procedures for terminating a workforce member’s access to ePHI when employment ends or when access should otherwise be removed.</x:t>
        </x:is>
      </x:c>
      <x:c r="U105" s="5" t="inlineStr">
        <x:is>
          <x:t xml:space="preserve">Addressable implementation specification</x:t>
        </x:is>
      </x:c>
      <x:c r="V105" s="5" t="inlineStr">
        <x:is>
          <x:t xml:space="preserve">Administrative Safeguards</x:t>
        </x:is>
      </x:c>
      <x:c r="W105" s="28" t="inlineStr">
        <x:is>
          <x:t xml:space="preserve">https://www.ecfr.gov/current/title-45/subtitle-A/subchapter-C/part-164/section-164.308</x:t>
        </x:is>
      </x:c>
      <x:c r="X105" s="28" t="inlineStr">
        <x:is>
          <x:t xml:space="preserve">https://www.hhs.gov/hipaa/for-professionals/security/guidance/cybersecurity-newsletter-summer-2019/index.html</x:t>
        </x:is>
      </x:c>
      <x:c r="Y105" s="5" t="inlineStr">
        <x:is>
          <x:t xml:space="preserve">45 C.F.R. § 164.312(a)(2)(i)</x:t>
        </x:is>
      </x:c>
      <x:c r="Z105" s="5" t="inlineStr">
        <x:is>
          <x:t xml:space="preserve">Access Control — Unique User Identification</x:t>
        </x:is>
      </x:c>
      <x:c r="AA105" s="5" t="inlineStr">
        <x:is>
          <x:t xml:space="preserve">Assign a unique name and/or number for identifying and tracking user identity.</x:t>
        </x:is>
      </x:c>
      <x:c r="AB105" s="5" t="inlineStr">
        <x:is>
          <x:t xml:space="preserve">Required implementation specification</x:t>
        </x:is>
      </x:c>
      <x:c r="AC105" s="5" t="inlineStr">
        <x:is>
          <x:t xml:space="preserve">Technical Safeguards</x:t>
        </x:is>
      </x:c>
      <x:c r="AD105" s="28" t="inlineStr">
        <x:is>
          <x:t xml:space="preserve">https://www.ecfr.gov/current/title-45/subtitle-A/subchapter-C/part-164/section-164.312</x:t>
        </x:is>
      </x:c>
      <x:c r="AE105" s="28" t="inlineStr">
        <x:is>
          <x:t xml:space="preserve">https://www.hhs.gov/hipaa/for-professionals/compliance-enforcement/audit/protocol-edited/index.html</x:t>
        </x:is>
      </x:c>
      <x:c r="AF105" s="5" t="n"/>
      <x:c r="AG105" s="5" t="n"/>
      <x:c r="AH105" s="5" t="n"/>
      <x:c r="AI105" s="5" t="n"/>
      <x:c r="AJ105" s="5" t="n"/>
      <x:c r="AK105" s="5" t="n"/>
      <x:c r="AL105" s="5" t="n"/>
    </x:row>
    <x:row r="106" ht="30" customHeight="1">
      <x:c r="A106" s="5" t="inlineStr">
        <x:is>
          <x:t xml:space="preserve">HITRUST e1.csv</x:t>
        </x:is>
      </x:c>
      <x:c r="B106" s="5" t="inlineStr">
        <x:is>
          <x:t xml:space="preserve">ER-24</x:t>
        </x:is>
      </x:c>
      <x:c r="C106" s="5" t="inlineStr">
        <x:is>
          <x:t xml:space="preserve">Policy</x:t>
        </x:is>
      </x:c>
      <x:c r="D106" s="5" t="inlineStr">
        <x:is>
          <x:t xml:space="preserve">Password and Multi-Factor Authentication</x:t>
        </x:is>
      </x:c>
      <x:c r="E106" s="5" t="inlineStr">
        <x:is>
          <x:t xml:space="preserve">REQ-26-HIPAA</x:t>
        </x:is>
      </x:c>
      <x:c r="F106" s="5" t="inlineStr">
        <x:is>
          <x:t xml:space="preserve">10.01d1System.10</x:t>
        </x:is>
      </x:c>
      <x:c r="G106" s="5" t="inlineStr">
        <x:is>
          <x:t xml:space="preserve">1:Many</x:t>
        </x:is>
      </x:c>
      <x:c r="H106" s="5" t="n">
        <x:v>2</x:v>
      </x:c>
      <x:c r="I106" s="5" t="inlineStr">
        <x:is>
          <x:t xml:space="preserve">45 CFR § 164.308(a)(5)(ii)(D); 45 CFR § 164.312(d)</x:t>
        </x:is>
      </x:c>
      <x:c r="J106" s="5" t="inlineStr">
        <x:is>
          <x:t xml:space="preserve">Security Awareness and Training — Password Management; Person or Entity Authentication</x:t>
        </x:is>
      </x:c>
      <x:c r="K106" s="5" t="inlineStr">
        <x:is>
          <x:t xml:space="preserve">Composite</x:t>
        </x:is>
      </x:c>
      <x:c r="L106" s="5" t="inlineStr">
        <x:is>
          <x:t xml:space="preserve">Action item explicitly combines password controls with MFA, so both password management and authentication verification are cited.</x:t>
        </x:is>
      </x:c>
      <x:c r="M106" s="28"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N106" s="5" t="inlineStr">
        <x:is>
          <x:t xml:space="preserve">Covers password creation/change/safeguarding and MFA-style authentication evidence.</x:t>
        </x:is>
      </x:c>
      <x:c r="O106" s="5" t="inlineStr">
        <x:is>
          <x:t xml:space="preserve">10.01d1 System.10</x:t>
        </x:is>
      </x:c>
      <x:c r="P106" s="5" t="n">
        <x:v>2</x:v>
      </x:c>
      <x:c r="Q106" s="5" t="n"/>
      <x:c r="R106" s="5" t="inlineStr">
        <x:is>
          <x:t xml:space="preserve">45 C.F.R. § 164.308(a)(5)(ii)(D)</x:t>
        </x:is>
      </x:c>
      <x:c r="S106" s="5" t="inlineStr">
        <x:is>
          <x:t xml:space="preserve">Security Awareness and Training — Password Management</x:t>
        </x:is>
      </x:c>
      <x:c r="T106" s="5" t="inlineStr">
        <x:is>
          <x:t xml:space="preserve">Implement procedures for creating, changing, and safeguarding passwords.</x:t>
        </x:is>
      </x:c>
      <x:c r="U106" s="5" t="inlineStr">
        <x:is>
          <x:t xml:space="preserve">Addressable implementation specification</x:t>
        </x:is>
      </x:c>
      <x:c r="V106" s="5" t="inlineStr">
        <x:is>
          <x:t xml:space="preserve">Administrative Safeguards</x:t>
        </x:is>
      </x:c>
      <x:c r="W106" s="28" t="inlineStr">
        <x:is>
          <x:t xml:space="preserve">https://www.ecfr.gov/current/title-45/subtitle-A/subchapter-C/part-164/section-164.308</x:t>
        </x:is>
      </x:c>
      <x:c r="X106" s="28" t="inlineStr">
        <x:is>
          <x:t xml:space="preserve">https://www.hhs.gov/sites/default/files/ocr/privacy/hipaa/administrative/securityrule/adminsafeguards.pdf</x:t>
        </x:is>
      </x:c>
      <x:c r="Y106" s="5" t="inlineStr">
        <x:is>
          <x:t xml:space="preserve">45 C.F.R. § 164.312(d)</x:t>
        </x:is>
      </x:c>
      <x:c r="Z106" s="5" t="inlineStr">
        <x:is>
          <x:t xml:space="preserve">Person or Entity Authentication</x:t>
        </x:is>
      </x:c>
      <x:c r="AA106" s="5" t="inlineStr">
        <x:is>
          <x:t xml:space="preserve">Implement procedures to verify that a person or entity seeking access to ePHI is the one claimed.</x:t>
        </x:is>
      </x:c>
      <x:c r="AB106" s="5" t="inlineStr">
        <x:is>
          <x:t xml:space="preserve">Required standard</x:t>
        </x:is>
      </x:c>
      <x:c r="AC106" s="5" t="inlineStr">
        <x:is>
          <x:t xml:space="preserve">Technical Safeguards</x:t>
        </x:is>
      </x:c>
      <x:c r="AD106" s="28" t="inlineStr">
        <x:is>
          <x:t xml:space="preserve">https://www.ecfr.gov/current/title-45/subtitle-A/subchapter-C/part-164/section-164.312</x:t>
        </x:is>
      </x:c>
      <x:c r="AE106" s="28" t="inlineStr">
        <x:is>
          <x:t xml:space="preserve">https://www.hhs.gov/hipaa/for-professionals/compliance-enforcement/audit/protocol-edited/index.html</x:t>
        </x:is>
      </x:c>
      <x:c r="AF106" s="5" t="n"/>
      <x:c r="AG106" s="5" t="n"/>
      <x:c r="AH106" s="5" t="n"/>
      <x:c r="AI106" s="5" t="n"/>
      <x:c r="AJ106" s="5" t="n"/>
      <x:c r="AK106" s="5" t="n"/>
      <x:c r="AL106" s="5" t="n"/>
    </x:row>
    <x:row r="107" ht="30" customHeight="1">
      <x:c r="A107" s="5" t="inlineStr">
        <x:is>
          <x:t xml:space="preserve">HITRUST e1.csv</x:t>
        </x:is>
      </x:c>
      <x:c r="B107" s="5" t="inlineStr">
        <x:is>
          <x:t xml:space="preserve">ER-24</x:t>
        </x:is>
      </x:c>
      <x:c r="C107" s="5" t="inlineStr">
        <x:is>
          <x:t xml:space="preserve">Policy</x:t>
        </x:is>
      </x:c>
      <x:c r="D107" s="5" t="inlineStr">
        <x:is>
          <x:t xml:space="preserve">Password and Multi-Factor Authentication</x:t>
        </x:is>
      </x:c>
      <x:c r="E107" s="5" t="inlineStr">
        <x:is>
          <x:t xml:space="preserve">REQ-26-HIPAA</x:t>
        </x:is>
      </x:c>
      <x:c r="F107" s="5" t="inlineStr">
        <x:is>
          <x:t xml:space="preserve">11.01p1System.5</x:t>
        </x:is>
      </x:c>
      <x:c r="G107" s="5" t="inlineStr">
        <x:is>
          <x:t xml:space="preserve">1:Many</x:t>
        </x:is>
      </x:c>
      <x:c r="H107" s="5" t="n">
        <x:v>1</x:v>
      </x:c>
      <x:c r="I107" s="5" t="inlineStr">
        <x:is>
          <x:t xml:space="preserve">45 CFR § 164.308(a)(5)(ii)(D); 45 CFR § 164.312(d)</x:t>
        </x:is>
      </x:c>
      <x:c r="J107" s="5" t="inlineStr">
        <x:is>
          <x:t xml:space="preserve">Security Awareness and Training — Password Management; Person or Entity Authentication</x:t>
        </x:is>
      </x:c>
      <x:c r="K107" s="5" t="inlineStr">
        <x:is>
          <x:t xml:space="preserve">Composite</x:t>
        </x:is>
      </x:c>
      <x:c r="L107" s="5" t="inlineStr">
        <x:is>
          <x:t xml:space="preserve">Action item explicitly combines password controls with MFA, so both password management and authentication verification are cited.</x:t>
        </x:is>
      </x:c>
      <x:c r="M107" s="28"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N107" s="5" t="inlineStr">
        <x:is>
          <x:t xml:space="preserve">Covers password creation/change/safeguarding and MFA-style authentication evidence.</x:t>
        </x:is>
      </x:c>
      <x:c r="O107" s="5" t="inlineStr">
        <x:is>
          <x:t xml:space="preserve">11.01p1 System.5</x:t>
        </x:is>
      </x:c>
      <x:c r="P107" s="5" t="n">
        <x:v>2</x:v>
      </x:c>
      <x:c r="Q107" s="5" t="n"/>
      <x:c r="R107" s="5" t="inlineStr">
        <x:is>
          <x:t xml:space="preserve">45 C.F.R. § 164.308(a)(5)(ii)(D)</x:t>
        </x:is>
      </x:c>
      <x:c r="S107" s="5" t="inlineStr">
        <x:is>
          <x:t xml:space="preserve">Security Awareness and Training — Password Management</x:t>
        </x:is>
      </x:c>
      <x:c r="T107" s="5" t="inlineStr">
        <x:is>
          <x:t xml:space="preserve">Implement procedures for creating, changing, and safeguarding passwords.</x:t>
        </x:is>
      </x:c>
      <x:c r="U107" s="5" t="inlineStr">
        <x:is>
          <x:t xml:space="preserve">Addressable implementation specification</x:t>
        </x:is>
      </x:c>
      <x:c r="V107" s="5" t="inlineStr">
        <x:is>
          <x:t xml:space="preserve">Administrative Safeguards</x:t>
        </x:is>
      </x:c>
      <x:c r="W107" s="28" t="inlineStr">
        <x:is>
          <x:t xml:space="preserve">https://www.ecfr.gov/current/title-45/subtitle-A/subchapter-C/part-164/section-164.308</x:t>
        </x:is>
      </x:c>
      <x:c r="X107" s="28" t="inlineStr">
        <x:is>
          <x:t xml:space="preserve">https://www.hhs.gov/sites/default/files/ocr/privacy/hipaa/administrative/securityrule/adminsafeguards.pdf</x:t>
        </x:is>
      </x:c>
      <x:c r="Y107" s="5" t="inlineStr">
        <x:is>
          <x:t xml:space="preserve">45 C.F.R. § 164.312(d)</x:t>
        </x:is>
      </x:c>
      <x:c r="Z107" s="5" t="inlineStr">
        <x:is>
          <x:t xml:space="preserve">Person or Entity Authentication</x:t>
        </x:is>
      </x:c>
      <x:c r="AA107" s="5" t="inlineStr">
        <x:is>
          <x:t xml:space="preserve">Implement procedures to verify that a person or entity seeking access to ePHI is the one claimed.</x:t>
        </x:is>
      </x:c>
      <x:c r="AB107" s="5" t="inlineStr">
        <x:is>
          <x:t xml:space="preserve">Required standard</x:t>
        </x:is>
      </x:c>
      <x:c r="AC107" s="5" t="inlineStr">
        <x:is>
          <x:t xml:space="preserve">Technical Safeguards</x:t>
        </x:is>
      </x:c>
      <x:c r="AD107" s="28" t="inlineStr">
        <x:is>
          <x:t xml:space="preserve">https://www.ecfr.gov/current/title-45/subtitle-A/subchapter-C/part-164/section-164.312</x:t>
        </x:is>
      </x:c>
      <x:c r="AE107" s="28" t="inlineStr">
        <x:is>
          <x:t xml:space="preserve">https://www.hhs.gov/hipaa/for-professionals/compliance-enforcement/audit/protocol-edited/index.html</x:t>
        </x:is>
      </x:c>
      <x:c r="AF107" s="5" t="n"/>
      <x:c r="AG107" s="5" t="n"/>
      <x:c r="AH107" s="5" t="n"/>
      <x:c r="AI107" s="5" t="n"/>
      <x:c r="AJ107" s="5" t="n"/>
      <x:c r="AK107" s="5" t="n"/>
      <x:c r="AL107" s="5" t="n"/>
    </x:row>
    <x:row r="108" ht="30" customHeight="1">
      <x:c r="A108" s="5" t="inlineStr">
        <x:is>
          <x:t xml:space="preserve">HITRUST e1.csv</x:t>
        </x:is>
      </x:c>
      <x:c r="B108" s="5" t="inlineStr">
        <x:is>
          <x:t xml:space="preserve">ER-25</x:t>
        </x:is>
      </x:c>
      <x:c r="C108" s="5" t="inlineStr">
        <x:is>
          <x:t xml:space="preserve">Configuration</x:t>
        </x:is>
      </x:c>
      <x:c r="D108" s="5" t="inlineStr">
        <x:is>
          <x:t xml:space="preserve">Passwords for All In-Scope Production Systems</x:t>
        </x:is>
      </x:c>
      <x:c r="E108" s="5" t="inlineStr">
        <x:is>
          <x:t xml:space="preserve">REQ-26-HIPAA</x:t>
        </x:is>
      </x:c>
      <x:c r="F108" s="5" t="inlineStr">
        <x:is>
          <x:t xml:space="preserve">10.01d1System.10</x:t>
        </x:is>
      </x:c>
      <x:c r="G108" s="5" t="inlineStr">
        <x:is>
          <x:t xml:space="preserve">1:1</x:t>
        </x:is>
      </x:c>
      <x:c r="H108" s="5" t="n">
        <x:v>2</x:v>
      </x:c>
      <x:c r="I108" s="5" t="inlineStr">
        <x:is>
          <x:t xml:space="preserve">45 CFR § 164.308(a)(5)(ii)(D); 45 CFR § 164.312(a)(1)</x:t>
        </x:is>
      </x:c>
      <x:c r="J108" s="5" t="inlineStr">
        <x:is>
          <x:t xml:space="preserve">Security Awareness and Training — Password Management; Access Control</x:t>
        </x:is>
      </x:c>
      <x:c r="K108" s="5" t="inlineStr">
        <x:is>
          <x:t xml:space="preserve">Composite</x:t>
        </x:is>
      </x:c>
      <x:c r="L108" s="5" t="inlineStr">
        <x:is>
          <x:t xml:space="preserve">Password configuration evidence most directly aligns to password-management requirements and the broader access-control standard.</x:t>
        </x:is>
      </x:c>
      <x:c r="M108" s="28"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N108" s="5" t="inlineStr">
        <x:is>
          <x:t xml:space="preserve">This row is password-configuration evidence; MFA is not the primary evidence artifact here.</x:t>
        </x:is>
      </x:c>
      <x:c r="O108" s="5" t="inlineStr">
        <x:is>
          <x:t xml:space="preserve">10.01d1 System.10</x:t>
        </x:is>
      </x:c>
      <x:c r="P108" s="5" t="n">
        <x:v>2</x:v>
      </x:c>
      <x:c r="Q108" s="5" t="n"/>
      <x:c r="R108" s="5" t="inlineStr">
        <x:is>
          <x:t xml:space="preserve">45 C.F.R. § 164.308(a)(5)(ii)(D)</x:t>
        </x:is>
      </x:c>
      <x:c r="S108" s="5" t="inlineStr">
        <x:is>
          <x:t xml:space="preserve">Security Awareness and Training — Password Management</x:t>
        </x:is>
      </x:c>
      <x:c r="T108" s="5" t="inlineStr">
        <x:is>
          <x:t xml:space="preserve">Implement procedures for creating, changing, and safeguarding passwords.</x:t>
        </x:is>
      </x:c>
      <x:c r="U108" s="5" t="inlineStr">
        <x:is>
          <x:t xml:space="preserve">Addressable implementation specification</x:t>
        </x:is>
      </x:c>
      <x:c r="V108" s="5" t="inlineStr">
        <x:is>
          <x:t xml:space="preserve">Administrative Safeguards</x:t>
        </x:is>
      </x:c>
      <x:c r="W108" s="28" t="inlineStr">
        <x:is>
          <x:t xml:space="preserve">https://www.ecfr.gov/current/title-45/subtitle-A/subchapter-C/part-164/section-164.308</x:t>
        </x:is>
      </x:c>
      <x:c r="X108" s="28" t="inlineStr">
        <x:is>
          <x:t xml:space="preserve">https://www.hhs.gov/sites/default/files/ocr/privacy/hipaa/administrative/securityrule/adminsafeguards.pdf</x:t>
        </x:is>
      </x:c>
      <x:c r="Y108" s="5" t="inlineStr">
        <x:is>
          <x:t xml:space="preserve">45 C.F.R. § 164.312(a)(1)</x:t>
        </x:is>
      </x:c>
      <x:c r="Z108" s="5" t="inlineStr">
        <x:is>
          <x:t xml:space="preserve">Access Control</x:t>
        </x:is>
      </x:c>
      <x:c r="AA108" s="5" t="inlineStr">
        <x:is>
          <x:t xml:space="preserve">Implement technical policies and procedures for electronic information systems that maintain ePHI to allow access only to persons or software programs with authorized access rights.</x:t>
        </x:is>
      </x:c>
      <x:c r="AB108" s="5" t="inlineStr">
        <x:is>
          <x:t xml:space="preserve">Standard</x:t>
        </x:is>
      </x:c>
      <x:c r="AC108" s="5" t="inlineStr">
        <x:is>
          <x:t xml:space="preserve">Technical Safeguards</x:t>
        </x:is>
      </x:c>
      <x:c r="AD108" s="28" t="inlineStr">
        <x:is>
          <x:t xml:space="preserve">https://www.ecfr.gov/current/title-45/subtitle-A/subchapter-C/part-164/section-164.312</x:t>
        </x:is>
      </x:c>
      <x:c r="AE108" s="28" t="inlineStr">
        <x:is>
          <x:t xml:space="preserve">https://www.hhs.gov/hipaa/for-professionals/compliance-enforcement/audit/protocol-edited/index.html</x:t>
        </x:is>
      </x:c>
      <x:c r="AF108" s="5" t="n"/>
      <x:c r="AG108" s="5" t="n"/>
      <x:c r="AH108" s="5" t="n"/>
      <x:c r="AI108" s="5" t="n"/>
      <x:c r="AJ108" s="5" t="n"/>
      <x:c r="AK108" s="5" t="n"/>
      <x:c r="AL108" s="5" t="n"/>
    </x:row>
    <x:row r="109" ht="30" customHeight="1">
      <x:c r="A109" s="5" t="inlineStr">
        <x:is>
          <x:t xml:space="preserve">HITRUST e1.csv</x:t>
        </x:is>
      </x:c>
      <x:c r="B109" s="5" t="inlineStr">
        <x:is>
          <x:t xml:space="preserve">ER-105</x:t>
        </x:is>
      </x:c>
      <x:c r="C109" s="5" t="inlineStr">
        <x:is>
          <x:t xml:space="preserve">Operational</x:t>
        </x:is>
      </x:c>
      <x:c r="D109" s="5" t="inlineStr">
        <x:is>
          <x:t xml:space="preserve">Risk Assessment</x:t>
        </x:is>
      </x:c>
      <x:c r="E109" s="5" t="inlineStr">
        <x:is>
          <x:t xml:space="preserve">REQ-110-HIPAA</x:t>
        </x:is>
      </x:c>
      <x:c r="F109" s="5" t="inlineStr">
        <x:is>
          <x:t xml:space="preserve">1704.03b1Organizational.12</x:t>
        </x:is>
      </x:c>
      <x:c r="G109" s="5" t="inlineStr">
        <x:is>
          <x:t xml:space="preserve">Many:1</x:t>
        </x:is>
      </x:c>
      <x:c r="H109" s="5" t="n">
        <x:v>1</x:v>
      </x:c>
      <x:c r="I109" s="5" t="inlineStr">
        <x:is>
          <x:t xml:space="preserve">45 CFR § 164.308(a)(1)(ii)(A)</x:t>
        </x:is>
      </x:c>
      <x:c r="J109" s="5" t="inlineStr">
        <x:is>
          <x:t xml:space="preserve">Security Management Process — Risk Analysis</x:t>
        </x:is>
      </x:c>
      <x:c r="K109" s="5" t="inlineStr">
        <x:is>
          <x:t xml:space="preserve">Best-fit</x:t>
        </x:is>
      </x:c>
      <x:c r="L109" s="5" t="inlineStr">
        <x:is>
          <x:t xml:space="preserve">The source spreadsheet only exposes an internal control ID on the Risk Assessment action item, so the closest authoritative HIPAA citation is Risk Analysis.</x:t>
        </x:is>
      </x:c>
      <x:c r="M109" s="28" t="inlineStr">
        <x:is>
          <x:t xml:space="preserve">https://www.ecfr.gov/current/title-45/subtitle-A/subchapter-C/part-164/section-164.308 | https://www.hhs.gov/hipaa/for-professionals/security/guidance/guidance-risk-analysis/index.html | https://www.hhs.gov/sites/default/files/ocr/privacy/hipaa/administrative/combined/hipaa-simplification-201303.pdf</x:t>
        </x:is>
      </x:c>
      <x:c r="N109" s="5" t="inlineStr">
        <x:is>
          <x:t xml:space="preserve">Matched by action-item semantics because the internal control itself is not labeled with an official HIPAA section.</x:t>
        </x:is>
      </x:c>
      <x:c r="O109" s="5" t="inlineStr">
        <x:is>
          <x:t xml:space="preserve">1704.03b1 Organizational.12</x:t>
        </x:is>
      </x:c>
      <x:c r="P109" s="5" t="n">
        <x:v>1</x:v>
      </x:c>
      <x:c r="Q109" s="5" t="n"/>
      <x:c r="R109" s="5" t="inlineStr">
        <x:is>
          <x:t xml:space="preserve">45 C.F.R. § 164.308(a)(1)(ii)(A)</x:t>
        </x:is>
      </x:c>
      <x:c r="S109" s="5" t="inlineStr">
        <x:is>
          <x:t xml:space="preserve">Security Management Process — Risk Analysis</x:t>
        </x:is>
      </x:c>
      <x:c r="T109" s="5" t="inlineStr">
        <x:is>
          <x:t xml:space="preserve">Conduct an accurate and thorough assessment of the potential risks and vulnerabilities to the confidentiality, integrity, and availability of ePHI.</x:t>
        </x:is>
      </x:c>
      <x:c r="U109" s="5" t="inlineStr">
        <x:is>
          <x:t xml:space="preserve">Required implementation specification</x:t>
        </x:is>
      </x:c>
      <x:c r="V109" s="5" t="inlineStr">
        <x:is>
          <x:t xml:space="preserve">Administrative Safeguards</x:t>
        </x:is>
      </x:c>
      <x:c r="W109" s="28" t="inlineStr">
        <x:is>
          <x:t xml:space="preserve">https://www.ecfr.gov/current/title-45/subtitle-A/subchapter-C/part-164/section-164.308</x:t>
        </x:is>
      </x:c>
      <x:c r="X109" s="28" t="inlineStr">
        <x:is>
          <x:t xml:space="preserve">https://www.hhs.gov/hipaa/for-professionals/security/guidance/guidance-risk-analysis/index.html</x:t>
        </x:is>
      </x:c>
      <x:c r="Y109" s="5" t="n"/>
      <x:c r="Z109" s="5" t="n"/>
      <x:c r="AA109" s="5" t="n"/>
      <x:c r="AB109" s="5" t="n"/>
      <x:c r="AC109" s="5" t="n"/>
      <x:c r="AD109" s="5" t="n"/>
      <x:c r="AE109" s="5" t="n"/>
      <x:c r="AF109" s="5" t="n"/>
      <x:c r="AG109" s="5" t="n"/>
      <x:c r="AH109" s="5" t="n"/>
      <x:c r="AI109" s="5" t="n"/>
      <x:c r="AJ109" s="5" t="n"/>
      <x:c r="AK109" s="5" t="n"/>
      <x:c r="AL109" s="5" t="n"/>
    </x:row>
    <x:row r="110" ht="30" customHeight="1">
      <x:c r="A110" s="5" t="inlineStr">
        <x:is>
          <x:t xml:space="preserve">HITRUST e1.csv</x:t>
        </x:is>
      </x:c>
      <x:c r="B110" s="5" t="inlineStr">
        <x:is>
          <x:t xml:space="preserve">ER-105</x:t>
        </x:is>
      </x:c>
      <x:c r="C110" s="5" t="inlineStr">
        <x:is>
          <x:t xml:space="preserve">Operational</x:t>
        </x:is>
      </x:c>
      <x:c r="D110" s="5" t="inlineStr">
        <x:is>
          <x:t xml:space="preserve">Risk Assessment</x:t>
        </x:is>
      </x:c>
      <x:c r="E110" s="5" t="inlineStr">
        <x:is>
          <x:t xml:space="preserve">REQ-17-HIPAA</x:t>
        </x:is>
      </x:c>
      <x:c r="F110" s="5" t="inlineStr">
        <x:is>
          <x:t xml:space="preserve">1704.03b1Organizational.12</x:t>
        </x:is>
      </x:c>
      <x:c r="G110" s="5" t="inlineStr">
        <x:is>
          <x:t xml:space="preserve">Many:1</x:t>
        </x:is>
      </x:c>
      <x:c r="H110" s="5" t="n">
        <x:v>2</x:v>
      </x:c>
      <x:c r="I110" s="5" t="inlineStr">
        <x:is>
          <x:t xml:space="preserve">45 CFR § 164.308(a)(1)(ii)(A)</x:t>
        </x:is>
      </x:c>
      <x:c r="J110" s="5" t="inlineStr">
        <x:is>
          <x:t xml:space="preserve">Security Management Process — Risk Analysis</x:t>
        </x:is>
      </x:c>
      <x:c r="K110" s="5" t="inlineStr">
        <x:is>
          <x:t xml:space="preserve">Direct</x:t>
        </x:is>
      </x:c>
      <x:c r="L110" s="5" t="inlineStr">
        <x:is>
          <x:t xml:space="preserve">Control context aligns to identifying risks and vulnerabilities to ePHI.</x:t>
        </x:is>
      </x:c>
      <x:c r="M110"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0" s="5" t="inlineStr">
        <x:is>
          <x:t xml:space="preserve">Risk analysis is the most direct HIPAA citation for assessment-oriented rows.</x:t>
        </x:is>
      </x:c>
      <x:c r="O110" s="5" t="inlineStr">
        <x:is>
          <x:t xml:space="preserve">1704.03b1 Organizational.12</x:t>
        </x:is>
      </x:c>
      <x:c r="P110" s="5" t="n">
        <x:v>1</x:v>
      </x:c>
      <x:c r="Q110" s="5" t="n"/>
      <x:c r="R110" s="5" t="inlineStr">
        <x:is>
          <x:t xml:space="preserve">45 C.F.R. § 164.308(a)(1)(ii)(A)</x:t>
        </x:is>
      </x:c>
      <x:c r="S110" s="5" t="inlineStr">
        <x:is>
          <x:t xml:space="preserve">Security Management Process — Risk Analysis</x:t>
        </x:is>
      </x:c>
      <x:c r="T110" s="5" t="inlineStr">
        <x:is>
          <x:t xml:space="preserve">Conduct an accurate and thorough assessment of the potential risks and vulnerabilities to the confidentiality, integrity, and availability of ePHI.</x:t>
        </x:is>
      </x:c>
      <x:c r="U110" s="5" t="inlineStr">
        <x:is>
          <x:t xml:space="preserve">Required implementation specification</x:t>
        </x:is>
      </x:c>
      <x:c r="V110" s="5" t="inlineStr">
        <x:is>
          <x:t xml:space="preserve">Administrative Safeguards</x:t>
        </x:is>
      </x:c>
      <x:c r="W110" s="28" t="inlineStr">
        <x:is>
          <x:t xml:space="preserve">https://www.ecfr.gov/current/title-45/subtitle-A/subchapter-C/part-164/section-164.308</x:t>
        </x:is>
      </x:c>
      <x:c r="X110" s="28" t="inlineStr">
        <x:is>
          <x:t xml:space="preserve">https://www.hhs.gov/hipaa/for-professionals/security/guidance/guidance-risk-analysis/index.html</x:t>
        </x:is>
      </x:c>
      <x:c r="Y110" s="5" t="n"/>
      <x:c r="Z110" s="5" t="n"/>
      <x:c r="AA110" s="5" t="n"/>
      <x:c r="AB110" s="5" t="n"/>
      <x:c r="AC110" s="5" t="n"/>
      <x:c r="AD110" s="5" t="n"/>
      <x:c r="AE110" s="5" t="n"/>
      <x:c r="AF110" s="5" t="n"/>
      <x:c r="AG110" s="5" t="n"/>
      <x:c r="AH110" s="5" t="n"/>
      <x:c r="AI110" s="5" t="n"/>
      <x:c r="AJ110" s="5" t="n"/>
      <x:c r="AK110" s="5" t="n"/>
      <x:c r="AL110" s="5" t="n"/>
    </x:row>
    <x:row r="111" ht="30" customHeight="1">
      <x:c r="A111" s="5" t="inlineStr">
        <x:is>
          <x:t xml:space="preserve">HITRUST e1.csv</x:t>
        </x:is>
      </x:c>
      <x:c r="B111" s="5" t="inlineStr">
        <x:is>
          <x:t xml:space="preserve">ER-105</x:t>
        </x:is>
      </x:c>
      <x:c r="C111" s="5" t="inlineStr">
        <x:is>
          <x:t xml:space="preserve">Operational</x:t>
        </x:is>
      </x:c>
      <x:c r="D111" s="5" t="inlineStr">
        <x:is>
          <x:t xml:space="preserve">Risk Assessment</x:t>
        </x:is>
      </x:c>
      <x:c r="E111" s="5" t="inlineStr">
        <x:is>
          <x:t xml:space="preserve">REQ-20-HIPAA</x:t>
        </x:is>
      </x:c>
      <x:c r="F111" s="5" t="inlineStr">
        <x:is>
          <x:t xml:space="preserve">1704.03b1Organizational.12</x:t>
        </x:is>
      </x:c>
      <x:c r="G111" s="5" t="inlineStr">
        <x:is>
          <x:t xml:space="preserve">Many:1</x:t>
        </x:is>
      </x:c>
      <x:c r="H111" s="5" t="n">
        <x:v>2</x:v>
      </x:c>
      <x:c r="I111" s="5" t="inlineStr">
        <x:is>
          <x:t xml:space="preserve">45 CFR § 164.308(a)(1)(ii)(B)</x:t>
        </x:is>
      </x:c>
      <x:c r="J111" s="5" t="inlineStr">
        <x:is>
          <x:t xml:space="preserve">Security Management Process — Risk Management</x:t>
        </x:is>
      </x:c>
      <x:c r="K111" s="5" t="inlineStr">
        <x:is>
          <x:t xml:space="preserve">Direct</x:t>
        </x:is>
      </x:c>
      <x:c r="L111" s="5" t="inlineStr">
        <x:is>
          <x:t xml:space="preserve">Control context aligns to reducing identified risks and vulnerabilities to a reasonable and appropriate level.</x:t>
        </x:is>
      </x:c>
      <x:c r="M111"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1" s="5" t="inlineStr">
        <x:is>
          <x:t xml:space="preserve">Used for policy and operational rows focused on treatment/mitigation of identified risks.</x:t>
        </x:is>
      </x:c>
      <x:c r="O111" s="5" t="inlineStr">
        <x:is>
          <x:t xml:space="preserve">1704.03b1 Organizational.12</x:t>
        </x:is>
      </x:c>
      <x:c r="P111" s="5" t="n">
        <x:v>1</x:v>
      </x:c>
      <x:c r="Q111" s="5" t="n"/>
      <x:c r="R111" s="5" t="inlineStr">
        <x:is>
          <x:t xml:space="preserve">45 C.F.R. § 164.308(a)(1)(ii)(B)</x:t>
        </x:is>
      </x:c>
      <x:c r="S111" s="5" t="inlineStr">
        <x:is>
          <x:t xml:space="preserve">Security Management Process — Risk Management</x:t>
        </x:is>
      </x:c>
      <x:c r="T111" s="5" t="inlineStr">
        <x:is>
          <x:t xml:space="preserve">Implement security measures sufficient to reduce identified risks and vulnerabilities to a reasonable and appropriate level.</x:t>
        </x:is>
      </x:c>
      <x:c r="U111" s="5" t="inlineStr">
        <x:is>
          <x:t xml:space="preserve">Required implementation specification</x:t>
        </x:is>
      </x:c>
      <x:c r="V111" s="5" t="inlineStr">
        <x:is>
          <x:t xml:space="preserve">Administrative Safeguards</x:t>
        </x:is>
      </x:c>
      <x:c r="W111" s="28" t="inlineStr">
        <x:is>
          <x:t xml:space="preserve">https://www.ecfr.gov/current/title-45/subtitle-A/subchapter-C/part-164/section-164.308</x:t>
        </x:is>
      </x:c>
      <x:c r="X111" s="28" t="inlineStr">
        <x:is>
          <x:t xml:space="preserve">https://www.hhs.gov/hipaa/for-professionals/security/guidance/guidance-risk-analysis/index.html</x:t>
        </x:is>
      </x:c>
      <x:c r="Y111" s="5" t="n"/>
      <x:c r="Z111" s="5" t="n"/>
      <x:c r="AA111" s="5" t="n"/>
      <x:c r="AB111" s="5" t="n"/>
      <x:c r="AC111" s="5" t="n"/>
      <x:c r="AD111" s="5" t="n"/>
      <x:c r="AE111" s="5" t="n"/>
      <x:c r="AF111" s="5" t="n"/>
      <x:c r="AG111" s="5" t="n"/>
      <x:c r="AH111" s="5" t="n"/>
      <x:c r="AI111" s="5" t="n"/>
      <x:c r="AJ111" s="5" t="n"/>
      <x:c r="AK111" s="5" t="n"/>
      <x:c r="AL111" s="5" t="n"/>
    </x:row>
    <x:row r="112" ht="30" customHeight="1">
      <x:c r="A112" s="5" t="inlineStr">
        <x:is>
          <x:t xml:space="preserve">HITRUST e1.csv</x:t>
        </x:is>
      </x:c>
      <x:c r="B112" s="5" t="inlineStr">
        <x:is>
          <x:t xml:space="preserve">ER-41</x:t>
        </x:is>
      </x:c>
      <x:c r="C112" s="5" t="inlineStr">
        <x:is>
          <x:t xml:space="preserve">Policy</x:t>
        </x:is>
      </x:c>
      <x:c r="D112" s="5" t="inlineStr">
        <x:is>
          <x:t xml:space="preserve">Risk Management</x:t>
        </x:is>
      </x:c>
      <x:c r="E112" s="5" t="inlineStr">
        <x:is>
          <x:t xml:space="preserve">REQ-17-HIPAA</x:t>
        </x:is>
      </x:c>
      <x:c r="F112" s="5" t="inlineStr">
        <x:is>
          <x:t xml:space="preserve">1701.03a1Organizational.12345678</x:t>
        </x:is>
      </x:c>
      <x:c r="G112" s="5" t="inlineStr">
        <x:is>
          <x:t xml:space="preserve">Many:Many</x:t>
        </x:is>
      </x:c>
      <x:c r="H112" s="5" t="n">
        <x:v>1</x:v>
      </x:c>
      <x:c r="I112" s="5" t="inlineStr">
        <x:is>
          <x:t xml:space="preserve">45 CFR § 164.308(a)(1)(ii)(A)</x:t>
        </x:is>
      </x:c>
      <x:c r="J112" s="5" t="inlineStr">
        <x:is>
          <x:t xml:space="preserve">Security Management Process — Risk Analysis</x:t>
        </x:is>
      </x:c>
      <x:c r="K112" s="5" t="inlineStr">
        <x:is>
          <x:t xml:space="preserve">Direct</x:t>
        </x:is>
      </x:c>
      <x:c r="L112" s="5" t="inlineStr">
        <x:is>
          <x:t xml:space="preserve">Control context aligns to identifying risks and vulnerabilities to ePHI.</x:t>
        </x:is>
      </x:c>
      <x:c r="M112"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2" s="5" t="inlineStr">
        <x:is>
          <x:t xml:space="preserve">Risk analysis is the most direct HIPAA citation for assessment-oriented rows.</x:t>
        </x:is>
      </x:c>
      <x:c r="O112" s="5" t="inlineStr">
        <x:is>
          <x:t xml:space="preserve">1701.03a1 Organizational.12345678</x:t>
        </x:is>
      </x:c>
      <x:c r="P112" s="5" t="n">
        <x:v>1</x:v>
      </x:c>
      <x:c r="Q112" s="5" t="n"/>
      <x:c r="R112" s="5" t="inlineStr">
        <x:is>
          <x:t xml:space="preserve">45 C.F.R. § 164.308(a)(1)(ii)(A)</x:t>
        </x:is>
      </x:c>
      <x:c r="S112" s="5" t="inlineStr">
        <x:is>
          <x:t xml:space="preserve">Security Management Process — Risk Analysis</x:t>
        </x:is>
      </x:c>
      <x:c r="T112" s="5" t="inlineStr">
        <x:is>
          <x:t xml:space="preserve">Conduct an accurate and thorough assessment of the potential risks and vulnerabilities to the confidentiality, integrity, and availability of ePHI.</x:t>
        </x:is>
      </x:c>
      <x:c r="U112" s="5" t="inlineStr">
        <x:is>
          <x:t xml:space="preserve">Required implementation specification</x:t>
        </x:is>
      </x:c>
      <x:c r="V112" s="5" t="inlineStr">
        <x:is>
          <x:t xml:space="preserve">Administrative Safeguards</x:t>
        </x:is>
      </x:c>
      <x:c r="W112" s="28" t="inlineStr">
        <x:is>
          <x:t xml:space="preserve">https://www.ecfr.gov/current/title-45/subtitle-A/subchapter-C/part-164/section-164.308</x:t>
        </x:is>
      </x:c>
      <x:c r="X112" s="28" t="inlineStr">
        <x:is>
          <x:t xml:space="preserve">https://www.hhs.gov/hipaa/for-professionals/security/guidance/guidance-risk-analysis/index.html</x:t>
        </x:is>
      </x:c>
      <x:c r="Y112" s="5" t="n"/>
      <x:c r="Z112" s="5" t="n"/>
      <x:c r="AA112" s="5" t="n"/>
      <x:c r="AB112" s="5" t="n"/>
      <x:c r="AC112" s="5" t="n"/>
      <x:c r="AD112" s="5" t="n"/>
      <x:c r="AE112" s="5" t="n"/>
      <x:c r="AF112" s="5" t="n"/>
      <x:c r="AG112" s="5" t="n"/>
      <x:c r="AH112" s="5" t="n"/>
      <x:c r="AI112" s="5" t="n"/>
      <x:c r="AJ112" s="5" t="n"/>
      <x:c r="AK112" s="5" t="n"/>
      <x:c r="AL112" s="5" t="n"/>
    </x:row>
    <x:row r="113" ht="30" customHeight="1">
      <x:c r="A113" s="5" t="inlineStr">
        <x:is>
          <x:t xml:space="preserve">HITRUST e1.csv</x:t>
        </x:is>
      </x:c>
      <x:c r="B113" s="5" t="inlineStr">
        <x:is>
          <x:t xml:space="preserve">ER-41</x:t>
        </x:is>
      </x:c>
      <x:c r="C113" s="5" t="inlineStr">
        <x:is>
          <x:t xml:space="preserve">Policy</x:t>
        </x:is>
      </x:c>
      <x:c r="D113" s="5" t="inlineStr">
        <x:is>
          <x:t xml:space="preserve">Risk Management</x:t>
        </x:is>
      </x:c>
      <x:c r="E113" s="5" t="inlineStr">
        <x:is>
          <x:t xml:space="preserve">REQ-17-HIPAA</x:t>
        </x:is>
      </x:c>
      <x:c r="F113" s="5" t="inlineStr">
        <x:is>
          <x:t xml:space="preserve">1704.03b1Organizational.12</x:t>
        </x:is>
      </x:c>
      <x:c r="G113" s="5" t="inlineStr">
        <x:is>
          <x:t xml:space="preserve">Many:Many</x:t>
        </x:is>
      </x:c>
      <x:c r="H113" s="5" t="n">
        <x:v>2</x:v>
      </x:c>
      <x:c r="I113" s="5" t="inlineStr">
        <x:is>
          <x:t xml:space="preserve">45 CFR § 164.308(a)(1)(ii)(A)</x:t>
        </x:is>
      </x:c>
      <x:c r="J113" s="5" t="inlineStr">
        <x:is>
          <x:t xml:space="preserve">Security Management Process — Risk Analysis</x:t>
        </x:is>
      </x:c>
      <x:c r="K113" s="5" t="inlineStr">
        <x:is>
          <x:t xml:space="preserve">Direct</x:t>
        </x:is>
      </x:c>
      <x:c r="L113" s="5" t="inlineStr">
        <x:is>
          <x:t xml:space="preserve">Control context aligns to identifying risks and vulnerabilities to ePHI.</x:t>
        </x:is>
      </x:c>
      <x:c r="M113"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3" s="5" t="inlineStr">
        <x:is>
          <x:t xml:space="preserve">Risk analysis is the most direct HIPAA citation for assessment-oriented rows.</x:t>
        </x:is>
      </x:c>
      <x:c r="O113" s="5" t="inlineStr">
        <x:is>
          <x:t xml:space="preserve">1704.03b1 Organizational.12</x:t>
        </x:is>
      </x:c>
      <x:c r="P113" s="5" t="n">
        <x:v>1</x:v>
      </x:c>
      <x:c r="Q113" s="5" t="n"/>
      <x:c r="R113" s="5" t="inlineStr">
        <x:is>
          <x:t xml:space="preserve">45 C.F.R. § 164.308(a)(1)(ii)(A)</x:t>
        </x:is>
      </x:c>
      <x:c r="S113" s="5" t="inlineStr">
        <x:is>
          <x:t xml:space="preserve">Security Management Process — Risk Analysis</x:t>
        </x:is>
      </x:c>
      <x:c r="T113" s="5" t="inlineStr">
        <x:is>
          <x:t xml:space="preserve">Conduct an accurate and thorough assessment of the potential risks and vulnerabilities to the confidentiality, integrity, and availability of ePHI.</x:t>
        </x:is>
      </x:c>
      <x:c r="U113" s="5" t="inlineStr">
        <x:is>
          <x:t xml:space="preserve">Required implementation specification</x:t>
        </x:is>
      </x:c>
      <x:c r="V113" s="5" t="inlineStr">
        <x:is>
          <x:t xml:space="preserve">Administrative Safeguards</x:t>
        </x:is>
      </x:c>
      <x:c r="W113" s="28" t="inlineStr">
        <x:is>
          <x:t xml:space="preserve">https://www.ecfr.gov/current/title-45/subtitle-A/subchapter-C/part-164/section-164.308</x:t>
        </x:is>
      </x:c>
      <x:c r="X113" s="28" t="inlineStr">
        <x:is>
          <x:t xml:space="preserve">https://www.hhs.gov/hipaa/for-professionals/security/guidance/guidance-risk-analysis/index.html</x:t>
        </x:is>
      </x:c>
      <x:c r="Y113" s="5" t="n"/>
      <x:c r="Z113" s="5" t="n"/>
      <x:c r="AA113" s="5" t="n"/>
      <x:c r="AB113" s="5" t="n"/>
      <x:c r="AC113" s="5" t="n"/>
      <x:c r="AD113" s="5" t="n"/>
      <x:c r="AE113" s="5" t="n"/>
      <x:c r="AF113" s="5" t="n"/>
      <x:c r="AG113" s="5" t="n"/>
      <x:c r="AH113" s="5" t="n"/>
      <x:c r="AI113" s="5" t="n"/>
      <x:c r="AJ113" s="5" t="n"/>
      <x:c r="AK113" s="5" t="n"/>
      <x:c r="AL113" s="5" t="n"/>
    </x:row>
    <x:row r="114" ht="30" customHeight="1">
      <x:c r="A114" s="5" t="inlineStr">
        <x:is>
          <x:t xml:space="preserve">HITRUST e1.csv</x:t>
        </x:is>
      </x:c>
      <x:c r="B114" s="5" t="inlineStr">
        <x:is>
          <x:t xml:space="preserve">ER-41</x:t>
        </x:is>
      </x:c>
      <x:c r="C114" s="5" t="inlineStr">
        <x:is>
          <x:t xml:space="preserve">Policy</x:t>
        </x:is>
      </x:c>
      <x:c r="D114" s="5" t="inlineStr">
        <x:is>
          <x:t xml:space="preserve">Risk Management</x:t>
        </x:is>
      </x:c>
      <x:c r="E114" s="5" t="inlineStr">
        <x:is>
          <x:t xml:space="preserve">REQ-20-HIPAA</x:t>
        </x:is>
      </x:c>
      <x:c r="F114" s="5" t="inlineStr">
        <x:is>
          <x:t xml:space="preserve">1701.03a1Organizational.12345678</x:t>
        </x:is>
      </x:c>
      <x:c r="G114" s="5" t="inlineStr">
        <x:is>
          <x:t xml:space="preserve">Many:Many</x:t>
        </x:is>
      </x:c>
      <x:c r="H114" s="5" t="n">
        <x:v>1</x:v>
      </x:c>
      <x:c r="I114" s="5" t="inlineStr">
        <x:is>
          <x:t xml:space="preserve">45 CFR § 164.308(a)(1)(ii)(B)</x:t>
        </x:is>
      </x:c>
      <x:c r="J114" s="5" t="inlineStr">
        <x:is>
          <x:t xml:space="preserve">Security Management Process — Risk Management</x:t>
        </x:is>
      </x:c>
      <x:c r="K114" s="5" t="inlineStr">
        <x:is>
          <x:t xml:space="preserve">Direct</x:t>
        </x:is>
      </x:c>
      <x:c r="L114" s="5" t="inlineStr">
        <x:is>
          <x:t xml:space="preserve">Control context aligns to reducing identified risks and vulnerabilities to a reasonable and appropriate level.</x:t>
        </x:is>
      </x:c>
      <x:c r="M114"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4" s="5" t="inlineStr">
        <x:is>
          <x:t xml:space="preserve">Used for policy and operational rows focused on treatment/mitigation of identified risks.</x:t>
        </x:is>
      </x:c>
      <x:c r="O114" s="5" t="inlineStr">
        <x:is>
          <x:t xml:space="preserve">1701.03a1 Organizational.12345678</x:t>
        </x:is>
      </x:c>
      <x:c r="P114" s="5" t="n">
        <x:v>1</x:v>
      </x:c>
      <x:c r="Q114" s="5" t="n"/>
      <x:c r="R114" s="5" t="inlineStr">
        <x:is>
          <x:t xml:space="preserve">45 C.F.R. § 164.308(a)(1)(ii)(B)</x:t>
        </x:is>
      </x:c>
      <x:c r="S114" s="5" t="inlineStr">
        <x:is>
          <x:t xml:space="preserve">Security Management Process — Risk Management</x:t>
        </x:is>
      </x:c>
      <x:c r="T114" s="5" t="inlineStr">
        <x:is>
          <x:t xml:space="preserve">Implement security measures sufficient to reduce identified risks and vulnerabilities to a reasonable and appropriate level.</x:t>
        </x:is>
      </x:c>
      <x:c r="U114" s="5" t="inlineStr">
        <x:is>
          <x:t xml:space="preserve">Required implementation specification</x:t>
        </x:is>
      </x:c>
      <x:c r="V114" s="5" t="inlineStr">
        <x:is>
          <x:t xml:space="preserve">Administrative Safeguards</x:t>
        </x:is>
      </x:c>
      <x:c r="W114" s="28" t="inlineStr">
        <x:is>
          <x:t xml:space="preserve">https://www.ecfr.gov/current/title-45/subtitle-A/subchapter-C/part-164/section-164.308</x:t>
        </x:is>
      </x:c>
      <x:c r="X114" s="28" t="inlineStr">
        <x:is>
          <x:t xml:space="preserve">https://www.hhs.gov/hipaa/for-professionals/security/guidance/guidance-risk-analysis/index.html</x:t>
        </x:is>
      </x:c>
      <x:c r="Y114" s="5" t="n"/>
      <x:c r="Z114" s="5" t="n"/>
      <x:c r="AA114" s="5" t="n"/>
      <x:c r="AB114" s="5" t="n"/>
      <x:c r="AC114" s="5" t="n"/>
      <x:c r="AD114" s="5" t="n"/>
      <x:c r="AE114" s="5" t="n"/>
      <x:c r="AF114" s="5" t="n"/>
      <x:c r="AG114" s="5" t="n"/>
      <x:c r="AH114" s="5" t="n"/>
      <x:c r="AI114" s="5" t="n"/>
      <x:c r="AJ114" s="5" t="n"/>
      <x:c r="AK114" s="5" t="n"/>
      <x:c r="AL114" s="5" t="n"/>
    </x:row>
    <x:row r="115" ht="30" customHeight="1">
      <x:c r="A115" s="5" t="inlineStr">
        <x:is>
          <x:t xml:space="preserve">HITRUST e1.csv</x:t>
        </x:is>
      </x:c>
      <x:c r="B115" s="5" t="inlineStr">
        <x:is>
          <x:t xml:space="preserve">ER-41</x:t>
        </x:is>
      </x:c>
      <x:c r="C115" s="5" t="inlineStr">
        <x:is>
          <x:t xml:space="preserve">Policy</x:t>
        </x:is>
      </x:c>
      <x:c r="D115" s="5" t="inlineStr">
        <x:is>
          <x:t xml:space="preserve">Risk Management</x:t>
        </x:is>
      </x:c>
      <x:c r="E115" s="5" t="inlineStr">
        <x:is>
          <x:t xml:space="preserve">REQ-20-HIPAA</x:t>
        </x:is>
      </x:c>
      <x:c r="F115" s="5" t="inlineStr">
        <x:is>
          <x:t xml:space="preserve">1704.03b1Organizational.12</x:t>
        </x:is>
      </x:c>
      <x:c r="G115" s="5" t="inlineStr">
        <x:is>
          <x:t xml:space="preserve">Many:Many</x:t>
        </x:is>
      </x:c>
      <x:c r="H115" s="5" t="n">
        <x:v>2</x:v>
      </x:c>
      <x:c r="I115" s="5" t="inlineStr">
        <x:is>
          <x:t xml:space="preserve">45 CFR § 164.308(a)(1)(ii)(B)</x:t>
        </x:is>
      </x:c>
      <x:c r="J115" s="5" t="inlineStr">
        <x:is>
          <x:t xml:space="preserve">Security Management Process — Risk Management</x:t>
        </x:is>
      </x:c>
      <x:c r="K115" s="5" t="inlineStr">
        <x:is>
          <x:t xml:space="preserve">Direct</x:t>
        </x:is>
      </x:c>
      <x:c r="L115" s="5" t="inlineStr">
        <x:is>
          <x:t xml:space="preserve">Control context aligns to reducing identified risks and vulnerabilities to a reasonable and appropriate level.</x:t>
        </x:is>
      </x:c>
      <x:c r="M115"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N115" s="5" t="inlineStr">
        <x:is>
          <x:t xml:space="preserve">Used for policy and operational rows focused on treatment/mitigation of identified risks.</x:t>
        </x:is>
      </x:c>
      <x:c r="O115" s="5" t="inlineStr">
        <x:is>
          <x:t xml:space="preserve">1704.03b1 Organizational.12</x:t>
        </x:is>
      </x:c>
      <x:c r="P115" s="5" t="n">
        <x:v>1</x:v>
      </x:c>
      <x:c r="Q115" s="5" t="n"/>
      <x:c r="R115" s="5" t="inlineStr">
        <x:is>
          <x:t xml:space="preserve">45 C.F.R. § 164.308(a)(1)(ii)(B)</x:t>
        </x:is>
      </x:c>
      <x:c r="S115" s="5" t="inlineStr">
        <x:is>
          <x:t xml:space="preserve">Security Management Process — Risk Management</x:t>
        </x:is>
      </x:c>
      <x:c r="T115" s="5" t="inlineStr">
        <x:is>
          <x:t xml:space="preserve">Implement security measures sufficient to reduce identified risks and vulnerabilities to a reasonable and appropriate level.</x:t>
        </x:is>
      </x:c>
      <x:c r="U115" s="5" t="inlineStr">
        <x:is>
          <x:t xml:space="preserve">Required implementation specification</x:t>
        </x:is>
      </x:c>
      <x:c r="V115" s="5" t="inlineStr">
        <x:is>
          <x:t xml:space="preserve">Administrative Safeguards</x:t>
        </x:is>
      </x:c>
      <x:c r="W115" s="28" t="inlineStr">
        <x:is>
          <x:t xml:space="preserve">https://www.ecfr.gov/current/title-45/subtitle-A/subchapter-C/part-164/section-164.308</x:t>
        </x:is>
      </x:c>
      <x:c r="X115" s="28" t="inlineStr">
        <x:is>
          <x:t xml:space="preserve">https://www.hhs.gov/hipaa/for-professionals/security/guidance/guidance-risk-analysis/index.html</x:t>
        </x:is>
      </x:c>
      <x:c r="Y115" s="5" t="n"/>
      <x:c r="Z115" s="5" t="n"/>
      <x:c r="AA115" s="5" t="n"/>
      <x:c r="AB115" s="5" t="n"/>
      <x:c r="AC115" s="5" t="n"/>
      <x:c r="AD115" s="5" t="n"/>
      <x:c r="AE115" s="5" t="n"/>
      <x:c r="AF115" s="5" t="n"/>
      <x:c r="AG115" s="5" t="n"/>
      <x:c r="AH115" s="5" t="n"/>
      <x:c r="AI115" s="5" t="n"/>
      <x:c r="AJ115" s="5" t="n"/>
      <x:c r="AK115" s="5" t="n"/>
      <x:c r="AL115" s="5" t="n"/>
    </x:row>
    <x:row r="116" ht="30" customHeight="1">
      <x:c r="A116" s="5" t="inlineStr">
        <x:is>
          <x:t xml:space="preserve">HITRUST e1.csv</x:t>
        </x:is>
      </x:c>
      <x:c r="B116" s="5" t="inlineStr">
        <x:is>
          <x:t xml:space="preserve">ER-62</x:t>
        </x:is>
      </x:c>
      <x:c r="C116" s="5" t="inlineStr">
        <x:is>
          <x:t xml:space="preserve">Sample</x:t>
        </x:is>
      </x:c>
      <x:c r="D116" s="5" t="inlineStr">
        <x:is>
          <x:t xml:space="preserve">Software/Infrastructure Production Change Ticket</x:t>
        </x:is>
      </x:c>
      <x:c r="E116" s="5" t="inlineStr">
        <x:is>
          <x:t xml:space="preserve">REQ-55-HIPAA</x:t>
        </x:is>
      </x:c>
      <x:c r="F116" s="5" t="inlineStr">
        <x:is>
          <x:t xml:space="preserve">06.09b1System.2</x:t>
        </x:is>
      </x:c>
      <x:c r="G116" s="5" t="inlineStr">
        <x:is>
          <x:t xml:space="preserve">1:1</x:t>
        </x:is>
      </x:c>
      <x:c r="H116" s="5" t="n">
        <x:v>2</x:v>
      </x:c>
      <x:c r="I116" s="5" t="inlineStr">
        <x:is>
          <x:t xml:space="preserve">45 CFR § 164.308(a)(8); 45 CFR § 164.316(b)(1)</x:t>
        </x:is>
      </x:c>
      <x:c r="J116" s="5" t="inlineStr">
        <x:is>
          <x:t xml:space="preserve">Evaluation; Documentation</x:t>
        </x:is>
      </x:c>
      <x:c r="K116" s="5" t="inlineStr">
        <x:is>
          <x:t xml:space="preserve">Best-fit composite</x:t>
        </x:is>
      </x:c>
      <x:c r="L116" s="5" t="inlineStr">
        <x:is>
          <x:t xml:space="preserve">Production-change tickets/population evidence are not a named HIPAA specification, but they are strong evidence of evaluating and documenting operational changes affecting ePHI safeguards.</x:t>
        </x:is>
      </x:c>
      <x:c r="M116"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N116" s="5" t="inlineStr">
        <x:is>
          <x:t xml:space="preserve">Best-fit evidence mapping; HIPAA does not mandate a particular ticketing mechanism.</x:t>
        </x:is>
      </x:c>
      <x:c r="O116" s="5" t="inlineStr">
        <x:is>
          <x:t xml:space="preserve">06.09b1 System.2</x:t>
        </x:is>
      </x:c>
      <x:c r="P116" s="5" t="n">
        <x:v>2</x:v>
      </x:c>
      <x:c r="Q116" s="5" t="n"/>
      <x:c r="R116" s="5" t="inlineStr">
        <x:is>
          <x:t xml:space="preserve">45 C.F.R. § 164.308(a)(8)</x:t>
        </x:is>
      </x:c>
      <x:c r="S116" s="5" t="inlineStr">
        <x:is>
          <x:t xml:space="preserve">Evaluation</x:t>
        </x:is>
      </x:c>
      <x:c r="T116" s="5" t="inlineStr">
        <x:is>
          <x:t xml:space="preserve">Perform periodic technical and nontechnical evaluations, and repeat them in response to environmental or operational changes affecting the security of ePHI.</x:t>
        </x:is>
      </x:c>
      <x:c r="U116" s="5" t="inlineStr">
        <x:is>
          <x:t xml:space="preserve">Required standard</x:t>
        </x:is>
      </x:c>
      <x:c r="V116" s="5" t="inlineStr">
        <x:is>
          <x:t xml:space="preserve">Administrative Safeguards</x:t>
        </x:is>
      </x:c>
      <x:c r="W116" s="28" t="inlineStr">
        <x:is>
          <x:t xml:space="preserve">https://www.ecfr.gov/current/title-45/subtitle-A/subchapter-C/part-164/section-164.308</x:t>
        </x:is>
      </x:c>
      <x:c r="X116" s="28" t="inlineStr">
        <x:is>
          <x:t xml:space="preserve">https://www.hhs.gov/ocr/privacy/hipaa/administrative/securityrule/index.html</x:t>
        </x:is>
      </x:c>
      <x:c r="Y116" s="5" t="inlineStr">
        <x:is>
          <x:t xml:space="preserve">45 C.F.R. § 164.316(b)(1)</x:t>
        </x:is>
      </x:c>
      <x:c r="Z116" s="5" t="inlineStr">
        <x:is>
          <x:t xml:space="preserve">Documentation</x:t>
        </x:is>
      </x:c>
      <x:c r="AA116" s="5" t="inlineStr">
        <x:is>
          <x:t xml:space="preserve">Maintain written or electronic policies and procedures implemented to comply with the Security Rule and written or electronic records of required actions, activities, and assessments.</x:t>
        </x:is>
      </x:c>
      <x:c r="AB116" s="5" t="inlineStr">
        <x:is>
          <x:t xml:space="preserve">Standard</x:t>
        </x:is>
      </x:c>
      <x:c r="AC116" s="5" t="inlineStr">
        <x:is>
          <x:t xml:space="preserve">Policies / Documentation</x:t>
        </x:is>
      </x:c>
      <x:c r="AD116" s="28" t="inlineStr">
        <x:is>
          <x:t xml:space="preserve">https://www.ecfr.gov/current/title-45/subtitle-A/subchapter-C/part-164/section-164.316</x:t>
        </x:is>
      </x:c>
      <x:c r="AE116" s="28" t="inlineStr">
        <x:is>
          <x:t xml:space="preserve">https://www.hhs.gov/sites/default/files/ocr/privacy/hipaa/administrative/securityrule/pprequirements.pdf</x:t>
        </x:is>
      </x:c>
      <x:c r="AF116" s="5" t="n"/>
      <x:c r="AG116" s="5" t="n"/>
      <x:c r="AH116" s="5" t="n"/>
      <x:c r="AI116" s="5" t="n"/>
      <x:c r="AJ116" s="5" t="n"/>
      <x:c r="AK116" s="5" t="n"/>
      <x:c r="AL116" s="5" t="n"/>
    </x:row>
  </x:sheetData>
  <x:pageMargins left="0.7" right="0.7" top="0.75" bottom="0.75" header="0.3" footer="0.3"/>
</x:worksheet>
</file>

<file path=xl/worksheets/sheet10.xml><?xml version="1.0" encoding="utf-8"?>
<x:worksheet xmlns:x="http://schemas.openxmlformats.org/spreadsheetml/2006/main">
  <x:sheetFormatPr baseColWidth="8" defaultRowHeight="15"/>
  <x:cols>
    <x:col min="1" max="1" width="60" customWidth="1"/>
    <x:col min="2" max="2" width="20" customWidth="1"/>
    <x:col min="3" max="3" width="14" customWidth="1"/>
    <x:col min="4" max="4" width="15" customWidth="1"/>
    <x:col min="5" max="5" width="40" customWidth="1"/>
    <x:col min="6" max="6" width="18" customWidth="1"/>
    <x:col min="7" max="7" width="28" customWidth="1"/>
    <x:col min="8" max="8" width="28" customWidth="1"/>
    <x:col min="9" max="9" width="26" customWidth="1"/>
    <x:col min="10" max="10" width="18" customWidth="1"/>
    <x:col min="11" max="11" width="60" customWidth="1"/>
    <x:col min="12" max="12" width="60" customWidth="1"/>
    <x:col min="13" max="13" width="15" customWidth="1"/>
    <x:col min="14" max="14" width="28" customWidth="1"/>
    <x:col min="15" max="15" width="32" customWidth="1"/>
    <x:col min="16" max="16" width="60" customWidth="1"/>
    <x:col min="17" max="17" width="32" customWidth="1"/>
    <x:col min="18" max="18" width="27" customWidth="1"/>
    <x:col min="19" max="19" width="45" customWidth="1"/>
    <x:col min="20" max="20" width="45" customWidth="1"/>
    <x:col min="21" max="21" width="33" customWidth="1"/>
    <x:col min="22" max="22" width="60" customWidth="1"/>
    <x:col min="23" max="23" width="60" customWidth="1"/>
    <x:col min="24" max="24" width="60" customWidth="1"/>
  </x:cols>
  <x:sheetData>
    <x:row r="1" ht="30" customHeight="1">
      <x:c r="A1" s="11" t="inlineStr">
        <x:is>
          <x:t xml:space="preserve">Tuple Key</x:t>
        </x:is>
      </x:c>
      <x:c r="B1" s="11" t="inlineStr">
        <x:is>
          <x:t xml:space="preserve">Source File</x:t>
        </x:is>
      </x:c>
      <x:c r="C1" s="11" t="inlineStr">
        <x:is>
          <x:t xml:space="preserve">Reference ID</x:t>
        </x:is>
      </x:c>
      <x:c r="D1" s="11" t="inlineStr">
        <x:is>
          <x:t xml:space="preserve">Category</x:t>
        </x:is>
      </x:c>
      <x:c r="E1" s="11" t="inlineStr">
        <x:is>
          <x:t xml:space="preserve">Action Item</x:t>
        </x:is>
      </x:c>
      <x:c r="F1" s="11" t="inlineStr">
        <x:is>
          <x:t xml:space="preserve">HIPAA Control</x:t>
        </x:is>
      </x:c>
      <x:c r="G1" s="11" t="inlineStr">
        <x:is>
          <x:t xml:space="preserve">HITRUST e1 Control</x:t>
        </x:is>
      </x:c>
      <x:c r="H1" s="11" t="inlineStr">
        <x:is>
          <x:t xml:space="preserve">HITRUST e1 Control Display</x:t>
        </x:is>
      </x:c>
      <x:c r="I1" s="11" t="inlineStr">
        <x:is>
          <x:t xml:space="preserve">Action-Item Mapping Type</x:t>
        </x:is>
      </x:c>
      <x:c r="J1" s="11" t="inlineStr">
        <x:is>
          <x:t xml:space="preserve">Pair Reuse Count</x:t>
        </x:is>
      </x:c>
      <x:c r="K1" s="11" t="inlineStr">
        <x:is>
          <x:t xml:space="preserve">Original Citation Cell</x:t>
        </x:is>
      </x:c>
      <x:c r="L1" s="11" t="inlineStr">
        <x:is>
          <x:t xml:space="preserve">Original Standard / Spec Cell</x:t>
        </x:is>
      </x:c>
      <x:c r="M1" s="11" t="inlineStr">
        <x:is>
          <x:t xml:space="preserve">Citation Rank</x:t>
        </x:is>
      </x:c>
      <x:c r="N1" s="11" t="inlineStr">
        <x:is>
          <x:t xml:space="preserve">45_CFR_Citation</x:t>
        </x:is>
      </x:c>
      <x:c r="O1" s="11" t="inlineStr">
        <x:is>
          <x:t xml:space="preserve">HIPAA_Requirement_Title</x:t>
        </x:is>
      </x:c>
      <x:c r="P1" s="11" t="inlineStr">
        <x:is>
          <x:t xml:space="preserve">HIPAA_Requirement_Summary</x:t>
        </x:is>
      </x:c>
      <x:c r="Q1" s="11" t="inlineStr">
        <x:is>
          <x:t xml:space="preserve">Implementation_Type</x:t>
        </x:is>
      </x:c>
      <x:c r="R1" s="11" t="inlineStr">
        <x:is>
          <x:t xml:space="preserve">Safeguard_Family</x:t>
        </x:is>
      </x:c>
      <x:c r="S1" s="11" t="inlineStr">
        <x:is>
          <x:t xml:space="preserve">Official_Section_URL</x:t>
        </x:is>
      </x:c>
      <x:c r="T1" s="11" t="inlineStr">
        <x:is>
          <x:t xml:space="preserve">Official_Support_URL</x:t>
        </x:is>
      </x:c>
      <x:c r="U1" s="11" t="inlineStr">
        <x:is>
          <x:t xml:space="preserve">45 CFR Mapping Confidence</x:t>
        </x:is>
      </x:c>
      <x:c r="V1" s="11" t="inlineStr">
        <x:is>
          <x:t xml:space="preserve">45 CFR Mapping Basis</x:t>
        </x:is>
      </x:c>
      <x:c r="W1" s="11" t="inlineStr">
        <x:is>
          <x:t xml:space="preserve">45 CFR Notes</x:t>
        </x:is>
      </x:c>
      <x:c r="X1" s="11" t="inlineStr">
        <x:is>
          <x:t xml:space="preserve">Official Citation Adjustment Notes</x:t>
        </x:is>
      </x:c>
    </x:row>
    <x:row r="2" ht="30" customHeight="1">
      <x:c r="A2" s="5" t="inlineStr">
        <x:is>
          <x:t xml:space="preserve">ER-86|REQ-24-HIPAA|11.01e1System.2|Access Control</x:t>
        </x:is>
      </x:c>
      <x:c r="B2" s="5" t="inlineStr">
        <x:is>
          <x:t xml:space="preserve">HITRUST e1.csv</x:t>
        </x:is>
      </x:c>
      <x:c r="C2" s="5" t="inlineStr">
        <x:is>
          <x:t xml:space="preserve">ER-86</x:t>
        </x:is>
      </x:c>
      <x:c r="D2" s="5" t="inlineStr">
        <x:is>
          <x:t xml:space="preserve">Policy</x:t>
        </x:is>
      </x:c>
      <x:c r="E2" s="5" t="inlineStr">
        <x:is>
          <x:t xml:space="preserve">Access Control</x:t>
        </x:is>
      </x:c>
      <x:c r="F2" s="5" t="inlineStr">
        <x:is>
          <x:t xml:space="preserve">REQ-24-HIPAA</x:t>
        </x:is>
      </x:c>
      <x:c r="G2" s="5" t="inlineStr">
        <x:is>
          <x:t xml:space="preserve">11.01e1System.2</x:t>
        </x:is>
      </x:c>
      <x:c r="H2" s="5" t="inlineStr">
        <x:is>
          <x:t xml:space="preserve">11.01e1 System.2</x:t>
        </x:is>
      </x:c>
      <x:c r="I2" s="5" t="inlineStr">
        <x:is>
          <x:t xml:space="preserve">Many:1</x:t>
        </x:is>
      </x:c>
      <x:c r="J2" s="5" t="n">
        <x:v>1</x:v>
      </x:c>
      <x:c r="K2" s="5" t="inlineStr">
        <x:is>
          <x:t xml:space="preserve">45 CFR § 164.312(a)(1); 45 CFR § 164.308(a)(4)(i)</x:t>
        </x:is>
      </x:c>
      <x:c r="L2" s="5" t="inlineStr">
        <x:is>
          <x:t xml:space="preserve">Access Control; Information Access Management</x:t>
        </x:is>
      </x:c>
      <x:c r="M2" s="5" t="n">
        <x:v>1</x:v>
      </x:c>
      <x:c r="N2" s="5" t="inlineStr">
        <x:is>
          <x:t xml:space="preserve">45 C.F.R. § 164.312(a)(1)</x:t>
        </x:is>
      </x:c>
      <x:c r="O2" s="5" t="inlineStr">
        <x:is>
          <x:t xml:space="preserve">Access Control</x:t>
        </x:is>
      </x:c>
      <x:c r="P2" s="5" t="inlineStr">
        <x:is>
          <x:t xml:space="preserve">Implement technical policies and procedures for electronic information systems that maintain ePHI to allow access only to persons or software programs with authorized access rights.</x:t>
        </x:is>
      </x:c>
      <x:c r="Q2" s="5" t="inlineStr">
        <x:is>
          <x:t xml:space="preserve">Standard</x:t>
        </x:is>
      </x:c>
      <x:c r="R2" s="5" t="inlineStr">
        <x:is>
          <x:t xml:space="preserve">Technical Safeguards</x:t>
        </x:is>
      </x:c>
      <x:c r="S2" s="28" t="inlineStr">
        <x:is>
          <x:t xml:space="preserve">https://www.ecfr.gov/current/title-45/subtitle-A/subchapter-C/part-164/section-164.312</x:t>
        </x:is>
      </x:c>
      <x:c r="T2" s="28" t="inlineStr">
        <x:is>
          <x:t xml:space="preserve">https://www.hhs.gov/hipaa/for-professionals/compliance-enforcement/audit/protocol-edited/index.html</x:t>
        </x:is>
      </x:c>
      <x:c r="U2" s="5" t="inlineStr">
        <x:is>
          <x:t xml:space="preserve">Composite</x:t>
        </x:is>
      </x:c>
      <x:c r="V2" s="5" t="inlineStr">
        <x:is>
          <x:t xml:space="preserve">Broad access-control policy control spans both the technical access-control standard and the administrative information-access-management standard.</x:t>
        </x:is>
      </x:c>
      <x:c r="W2" s="5" t="inlineStr">
        <x:is>
          <x:t xml:space="preserve">Used when the spreadsheet row is a general access-control policy without a narrower authorization/review/termination artifact.</x:t>
        </x:is>
      </x:c>
      <x:c r="X2" s="5" t="inlineStr">
        <x:is>
          <x:t xml:space="preserve">45 CFR § 164.308(a)(4)(i) -&gt; 45 C.F.R. § 164.308(a)(4): Standard-level citation used in enhanced sheets because the underlying Thoropass control is general information-access management, not a health-care-clearinghouse-only function.</x:t>
        </x:is>
      </x:c>
    </x:row>
    <x:row r="3" ht="30" customHeight="1">
      <x:c r="A3" s="5" t="inlineStr">
        <x:is>
          <x:t xml:space="preserve">ER-86|REQ-24-HIPAA|11.01e1System.2|Access Control</x:t>
        </x:is>
      </x:c>
      <x:c r="B3" s="5" t="inlineStr">
        <x:is>
          <x:t xml:space="preserve">HITRUST e1.csv</x:t>
        </x:is>
      </x:c>
      <x:c r="C3" s="5" t="inlineStr">
        <x:is>
          <x:t xml:space="preserve">ER-86</x:t>
        </x:is>
      </x:c>
      <x:c r="D3" s="5" t="inlineStr">
        <x:is>
          <x:t xml:space="preserve">Policy</x:t>
        </x:is>
      </x:c>
      <x:c r="E3" s="5" t="inlineStr">
        <x:is>
          <x:t xml:space="preserve">Access Control</x:t>
        </x:is>
      </x:c>
      <x:c r="F3" s="5" t="inlineStr">
        <x:is>
          <x:t xml:space="preserve">REQ-24-HIPAA</x:t>
        </x:is>
      </x:c>
      <x:c r="G3" s="5" t="inlineStr">
        <x:is>
          <x:t xml:space="preserve">11.01e1System.2</x:t>
        </x:is>
      </x:c>
      <x:c r="H3" s="5" t="inlineStr">
        <x:is>
          <x:t xml:space="preserve">11.01e1 System.2</x:t>
        </x:is>
      </x:c>
      <x:c r="I3" s="5" t="inlineStr">
        <x:is>
          <x:t xml:space="preserve">Many:1</x:t>
        </x:is>
      </x:c>
      <x:c r="J3" s="5" t="n">
        <x:v>1</x:v>
      </x:c>
      <x:c r="K3" s="5" t="inlineStr">
        <x:is>
          <x:t xml:space="preserve">45 CFR § 164.312(a)(1); 45 CFR § 164.308(a)(4)(i)</x:t>
        </x:is>
      </x:c>
      <x:c r="L3" s="5" t="inlineStr">
        <x:is>
          <x:t xml:space="preserve">Access Control; Information Access Management</x:t>
        </x:is>
      </x:c>
      <x:c r="M3" s="5" t="n">
        <x:v>2</x:v>
      </x:c>
      <x:c r="N3" s="5" t="inlineStr">
        <x:is>
          <x:t xml:space="preserve">45 C.F.R. § 164.308(a)(4)</x:t>
        </x:is>
      </x:c>
      <x:c r="O3" s="5" t="inlineStr">
        <x:is>
          <x:t xml:space="preserve">Information Access Management</x:t>
        </x:is>
      </x:c>
      <x:c r="P3" s="5" t="inlineStr">
        <x:is>
          <x:t xml:space="preserve">Implement policies and procedures for authorizing access to ePHI that are consistent with the applicable requirements of the HIPAA Privacy Rule.</x:t>
        </x:is>
      </x:c>
      <x:c r="Q3" s="5" t="inlineStr">
        <x:is>
          <x:t xml:space="preserve">Standard</x:t>
        </x:is>
      </x:c>
      <x:c r="R3" s="5" t="inlineStr">
        <x:is>
          <x:t xml:space="preserve">Administrative Safeguards</x:t>
        </x:is>
      </x:c>
      <x:c r="S3" s="28" t="inlineStr">
        <x:is>
          <x:t xml:space="preserve">https://www.ecfr.gov/current/title-45/subtitle-A/subchapter-C/part-164/section-164.308</x:t>
        </x:is>
      </x:c>
      <x:c r="T3" s="28" t="inlineStr">
        <x:is>
          <x:t xml:space="preserve">https://www.hhs.gov/hipaa/for-professionals/compliance-enforcement/audit/protocol-edited/index.html</x:t>
        </x:is>
      </x:c>
      <x:c r="U3" s="5" t="inlineStr">
        <x:is>
          <x:t xml:space="preserve">Composite</x:t>
        </x:is>
      </x:c>
      <x:c r="V3" s="5" t="inlineStr">
        <x:is>
          <x:t xml:space="preserve">Broad access-control policy control spans both the technical access-control standard and the administrative information-access-management standard.</x:t>
        </x:is>
      </x:c>
      <x:c r="W3" s="5" t="inlineStr">
        <x:is>
          <x:t xml:space="preserve">Used when the spreadsheet row is a general access-control policy without a narrower authorization/review/termination artifact.</x:t>
        </x:is>
      </x:c>
      <x:c r="X3" s="5" t="inlineStr">
        <x:is>
          <x:t xml:space="preserve">45 CFR § 164.308(a)(4)(i) -&gt; 45 C.F.R. § 164.308(a)(4): Standard-level citation used in enhanced sheets because the underlying Thoropass control is general information-access management, not a health-care-clearinghouse-only function.</x:t>
        </x:is>
      </x:c>
    </x:row>
    <x:row r="4" ht="30" customHeight="1">
      <x:c r="A4" s="5" t="inlineStr">
        <x:is>
          <x:t xml:space="preserve">ER-86|REQ-29-HIPAA|11.01e1System.2|Access Control</x:t>
        </x:is>
      </x:c>
      <x:c r="B4" s="5" t="inlineStr">
        <x:is>
          <x:t xml:space="preserve">HITRUST e1.csv</x:t>
        </x:is>
      </x:c>
      <x:c r="C4" s="5" t="inlineStr">
        <x:is>
          <x:t xml:space="preserve">ER-86</x:t>
        </x:is>
      </x:c>
      <x:c r="D4" s="5" t="inlineStr">
        <x:is>
          <x:t xml:space="preserve">Policy</x:t>
        </x:is>
      </x:c>
      <x:c r="E4" s="5" t="inlineStr">
        <x:is>
          <x:t xml:space="preserve">Access Control</x:t>
        </x:is>
      </x:c>
      <x:c r="F4" s="5" t="inlineStr">
        <x:is>
          <x:t xml:space="preserve">REQ-29-HIPAA</x:t>
        </x:is>
      </x:c>
      <x:c r="G4" s="5" t="inlineStr">
        <x:is>
          <x:t xml:space="preserve">11.01e1System.2</x:t>
        </x:is>
      </x:c>
      <x:c r="H4" s="5" t="inlineStr">
        <x:is>
          <x:t xml:space="preserve">11.01e1 System.2</x:t>
        </x:is>
      </x:c>
      <x:c r="I4" s="5" t="inlineStr">
        <x:is>
          <x:t xml:space="preserve">Many:1</x:t>
        </x:is>
      </x:c>
      <x:c r="J4" s="5" t="n">
        <x:v>2</x:v>
      </x:c>
      <x:c r="K4" s="5" t="inlineStr">
        <x:is>
          <x:t xml:space="preserve">45 CFR § 164.308(a)(4)(ii)(C)</x:t>
        </x:is>
      </x:c>
      <x:c r="L4" s="5" t="inlineStr">
        <x:is>
          <x:t xml:space="preserve">Information Access Management — Access Establishment and Modification</x:t>
        </x:is>
      </x:c>
      <x:c r="M4" s="5" t="n">
        <x:v>1</x:v>
      </x:c>
      <x:c r="N4" s="5" t="inlineStr">
        <x:is>
          <x:t xml:space="preserve">45 C.F.R. § 164.308(a)(4)(ii)(C)</x:t>
        </x:is>
      </x:c>
      <x:c r="O4" s="5" t="inlineStr">
        <x:is>
          <x:t xml:space="preserve">Information Access Management — Access Establishment and Modification</x:t>
        </x:is>
      </x:c>
      <x:c r="P4" s="5" t="inlineStr">
        <x:is>
          <x:t xml:space="preserve">Implement policies and procedures to establish, document, review, and modify a user’s right of access to a workstation, transaction, program, or process.</x:t>
        </x:is>
      </x:c>
      <x:c r="Q4" s="5" t="inlineStr">
        <x:is>
          <x:t xml:space="preserve">Addressable implementation specification</x:t>
        </x:is>
      </x:c>
      <x:c r="R4" s="5" t="inlineStr">
        <x:is>
          <x:t xml:space="preserve">Administrative Safeguards</x:t>
        </x:is>
      </x:c>
      <x:c r="S4" s="28" t="inlineStr">
        <x:is>
          <x:t xml:space="preserve">https://www.ecfr.gov/current/title-45/subtitle-A/subchapter-C/part-164/section-164.308</x:t>
        </x:is>
      </x:c>
      <x:c r="T4" s="28" t="inlineStr">
        <x:is>
          <x:t xml:space="preserve">https://www.hhs.gov/hipaa/for-professionals/compliance-enforcement/audit/protocol-edited/index.html</x:t>
        </x:is>
      </x:c>
      <x:c r="U4" s="5" t="inlineStr">
        <x:is>
          <x:t xml:space="preserve">Direct</x:t>
        </x:is>
      </x:c>
      <x:c r="V4" s="5" t="inlineStr">
        <x:is>
          <x:t xml:space="preserve">Access-review documentation aligns directly to the requirement to establish, document, review, and modify user rights of access.</x:t>
        </x:is>
      </x:c>
      <x:c r="W4" s="5" t="inlineStr">
        <x:is>
          <x:t xml:space="preserve">Used for both access-review evidence and broader policy statements that emphasize periodic review/modification.</x:t>
        </x:is>
      </x:c>
      <x:c r="X4" s="5" t="n"/>
    </x:row>
    <x:row r="5" ht="30" customHeight="1">
      <x:c r="A5" s="5" t="inlineStr">
        <x:is>
          <x:t xml:space="preserve">ER-86|REQ-30-HIPAA|11.01e1System.2|Access Control</x:t>
        </x:is>
      </x:c>
      <x:c r="B5" s="5" t="inlineStr">
        <x:is>
          <x:t xml:space="preserve">HITRUST e1.csv</x:t>
        </x:is>
      </x:c>
      <x:c r="C5" s="5" t="inlineStr">
        <x:is>
          <x:t xml:space="preserve">ER-86</x:t>
        </x:is>
      </x:c>
      <x:c r="D5" s="5" t="inlineStr">
        <x:is>
          <x:t xml:space="preserve">Policy</x:t>
        </x:is>
      </x:c>
      <x:c r="E5" s="5" t="inlineStr">
        <x:is>
          <x:t xml:space="preserve">Access Control</x:t>
        </x:is>
      </x:c>
      <x:c r="F5" s="5" t="inlineStr">
        <x:is>
          <x:t xml:space="preserve">REQ-30-HIPAA</x:t>
        </x:is>
      </x:c>
      <x:c r="G5" s="5" t="inlineStr">
        <x:is>
          <x:t xml:space="preserve">11.01e1System.2</x:t>
        </x:is>
      </x:c>
      <x:c r="H5" s="5" t="inlineStr">
        <x:is>
          <x:t xml:space="preserve">11.01e1 System.2</x:t>
        </x:is>
      </x:c>
      <x:c r="I5" s="5" t="inlineStr">
        <x:is>
          <x:t xml:space="preserve">Many:1</x:t>
        </x:is>
      </x:c>
      <x:c r="J5" s="5" t="n">
        <x:v>1</x:v>
      </x:c>
      <x:c r="K5" s="5" t="inlineStr">
        <x:is>
          <x:t xml:space="preserve">45 CFR § 164.308(a)(4)(ii)(B)</x:t>
        </x:is>
      </x:c>
      <x:c r="L5" s="5" t="inlineStr">
        <x:is>
          <x:t xml:space="preserve">Information Access Management — Access Authorization</x:t>
        </x:is>
      </x:c>
      <x:c r="M5" s="5" t="n">
        <x:v>1</x:v>
      </x:c>
      <x:c r="N5" s="5" t="inlineStr">
        <x:is>
          <x:t xml:space="preserve">45 C.F.R. § 164.308(a)(4)(ii)(B)</x:t>
        </x:is>
      </x:c>
      <x:c r="O5" s="5" t="inlineStr">
        <x:is>
          <x:t xml:space="preserve">Information Access Management — Access Authorization</x:t>
        </x:is>
      </x:c>
      <x:c r="P5" s="5" t="inlineStr">
        <x:is>
          <x:t xml:space="preserve">Implement policies and procedures for granting access to ePHI through appropriate mechanisms such as workstations, transactions, programs, or processes.</x:t>
        </x:is>
      </x:c>
      <x:c r="Q5" s="5" t="inlineStr">
        <x:is>
          <x:t xml:space="preserve">Addressable implementation specification</x:t>
        </x:is>
      </x:c>
      <x:c r="R5" s="5" t="inlineStr">
        <x:is>
          <x:t xml:space="preserve">Administrative Safeguards</x:t>
        </x:is>
      </x:c>
      <x:c r="S5" s="28" t="inlineStr">
        <x:is>
          <x:t xml:space="preserve">https://www.ecfr.gov/current/title-45/subtitle-A/subchapter-C/part-164/section-164.308</x:t>
        </x:is>
      </x:c>
      <x:c r="T5" s="28" t="inlineStr">
        <x:is>
          <x:t xml:space="preserve">https://www.hhs.gov/hipaa/for-professionals/compliance-enforcement/audit/protocol-edited/index.html</x:t>
        </x:is>
      </x:c>
      <x:c r="U5" s="5" t="inlineStr">
        <x:is>
          <x:t xml:space="preserve">Direct</x:t>
        </x:is>
      </x:c>
      <x:c r="V5" s="5" t="inlineStr">
        <x:is>
          <x:t xml:space="preserve">New-hire access request and approval evidence aligns directly to access authorization.</x:t>
        </x:is>
      </x:c>
      <x:c r="W5" s="5" t="inlineStr">
        <x:is>
          <x:t xml:space="preserve">Used for access-request forms/templates and access-control rows that center on approvals.</x:t>
        </x:is>
      </x:c>
      <x:c r="X5" s="5" t="n"/>
    </x:row>
    <x:row r="6" ht="30" customHeight="1">
      <x:c r="A6" s="5" t="inlineStr">
        <x:is>
          <x:t xml:space="preserve">ER-86|REQ-31-HIPAA|11.01e1System.2|Access Control</x:t>
        </x:is>
      </x:c>
      <x:c r="B6" s="5" t="inlineStr">
        <x:is>
          <x:t xml:space="preserve">HITRUST e1.csv</x:t>
        </x:is>
      </x:c>
      <x:c r="C6" s="5" t="inlineStr">
        <x:is>
          <x:t xml:space="preserve">ER-86</x:t>
        </x:is>
      </x:c>
      <x:c r="D6" s="5" t="inlineStr">
        <x:is>
          <x:t xml:space="preserve">Policy</x:t>
        </x:is>
      </x:c>
      <x:c r="E6" s="5" t="inlineStr">
        <x:is>
          <x:t xml:space="preserve">Access Control</x:t>
        </x:is>
      </x:c>
      <x:c r="F6" s="5" t="inlineStr">
        <x:is>
          <x:t xml:space="preserve">REQ-31-HIPAA</x:t>
        </x:is>
      </x:c>
      <x:c r="G6" s="5" t="inlineStr">
        <x:is>
          <x:t xml:space="preserve">11.01e1System.2</x:t>
        </x:is>
      </x:c>
      <x:c r="H6" s="5" t="inlineStr">
        <x:is>
          <x:t xml:space="preserve">11.01e1 System.2</x:t>
        </x:is>
      </x:c>
      <x:c r="I6" s="5" t="inlineStr">
        <x:is>
          <x:t xml:space="preserve">Many:1</x:t>
        </x:is>
      </x:c>
      <x:c r="J6" s="5" t="n">
        <x:v>1</x:v>
      </x:c>
      <x:c r="K6" s="5" t="inlineStr">
        <x:is>
          <x:t xml:space="preserve">45 CFR § 164.308(a)(3)(ii)(C); 45 CFR § 164.308(a)(4)(ii)(C)</x:t>
        </x:is>
      </x:c>
      <x:c r="L6" s="5" t="inlineStr">
        <x:is>
          <x:t xml:space="preserve">Workforce Security — Termination Procedures; Information Access Management — Access Establishment and Modification</x:t>
        </x:is>
      </x:c>
      <x:c r="M6" s="5" t="n">
        <x:v>1</x:v>
      </x:c>
      <x:c r="N6" s="5" t="inlineStr">
        <x:is>
          <x:t xml:space="preserve">45 C.F.R. § 164.308(a)(3)(ii)(C)</x:t>
        </x:is>
      </x:c>
      <x:c r="O6" s="5" t="inlineStr">
        <x:is>
          <x:t xml:space="preserve">Workforce Security — Termination Procedures</x:t>
        </x:is>
      </x:c>
      <x:c r="P6" s="5" t="inlineStr">
        <x:is>
          <x:t xml:space="preserve">Implement procedures for terminating a workforce member’s access to ePHI when employment ends or when access should otherwise be removed.</x:t>
        </x:is>
      </x:c>
      <x:c r="Q6" s="5" t="inlineStr">
        <x:is>
          <x:t xml:space="preserve">Addressable implementation specification</x:t>
        </x:is>
      </x:c>
      <x:c r="R6" s="5" t="inlineStr">
        <x:is>
          <x:t xml:space="preserve">Administrative Safeguards</x:t>
        </x:is>
      </x:c>
      <x:c r="S6" s="28" t="inlineStr">
        <x:is>
          <x:t xml:space="preserve">https://www.ecfr.gov/current/title-45/subtitle-A/subchapter-C/part-164/section-164.308</x:t>
        </x:is>
      </x:c>
      <x:c r="T6" s="28" t="inlineStr">
        <x:is>
          <x:t xml:space="preserve">https://www.hhs.gov/hipaa/for-professionals/security/guidance/cybersecurity-newsletter-summer-2019/index.html</x:t>
        </x:is>
      </x:c>
      <x:c r="U6" s="5" t="inlineStr">
        <x:is>
          <x:t xml:space="preserve">Composite</x:t>
        </x:is>
      </x:c>
      <x:c r="V6" s="5" t="inlineStr">
        <x:is>
          <x:t xml:space="preserve">The same internal control appears within a general access-control policy row; termination remains the most likely HIPAA basis, with access-right modification as supporting context.</x:t>
        </x:is>
      </x:c>
      <x:c r="W6" s="5" t="inlineStr">
        <x:is>
          <x:t xml:space="preserve">Mapped conservatively because the internal control ID spans both termination evidence and access-control policy language.</x:t>
        </x:is>
      </x:c>
      <x:c r="X6" s="5" t="n"/>
    </x:row>
    <x:row r="7" ht="30" customHeight="1">
      <x:c r="A7" s="5" t="inlineStr">
        <x:is>
          <x:t xml:space="preserve">ER-86|REQ-31-HIPAA|11.01e1System.2|Access Control</x:t>
        </x:is>
      </x:c>
      <x:c r="B7" s="5" t="inlineStr">
        <x:is>
          <x:t xml:space="preserve">HITRUST e1.csv</x:t>
        </x:is>
      </x:c>
      <x:c r="C7" s="5" t="inlineStr">
        <x:is>
          <x:t xml:space="preserve">ER-86</x:t>
        </x:is>
      </x:c>
      <x:c r="D7" s="5" t="inlineStr">
        <x:is>
          <x:t xml:space="preserve">Policy</x:t>
        </x:is>
      </x:c>
      <x:c r="E7" s="5" t="inlineStr">
        <x:is>
          <x:t xml:space="preserve">Access Control</x:t>
        </x:is>
      </x:c>
      <x:c r="F7" s="5" t="inlineStr">
        <x:is>
          <x:t xml:space="preserve">REQ-31-HIPAA</x:t>
        </x:is>
      </x:c>
      <x:c r="G7" s="5" t="inlineStr">
        <x:is>
          <x:t xml:space="preserve">11.01e1System.2</x:t>
        </x:is>
      </x:c>
      <x:c r="H7" s="5" t="inlineStr">
        <x:is>
          <x:t xml:space="preserve">11.01e1 System.2</x:t>
        </x:is>
      </x:c>
      <x:c r="I7" s="5" t="inlineStr">
        <x:is>
          <x:t xml:space="preserve">Many:1</x:t>
        </x:is>
      </x:c>
      <x:c r="J7" s="5" t="n">
        <x:v>1</x:v>
      </x:c>
      <x:c r="K7" s="5" t="inlineStr">
        <x:is>
          <x:t xml:space="preserve">45 CFR § 164.308(a)(3)(ii)(C); 45 CFR § 164.308(a)(4)(ii)(C)</x:t>
        </x:is>
      </x:c>
      <x:c r="L7" s="5" t="inlineStr">
        <x:is>
          <x:t xml:space="preserve">Workforce Security — Termination Procedures; Information Access Management — Access Establishment and Modification</x:t>
        </x:is>
      </x:c>
      <x:c r="M7" s="5" t="n">
        <x:v>2</x:v>
      </x:c>
      <x:c r="N7" s="5" t="inlineStr">
        <x:is>
          <x:t xml:space="preserve">45 C.F.R. § 164.308(a)(4)(ii)(C)</x:t>
        </x:is>
      </x:c>
      <x:c r="O7" s="5" t="inlineStr">
        <x:is>
          <x:t xml:space="preserve">Information Access Management — Access Establishment and Modification</x:t>
        </x:is>
      </x:c>
      <x:c r="P7" s="5" t="inlineStr">
        <x:is>
          <x:t xml:space="preserve">Implement policies and procedures to establish, document, review, and modify a user’s right of access to a workstation, transaction, program, or process.</x:t>
        </x:is>
      </x:c>
      <x:c r="Q7" s="5" t="inlineStr">
        <x:is>
          <x:t xml:space="preserve">Addressable implementation specification</x:t>
        </x:is>
      </x:c>
      <x:c r="R7" s="5" t="inlineStr">
        <x:is>
          <x:t xml:space="preserve">Administrative Safeguards</x:t>
        </x:is>
      </x:c>
      <x:c r="S7" s="28" t="inlineStr">
        <x:is>
          <x:t xml:space="preserve">https://www.ecfr.gov/current/title-45/subtitle-A/subchapter-C/part-164/section-164.308</x:t>
        </x:is>
      </x:c>
      <x:c r="T7" s="28" t="inlineStr">
        <x:is>
          <x:t xml:space="preserve">https://www.hhs.gov/hipaa/for-professionals/compliance-enforcement/audit/protocol-edited/index.html</x:t>
        </x:is>
      </x:c>
      <x:c r="U7" s="5" t="inlineStr">
        <x:is>
          <x:t xml:space="preserve">Composite</x:t>
        </x:is>
      </x:c>
      <x:c r="V7" s="5" t="inlineStr">
        <x:is>
          <x:t xml:space="preserve">The same internal control appears within a general access-control policy row; termination remains the most likely HIPAA basis, with access-right modification as supporting context.</x:t>
        </x:is>
      </x:c>
      <x:c r="W7" s="5" t="inlineStr">
        <x:is>
          <x:t xml:space="preserve">Mapped conservatively because the internal control ID spans both termination evidence and access-control policy language.</x:t>
        </x:is>
      </x:c>
      <x:c r="X7" s="5" t="n"/>
    </x:row>
    <x:row r="8" ht="30" customHeight="1">
      <x:c r="A8" s="5" t="inlineStr">
        <x:is>
          <x:t xml:space="preserve">ER-87|REQ-29-HIPAA|11.01e1System.2|Access Review Documentation</x:t>
        </x:is>
      </x:c>
      <x:c r="B8" s="5" t="inlineStr">
        <x:is>
          <x:t xml:space="preserve">HITRUST e1.csv</x:t>
        </x:is>
      </x:c>
      <x:c r="C8" s="5" t="inlineStr">
        <x:is>
          <x:t xml:space="preserve">ER-87</x:t>
        </x:is>
      </x:c>
      <x:c r="D8" s="5" t="inlineStr">
        <x:is>
          <x:t xml:space="preserve">Sample</x:t>
        </x:is>
      </x:c>
      <x:c r="E8" s="5" t="inlineStr">
        <x:is>
          <x:t xml:space="preserve">Access Review Documentation</x:t>
        </x:is>
      </x:c>
      <x:c r="F8" s="5" t="inlineStr">
        <x:is>
          <x:t xml:space="preserve">REQ-29-HIPAA</x:t>
        </x:is>
      </x:c>
      <x:c r="G8" s="5" t="inlineStr">
        <x:is>
          <x:t xml:space="preserve">11.01e1System.2</x:t>
        </x:is>
      </x:c>
      <x:c r="H8" s="5" t="inlineStr">
        <x:is>
          <x:t xml:space="preserve">11.01e1 System.2</x:t>
        </x:is>
      </x:c>
      <x:c r="I8" s="5" t="inlineStr">
        <x:is>
          <x:t xml:space="preserve">1:1</x:t>
        </x:is>
      </x:c>
      <x:c r="J8" s="5" t="n">
        <x:v>2</x:v>
      </x:c>
      <x:c r="K8" s="5" t="inlineStr">
        <x:is>
          <x:t xml:space="preserve">45 CFR § 164.308(a)(4)(ii)(C)</x:t>
        </x:is>
      </x:c>
      <x:c r="L8" s="5" t="inlineStr">
        <x:is>
          <x:t xml:space="preserve">Information Access Management — Access Establishment and Modification</x:t>
        </x:is>
      </x:c>
      <x:c r="M8" s="5" t="n">
        <x:v>1</x:v>
      </x:c>
      <x:c r="N8" s="5" t="inlineStr">
        <x:is>
          <x:t xml:space="preserve">45 C.F.R. § 164.308(a)(4)(ii)(C)</x:t>
        </x:is>
      </x:c>
      <x:c r="O8" s="5" t="inlineStr">
        <x:is>
          <x:t xml:space="preserve">Information Access Management — Access Establishment and Modification</x:t>
        </x:is>
      </x:c>
      <x:c r="P8" s="5" t="inlineStr">
        <x:is>
          <x:t xml:space="preserve">Implement policies and procedures to establish, document, review, and modify a user’s right of access to a workstation, transaction, program, or process.</x:t>
        </x:is>
      </x:c>
      <x:c r="Q8" s="5" t="inlineStr">
        <x:is>
          <x:t xml:space="preserve">Addressable implementation specification</x:t>
        </x:is>
      </x:c>
      <x:c r="R8" s="5" t="inlineStr">
        <x:is>
          <x:t xml:space="preserve">Administrative Safeguards</x:t>
        </x:is>
      </x:c>
      <x:c r="S8" s="28" t="inlineStr">
        <x:is>
          <x:t xml:space="preserve">https://www.ecfr.gov/current/title-45/subtitle-A/subchapter-C/part-164/section-164.308</x:t>
        </x:is>
      </x:c>
      <x:c r="T8" s="28" t="inlineStr">
        <x:is>
          <x:t xml:space="preserve">https://www.hhs.gov/hipaa/for-professionals/compliance-enforcement/audit/protocol-edited/index.html</x:t>
        </x:is>
      </x:c>
      <x:c r="U8" s="5" t="inlineStr">
        <x:is>
          <x:t xml:space="preserve">Direct</x:t>
        </x:is>
      </x:c>
      <x:c r="V8" s="5" t="inlineStr">
        <x:is>
          <x:t xml:space="preserve">Access-review documentation aligns directly to the requirement to establish, document, review, and modify user rights of access.</x:t>
        </x:is>
      </x:c>
      <x:c r="W8" s="5" t="inlineStr">
        <x:is>
          <x:t xml:space="preserve">Used for both access-review evidence and broader policy statements that emphasize periodic review/modification.</x:t>
        </x:is>
      </x:c>
      <x:c r="X8" s="5" t="n"/>
    </x:row>
    <x:row r="9" ht="30" customHeight="1">
      <x:c r="A9" s="5" t="inlineStr">
        <x:is>
          <x:t xml:space="preserve">ER-141|REQ-50-HIPAA|1561.11c1Organizational.4|All Incidents Identified During the Review Period [INSERT EXAM PERIOD]</x:t>
        </x:is>
      </x:c>
      <x:c r="B9" s="5" t="inlineStr">
        <x:is>
          <x:t xml:space="preserve">HITRUST e1.csv</x:t>
        </x:is>
      </x:c>
      <x:c r="C9" s="5" t="inlineStr">
        <x:is>
          <x:t xml:space="preserve">ER-141</x:t>
        </x:is>
      </x:c>
      <x:c r="D9" s="5" t="inlineStr">
        <x:is>
          <x:t xml:space="preserve">Population</x:t>
        </x:is>
      </x:c>
      <x:c r="E9" s="5" t="inlineStr">
        <x:is>
          <x:t xml:space="preserve">All Incidents Identified During the Review Period [INSERT EXAM PERIOD]</x:t>
        </x:is>
      </x:c>
      <x:c r="F9" s="5" t="inlineStr">
        <x:is>
          <x:t xml:space="preserve">REQ-50-HIPAA</x:t>
        </x:is>
      </x:c>
      <x:c r="G9" s="5" t="inlineStr">
        <x:is>
          <x:t xml:space="preserve">1561.11c1Organizational.4</x:t>
        </x:is>
      </x:c>
      <x:c r="H9" s="5" t="inlineStr">
        <x:is>
          <x:t xml:space="preserve">1561.11c1 Organizational.4</x:t>
        </x:is>
      </x:c>
      <x:c r="I9" s="5" t="inlineStr">
        <x:is>
          <x:t xml:space="preserve">Many:1</x:t>
        </x:is>
      </x:c>
      <x:c r="J9" s="5" t="n">
        <x:v>1</x:v>
      </x:c>
      <x:c r="K9" s="5" t="inlineStr">
        <x:is>
          <x:t xml:space="preserve">45 CFR § 164.308(a)(6)(ii); 45 CFR § 164.316(b)(1)</x:t>
        </x:is>
      </x:c>
      <x:c r="L9" s="5" t="inlineStr">
        <x:is>
          <x:t xml:space="preserve">Security Incident Procedures — Response and Reporting; Documentation</x:t>
        </x:is>
      </x:c>
      <x:c r="M9" s="5" t="n">
        <x:v>1</x:v>
      </x:c>
      <x:c r="N9" s="5" t="inlineStr">
        <x:is>
          <x:t xml:space="preserve">45 C.F.R. § 164.308(a)(6)(ii)</x:t>
        </x:is>
      </x:c>
      <x:c r="O9" s="5" t="inlineStr">
        <x:is>
          <x:t xml:space="preserve">Security Incident Procedures — Response and Reporting</x:t>
        </x:is>
      </x:c>
      <x:c r="P9" s="5" t="inlineStr">
        <x:is>
          <x:t xml:space="preserve">Identify and respond to suspected or known security incidents, mitigate harmful effects to the extent practicable, and document incidents and outcomes.</x:t>
        </x:is>
      </x:c>
      <x:c r="Q9" s="5" t="inlineStr">
        <x:is>
          <x:t xml:space="preserve">Required implementation specification</x:t>
        </x:is>
      </x:c>
      <x:c r="R9" s="5" t="inlineStr">
        <x:is>
          <x:t xml:space="preserve">Administrative Safeguards</x:t>
        </x:is>
      </x:c>
      <x:c r="S9" s="28" t="inlineStr">
        <x:is>
          <x:t xml:space="preserve">https://www.ecfr.gov/current/title-45/subtitle-A/subchapter-C/part-164/section-164.308</x:t>
        </x:is>
      </x:c>
      <x:c r="T9" s="28" t="inlineStr">
        <x:is>
          <x:t xml:space="preserve">https://www.hhs.gov/hipaa/for-professionals/faq/2002/what-does-the-security-rule-require-a-covered-entity-to-do-to-comply/index.html</x:t>
        </x:is>
      </x:c>
      <x:c r="U9" s="5" t="inlineStr">
        <x:is>
          <x:t xml:space="preserve">Composite</x:t>
        </x:is>
      </x:c>
      <x:c r="V9" s="5" t="inlineStr">
        <x:is>
          <x:t xml:space="preserve">Incident tickets/population evidence show response/reporting activities and the required documentation of incidents and outcomes.</x:t>
        </x:is>
      </x:c>
      <x:c r="W9" s="5" t="inlineStr">
        <x:is>
          <x:t xml:space="preserve">Documentation is added because the evidence row is a ticket/log of incidents during the review period.</x:t>
        </x:is>
      </x:c>
      <x:c r="X9" s="5" t="n"/>
    </x:row>
    <x:row r="10" ht="30" customHeight="1">
      <x:c r="A10" s="5" t="inlineStr">
        <x:is>
          <x:t xml:space="preserve">ER-141|REQ-50-HIPAA|1561.11c1Organizational.4|All Incidents Identified During the Review Period [INSERT EXAM PERIOD]</x:t>
        </x:is>
      </x:c>
      <x:c r="B10" s="5" t="inlineStr">
        <x:is>
          <x:t xml:space="preserve">HITRUST e1.csv</x:t>
        </x:is>
      </x:c>
      <x:c r="C10" s="5" t="inlineStr">
        <x:is>
          <x:t xml:space="preserve">ER-141</x:t>
        </x:is>
      </x:c>
      <x:c r="D10" s="5" t="inlineStr">
        <x:is>
          <x:t xml:space="preserve">Population</x:t>
        </x:is>
      </x:c>
      <x:c r="E10" s="5" t="inlineStr">
        <x:is>
          <x:t xml:space="preserve">All Incidents Identified During the Review Period [INSERT EXAM PERIOD]</x:t>
        </x:is>
      </x:c>
      <x:c r="F10" s="5" t="inlineStr">
        <x:is>
          <x:t xml:space="preserve">REQ-50-HIPAA</x:t>
        </x:is>
      </x:c>
      <x:c r="G10" s="5" t="inlineStr">
        <x:is>
          <x:t xml:space="preserve">1561.11c1Organizational.4</x:t>
        </x:is>
      </x:c>
      <x:c r="H10" s="5" t="inlineStr">
        <x:is>
          <x:t xml:space="preserve">1561.11c1 Organizational.4</x:t>
        </x:is>
      </x:c>
      <x:c r="I10" s="5" t="inlineStr">
        <x:is>
          <x:t xml:space="preserve">Many:1</x:t>
        </x:is>
      </x:c>
      <x:c r="J10" s="5" t="n">
        <x:v>1</x:v>
      </x:c>
      <x:c r="K10" s="5" t="inlineStr">
        <x:is>
          <x:t xml:space="preserve">45 CFR § 164.308(a)(6)(ii); 45 CFR § 164.316(b)(1)</x:t>
        </x:is>
      </x:c>
      <x:c r="L10" s="5" t="inlineStr">
        <x:is>
          <x:t xml:space="preserve">Security Incident Procedures — Response and Reporting; Documentation</x:t>
        </x:is>
      </x:c>
      <x:c r="M10" s="5" t="n">
        <x:v>2</x:v>
      </x:c>
      <x:c r="N10" s="5" t="inlineStr">
        <x:is>
          <x:t xml:space="preserve">45 C.F.R. § 164.316(b)(1)</x:t>
        </x:is>
      </x:c>
      <x:c r="O10" s="5" t="inlineStr">
        <x:is>
          <x:t xml:space="preserve">Documentation</x:t>
        </x:is>
      </x:c>
      <x:c r="P10" s="5" t="inlineStr">
        <x:is>
          <x:t xml:space="preserve">Maintain written or electronic policies and procedures implemented to comply with the Security Rule and written or electronic records of required actions, activities, and assessments.</x:t>
        </x:is>
      </x:c>
      <x:c r="Q10" s="5" t="inlineStr">
        <x:is>
          <x:t xml:space="preserve">Standard</x:t>
        </x:is>
      </x:c>
      <x:c r="R10" s="5" t="inlineStr">
        <x:is>
          <x:t xml:space="preserve">Policies / Documentation</x:t>
        </x:is>
      </x:c>
      <x:c r="S10" s="28" t="inlineStr">
        <x:is>
          <x:t xml:space="preserve">https://www.ecfr.gov/current/title-45/subtitle-A/subchapter-C/part-164/section-164.316</x:t>
        </x:is>
      </x:c>
      <x:c r="T10" s="28" t="inlineStr">
        <x:is>
          <x:t xml:space="preserve">https://www.hhs.gov/sites/default/files/ocr/privacy/hipaa/administrative/securityrule/pprequirements.pdf</x:t>
        </x:is>
      </x:c>
      <x:c r="U10" s="5" t="inlineStr">
        <x:is>
          <x:t xml:space="preserve">Composite</x:t>
        </x:is>
      </x:c>
      <x:c r="V10" s="5" t="inlineStr">
        <x:is>
          <x:t xml:space="preserve">Incident tickets/population evidence show response/reporting activities and the required documentation of incidents and outcomes.</x:t>
        </x:is>
      </x:c>
      <x:c r="W10" s="5" t="inlineStr">
        <x:is>
          <x:t xml:space="preserve">Documentation is added because the evidence row is a ticket/log of incidents during the review period.</x:t>
        </x:is>
      </x:c>
      <x:c r="X10" s="5" t="n"/>
    </x:row>
    <x:row r="11" ht="30" customHeight="1">
      <x:c r="A11" s="5" t="inlineStr">
        <x:is>
          <x:t xml:space="preserve">ER-141|REQ-995-HIPAA|1561.11c1Organizational.4|All Incidents Identified During the Review Period [INSERT EXAM PERIOD]</x:t>
        </x:is>
      </x:c>
      <x:c r="B11" s="5" t="inlineStr">
        <x:is>
          <x:t xml:space="preserve">HITRUST e1.csv</x:t>
        </x:is>
      </x:c>
      <x:c r="C11" s="5" t="inlineStr">
        <x:is>
          <x:t xml:space="preserve">ER-141</x:t>
        </x:is>
      </x:c>
      <x:c r="D11" s="5" t="inlineStr">
        <x:is>
          <x:t xml:space="preserve">Population</x:t>
        </x:is>
      </x:c>
      <x:c r="E11" s="5" t="inlineStr">
        <x:is>
          <x:t xml:space="preserve">All Incidents Identified During the Review Period [INSERT EXAM PERIOD]</x:t>
        </x:is>
      </x:c>
      <x:c r="F11" s="5" t="inlineStr">
        <x:is>
          <x:t xml:space="preserve">REQ-995-HIPAA</x:t>
        </x:is>
      </x:c>
      <x:c r="G11" s="5" t="inlineStr">
        <x:is>
          <x:t xml:space="preserve">1561.11c1Organizational.4</x:t>
        </x:is>
      </x:c>
      <x:c r="H11" s="5" t="inlineStr">
        <x:is>
          <x:t xml:space="preserve">1561.11c1 Organizational.4</x:t>
        </x:is>
      </x:c>
      <x:c r="I11" s="5" t="inlineStr">
        <x:is>
          <x:t xml:space="preserve">Many:1</x:t>
        </x:is>
      </x:c>
      <x:c r="J11" s="5" t="n">
        <x:v>1</x:v>
      </x:c>
      <x:c r="K11" s="5" t="inlineStr">
        <x:is>
          <x:t xml:space="preserve">45 CFR § 164.308(a)(6)(ii); 45 CFR § 164.316(b)(1)</x:t>
        </x:is>
      </x:c>
      <x:c r="L11" s="5" t="inlineStr">
        <x:is>
          <x:t xml:space="preserve">Security Incident Procedures — Response and Reporting; Documentation</x:t>
        </x:is>
      </x:c>
      <x:c r="M11" s="5" t="n">
        <x:v>1</x:v>
      </x:c>
      <x:c r="N11" s="5" t="inlineStr">
        <x:is>
          <x:t xml:space="preserve">45 C.F.R. § 164.308(a)(6)(ii)</x:t>
        </x:is>
      </x:c>
      <x:c r="O11" s="5" t="inlineStr">
        <x:is>
          <x:t xml:space="preserve">Security Incident Procedures — Response and Reporting</x:t>
        </x:is>
      </x:c>
      <x:c r="P11" s="5" t="inlineStr">
        <x:is>
          <x:t xml:space="preserve">Identify and respond to suspected or known security incidents, mitigate harmful effects to the extent practicable, and document incidents and outcomes.</x:t>
        </x:is>
      </x:c>
      <x:c r="Q11" s="5" t="inlineStr">
        <x:is>
          <x:t xml:space="preserve">Required implementation specification</x:t>
        </x:is>
      </x:c>
      <x:c r="R11" s="5" t="inlineStr">
        <x:is>
          <x:t xml:space="preserve">Administrative Safeguards</x:t>
        </x:is>
      </x:c>
      <x:c r="S11" s="28" t="inlineStr">
        <x:is>
          <x:t xml:space="preserve">https://www.ecfr.gov/current/title-45/subtitle-A/subchapter-C/part-164/section-164.308</x:t>
        </x:is>
      </x:c>
      <x:c r="T11" s="28" t="inlineStr">
        <x:is>
          <x:t xml:space="preserve">https://www.hhs.gov/hipaa/for-professionals/faq/2002/what-does-the-security-rule-require-a-covered-entity-to-do-to-comply/index.html</x:t>
        </x:is>
      </x:c>
      <x:c r="U11" s="5" t="inlineStr">
        <x:is>
          <x:t xml:space="preserve">Best-fit composite</x:t>
        </x:is>
      </x:c>
      <x:c r="V11" s="5" t="inlineStr">
        <x:is>
          <x:t xml:space="preserve">Generic population/evidence control used to show incidents and outcomes during the review period.</x:t>
        </x:is>
      </x:c>
      <x:c r="W11" s="5" t="inlineStr">
        <x:is>
          <x:t xml:space="preserve">Internal control is generic; citation follows the specific evidence row context.</x:t>
        </x:is>
      </x:c>
      <x:c r="X11" s="5" t="n"/>
    </x:row>
    <x:row r="12" ht="30" customHeight="1">
      <x:c r="A12" s="5" t="inlineStr">
        <x:is>
          <x:t xml:space="preserve">ER-141|REQ-995-HIPAA|1561.11c1Organizational.4|All Incidents Identified During the Review Period [INSERT EXAM PERIOD]</x:t>
        </x:is>
      </x:c>
      <x:c r="B12" s="5" t="inlineStr">
        <x:is>
          <x:t xml:space="preserve">HITRUST e1.csv</x:t>
        </x:is>
      </x:c>
      <x:c r="C12" s="5" t="inlineStr">
        <x:is>
          <x:t xml:space="preserve">ER-141</x:t>
        </x:is>
      </x:c>
      <x:c r="D12" s="5" t="inlineStr">
        <x:is>
          <x:t xml:space="preserve">Population</x:t>
        </x:is>
      </x:c>
      <x:c r="E12" s="5" t="inlineStr">
        <x:is>
          <x:t xml:space="preserve">All Incidents Identified During the Review Period [INSERT EXAM PERIOD]</x:t>
        </x:is>
      </x:c>
      <x:c r="F12" s="5" t="inlineStr">
        <x:is>
          <x:t xml:space="preserve">REQ-995-HIPAA</x:t>
        </x:is>
      </x:c>
      <x:c r="G12" s="5" t="inlineStr">
        <x:is>
          <x:t xml:space="preserve">1561.11c1Organizational.4</x:t>
        </x:is>
      </x:c>
      <x:c r="H12" s="5" t="inlineStr">
        <x:is>
          <x:t xml:space="preserve">1561.11c1 Organizational.4</x:t>
        </x:is>
      </x:c>
      <x:c r="I12" s="5" t="inlineStr">
        <x:is>
          <x:t xml:space="preserve">Many:1</x:t>
        </x:is>
      </x:c>
      <x:c r="J12" s="5" t="n">
        <x:v>1</x:v>
      </x:c>
      <x:c r="K12" s="5" t="inlineStr">
        <x:is>
          <x:t xml:space="preserve">45 CFR § 164.308(a)(6)(ii); 45 CFR § 164.316(b)(1)</x:t>
        </x:is>
      </x:c>
      <x:c r="L12" s="5" t="inlineStr">
        <x:is>
          <x:t xml:space="preserve">Security Incident Procedures — Response and Reporting; Documentation</x:t>
        </x:is>
      </x:c>
      <x:c r="M12" s="5" t="n">
        <x:v>2</x:v>
      </x:c>
      <x:c r="N12" s="5" t="inlineStr">
        <x:is>
          <x:t xml:space="preserve">45 C.F.R. § 164.316(b)(1)</x:t>
        </x:is>
      </x:c>
      <x:c r="O12" s="5" t="inlineStr">
        <x:is>
          <x:t xml:space="preserve">Documentation</x:t>
        </x:is>
      </x:c>
      <x:c r="P12" s="5" t="inlineStr">
        <x:is>
          <x:t xml:space="preserve">Maintain written or electronic policies and procedures implemented to comply with the Security Rule and written or electronic records of required actions, activities, and assessments.</x:t>
        </x:is>
      </x:c>
      <x:c r="Q12" s="5" t="inlineStr">
        <x:is>
          <x:t xml:space="preserve">Standard</x:t>
        </x:is>
      </x:c>
      <x:c r="R12" s="5" t="inlineStr">
        <x:is>
          <x:t xml:space="preserve">Policies / Documentation</x:t>
        </x:is>
      </x:c>
      <x:c r="S12" s="28" t="inlineStr">
        <x:is>
          <x:t xml:space="preserve">https://www.ecfr.gov/current/title-45/subtitle-A/subchapter-C/part-164/section-164.316</x:t>
        </x:is>
      </x:c>
      <x:c r="T12" s="28" t="inlineStr">
        <x:is>
          <x:t xml:space="preserve">https://www.hhs.gov/sites/default/files/ocr/privacy/hipaa/administrative/securityrule/pprequirements.pdf</x:t>
        </x:is>
      </x:c>
      <x:c r="U12" s="5" t="inlineStr">
        <x:is>
          <x:t xml:space="preserve">Best-fit composite</x:t>
        </x:is>
      </x:c>
      <x:c r="V12" s="5" t="inlineStr">
        <x:is>
          <x:t xml:space="preserve">Generic population/evidence control used to show incidents and outcomes during the review period.</x:t>
        </x:is>
      </x:c>
      <x:c r="W12" s="5" t="inlineStr">
        <x:is>
          <x:t xml:space="preserve">Internal control is generic; citation follows the specific evidence row context.</x:t>
        </x:is>
      </x:c>
      <x:c r="X12" s="5" t="n"/>
    </x:row>
    <x:row r="13" ht="30" customHeight="1">
      <x:c r="A13" s="5" t="inlineStr">
        <x:is>
          <x:t xml:space="preserve">ER-139|REQ-55-HIPAA|06.09b1System.2|All Software and Infrastructure Production Changes During the Review Period [INSERT EXAM PERIOD]</x:t>
        </x:is>
      </x:c>
      <x:c r="B13" s="5" t="inlineStr">
        <x:is>
          <x:t xml:space="preserve">HITRUST e1.csv</x:t>
        </x:is>
      </x:c>
      <x:c r="C13" s="5" t="inlineStr">
        <x:is>
          <x:t xml:space="preserve">ER-139</x:t>
        </x:is>
      </x:c>
      <x:c r="D13" s="5" t="inlineStr">
        <x:is>
          <x:t xml:space="preserve">Population</x:t>
        </x:is>
      </x:c>
      <x:c r="E13" s="5" t="inlineStr">
        <x:is>
          <x:t xml:space="preserve">All Software and Infrastructure Production Changes During the Review Period [INSERT EXAM PERIOD]</x:t>
        </x:is>
      </x:c>
      <x:c r="F13" s="5" t="inlineStr">
        <x:is>
          <x:t xml:space="preserve">REQ-55-HIPAA</x:t>
        </x:is>
      </x:c>
      <x:c r="G13" s="5" t="inlineStr">
        <x:is>
          <x:t xml:space="preserve">06.09b1System.2</x:t>
        </x:is>
      </x:c>
      <x:c r="H13" s="5" t="inlineStr">
        <x:is>
          <x:t xml:space="preserve">06.09b1 System.2</x:t>
        </x:is>
      </x:c>
      <x:c r="I13" s="5" t="inlineStr">
        <x:is>
          <x:t xml:space="preserve">Many:Many</x:t>
        </x:is>
      </x:c>
      <x:c r="J13" s="5" t="n">
        <x:v>2</x:v>
      </x:c>
      <x:c r="K13" s="5" t="inlineStr">
        <x:is>
          <x:t xml:space="preserve">45 CFR § 164.308(a)(8); 45 CFR § 164.316(b)(1)</x:t>
        </x:is>
      </x:c>
      <x:c r="L13" s="5" t="inlineStr">
        <x:is>
          <x:t xml:space="preserve">Evaluation; Documentation</x:t>
        </x:is>
      </x:c>
      <x:c r="M13" s="5" t="n">
        <x:v>1</x:v>
      </x:c>
      <x:c r="N13" s="5" t="inlineStr">
        <x:is>
          <x:t xml:space="preserve">45 C.F.R. § 164.308(a)(8)</x:t>
        </x:is>
      </x:c>
      <x:c r="O13" s="5" t="inlineStr">
        <x:is>
          <x:t xml:space="preserve">Evaluation</x:t>
        </x:is>
      </x:c>
      <x:c r="P13" s="5" t="inlineStr">
        <x:is>
          <x:t xml:space="preserve">Perform periodic technical and nontechnical evaluations, and repeat them in response to environmental or operational changes affecting the security of ePHI.</x:t>
        </x:is>
      </x:c>
      <x:c r="Q13" s="5" t="inlineStr">
        <x:is>
          <x:t xml:space="preserve">Required standard</x:t>
        </x:is>
      </x:c>
      <x:c r="R13" s="5" t="inlineStr">
        <x:is>
          <x:t xml:space="preserve">Administrative Safeguards</x:t>
        </x:is>
      </x:c>
      <x:c r="S13" s="28" t="inlineStr">
        <x:is>
          <x:t xml:space="preserve">https://www.ecfr.gov/current/title-45/subtitle-A/subchapter-C/part-164/section-164.308</x:t>
        </x:is>
      </x:c>
      <x:c r="T13" s="28" t="inlineStr">
        <x:is>
          <x:t xml:space="preserve">https://www.hhs.gov/ocr/privacy/hipaa/administrative/securityrule/index.html</x:t>
        </x:is>
      </x:c>
      <x:c r="U13" s="5" t="inlineStr">
        <x:is>
          <x:t xml:space="preserve">Best-fit composite</x:t>
        </x:is>
      </x:c>
      <x:c r="V13" s="5" t="inlineStr">
        <x:is>
          <x:t xml:space="preserve">Production-change tickets/population evidence are not a named HIPAA specification, but they are strong evidence of evaluating and documenting operational changes affecting ePHI safeguards.</x:t>
        </x:is>
      </x:c>
      <x:c r="W13" s="5" t="inlineStr">
        <x:is>
          <x:t xml:space="preserve">Best-fit evidence mapping; HIPAA does not mandate a particular ticketing mechanism.</x:t>
        </x:is>
      </x:c>
      <x:c r="X13" s="5" t="n"/>
    </x:row>
    <x:row r="14" ht="30" customHeight="1">
      <x:c r="A14" s="5" t="inlineStr">
        <x:is>
          <x:t xml:space="preserve">ER-139|REQ-55-HIPAA|06.09b1System.2|All Software and Infrastructure Production Changes During the Review Period [INSERT EXAM PERIOD]</x:t>
        </x:is>
      </x:c>
      <x:c r="B14" s="5" t="inlineStr">
        <x:is>
          <x:t xml:space="preserve">HITRUST e1.csv</x:t>
        </x:is>
      </x:c>
      <x:c r="C14" s="5" t="inlineStr">
        <x:is>
          <x:t xml:space="preserve">ER-139</x:t>
        </x:is>
      </x:c>
      <x:c r="D14" s="5" t="inlineStr">
        <x:is>
          <x:t xml:space="preserve">Population</x:t>
        </x:is>
      </x:c>
      <x:c r="E14" s="5" t="inlineStr">
        <x:is>
          <x:t xml:space="preserve">All Software and Infrastructure Production Changes During the Review Period [INSERT EXAM PERIOD]</x:t>
        </x:is>
      </x:c>
      <x:c r="F14" s="5" t="inlineStr">
        <x:is>
          <x:t xml:space="preserve">REQ-55-HIPAA</x:t>
        </x:is>
      </x:c>
      <x:c r="G14" s="5" t="inlineStr">
        <x:is>
          <x:t xml:space="preserve">06.09b1System.2</x:t>
        </x:is>
      </x:c>
      <x:c r="H14" s="5" t="inlineStr">
        <x:is>
          <x:t xml:space="preserve">06.09b1 System.2</x:t>
        </x:is>
      </x:c>
      <x:c r="I14" s="5" t="inlineStr">
        <x:is>
          <x:t xml:space="preserve">Many:Many</x:t>
        </x:is>
      </x:c>
      <x:c r="J14" s="5" t="n">
        <x:v>2</x:v>
      </x:c>
      <x:c r="K14" s="5" t="inlineStr">
        <x:is>
          <x:t xml:space="preserve">45 CFR § 164.308(a)(8); 45 CFR § 164.316(b)(1)</x:t>
        </x:is>
      </x:c>
      <x:c r="L14" s="5" t="inlineStr">
        <x:is>
          <x:t xml:space="preserve">Evaluation; Documentation</x:t>
        </x:is>
      </x:c>
      <x:c r="M14" s="5" t="n">
        <x:v>2</x:v>
      </x:c>
      <x:c r="N14" s="5" t="inlineStr">
        <x:is>
          <x:t xml:space="preserve">45 C.F.R. § 164.316(b)(1)</x:t>
        </x:is>
      </x:c>
      <x:c r="O14" s="5" t="inlineStr">
        <x:is>
          <x:t xml:space="preserve">Documentation</x:t>
        </x:is>
      </x:c>
      <x:c r="P14" s="5" t="inlineStr">
        <x:is>
          <x:t xml:space="preserve">Maintain written or electronic policies and procedures implemented to comply with the Security Rule and written or electronic records of required actions, activities, and assessments.</x:t>
        </x:is>
      </x:c>
      <x:c r="Q14" s="5" t="inlineStr">
        <x:is>
          <x:t xml:space="preserve">Standard</x:t>
        </x:is>
      </x:c>
      <x:c r="R14" s="5" t="inlineStr">
        <x:is>
          <x:t xml:space="preserve">Policies / Documentation</x:t>
        </x:is>
      </x:c>
      <x:c r="S14" s="28" t="inlineStr">
        <x:is>
          <x:t xml:space="preserve">https://www.ecfr.gov/current/title-45/subtitle-A/subchapter-C/part-164/section-164.316</x:t>
        </x:is>
      </x:c>
      <x:c r="T14" s="28" t="inlineStr">
        <x:is>
          <x:t xml:space="preserve">https://www.hhs.gov/sites/default/files/ocr/privacy/hipaa/administrative/securityrule/pprequirements.pdf</x:t>
        </x:is>
      </x:c>
      <x:c r="U14" s="5" t="inlineStr">
        <x:is>
          <x:t xml:space="preserve">Best-fit composite</x:t>
        </x:is>
      </x:c>
      <x:c r="V14" s="5" t="inlineStr">
        <x:is>
          <x:t xml:space="preserve">Production-change tickets/population evidence are not a named HIPAA specification, but they are strong evidence of evaluating and documenting operational changes affecting ePHI safeguards.</x:t>
        </x:is>
      </x:c>
      <x:c r="W14" s="5" t="inlineStr">
        <x:is>
          <x:t xml:space="preserve">Best-fit evidence mapping; HIPAA does not mandate a particular ticketing mechanism.</x:t>
        </x:is>
      </x:c>
      <x:c r="X14" s="5" t="n"/>
    </x:row>
    <x:row r="15" ht="30" customHeight="1">
      <x:c r="A15" s="5" t="inlineStr">
        <x:is>
          <x:t xml:space="preserve">ER-139|REQ-55-HIPAA|1704.03b1Organizational.12|All Software and Infrastructure Production Changes During the Review Period [INSERT EXAM PERIOD]</x:t>
        </x:is>
      </x:c>
      <x:c r="B15" s="5" t="inlineStr">
        <x:is>
          <x:t xml:space="preserve">HITRUST e1.csv</x:t>
        </x:is>
      </x:c>
      <x:c r="C15" s="5" t="inlineStr">
        <x:is>
          <x:t xml:space="preserve">ER-139</x:t>
        </x:is>
      </x:c>
      <x:c r="D15" s="5" t="inlineStr">
        <x:is>
          <x:t xml:space="preserve">Population</x:t>
        </x:is>
      </x:c>
      <x:c r="E15" s="5" t="inlineStr">
        <x:is>
          <x:t xml:space="preserve">All Software and Infrastructure Production Changes During the Review Period [INSERT EXAM PERIOD]</x:t>
        </x:is>
      </x:c>
      <x:c r="F15" s="5" t="inlineStr">
        <x:is>
          <x:t xml:space="preserve">REQ-55-HIPAA</x:t>
        </x:is>
      </x:c>
      <x:c r="G15" s="5" t="inlineStr">
        <x:is>
          <x:t xml:space="preserve">1704.03b1Organizational.12</x:t>
        </x:is>
      </x:c>
      <x:c r="H15" s="5" t="inlineStr">
        <x:is>
          <x:t xml:space="preserve">1704.03b1 Organizational.12</x:t>
        </x:is>
      </x:c>
      <x:c r="I15" s="5" t="inlineStr">
        <x:is>
          <x:t xml:space="preserve">Many:Many</x:t>
        </x:is>
      </x:c>
      <x:c r="J15" s="5" t="n">
        <x:v>1</x:v>
      </x:c>
      <x:c r="K15" s="5" t="inlineStr">
        <x:is>
          <x:t xml:space="preserve">45 CFR § 164.308(a)(8); 45 CFR § 164.316(b)(1)</x:t>
        </x:is>
      </x:c>
      <x:c r="L15" s="5" t="inlineStr">
        <x:is>
          <x:t xml:space="preserve">Evaluation; Documentation</x:t>
        </x:is>
      </x:c>
      <x:c r="M15" s="5" t="n">
        <x:v>1</x:v>
      </x:c>
      <x:c r="N15" s="5" t="inlineStr">
        <x:is>
          <x:t xml:space="preserve">45 C.F.R. § 164.308(a)(8)</x:t>
        </x:is>
      </x:c>
      <x:c r="O15" s="5" t="inlineStr">
        <x:is>
          <x:t xml:space="preserve">Evaluation</x:t>
        </x:is>
      </x:c>
      <x:c r="P15" s="5" t="inlineStr">
        <x:is>
          <x:t xml:space="preserve">Perform periodic technical and nontechnical evaluations, and repeat them in response to environmental or operational changes affecting the security of ePHI.</x:t>
        </x:is>
      </x:c>
      <x:c r="Q15" s="5" t="inlineStr">
        <x:is>
          <x:t xml:space="preserve">Required standard</x:t>
        </x:is>
      </x:c>
      <x:c r="R15" s="5" t="inlineStr">
        <x:is>
          <x:t xml:space="preserve">Administrative Safeguards</x:t>
        </x:is>
      </x:c>
      <x:c r="S15" s="28" t="inlineStr">
        <x:is>
          <x:t xml:space="preserve">https://www.ecfr.gov/current/title-45/subtitle-A/subchapter-C/part-164/section-164.308</x:t>
        </x:is>
      </x:c>
      <x:c r="T15" s="28" t="inlineStr">
        <x:is>
          <x:t xml:space="preserve">https://www.hhs.gov/ocr/privacy/hipaa/administrative/securityrule/index.html</x:t>
        </x:is>
      </x:c>
      <x:c r="U15" s="5" t="inlineStr">
        <x:is>
          <x:t xml:space="preserve">Best-fit composite</x:t>
        </x:is>
      </x:c>
      <x:c r="V15" s="5" t="inlineStr">
        <x:is>
          <x:t xml:space="preserve">Production-change tickets/population evidence are not a named HIPAA specification, but they are strong evidence of evaluating and documenting operational changes affecting ePHI safeguards.</x:t>
        </x:is>
      </x:c>
      <x:c r="W15" s="5" t="inlineStr">
        <x:is>
          <x:t xml:space="preserve">Best-fit evidence mapping; HIPAA does not mandate a particular ticketing mechanism.</x:t>
        </x:is>
      </x:c>
      <x:c r="X15" s="5" t="n"/>
    </x:row>
    <x:row r="16" ht="30" customHeight="1">
      <x:c r="A16" s="5" t="inlineStr">
        <x:is>
          <x:t xml:space="preserve">ER-139|REQ-55-HIPAA|1704.03b1Organizational.12|All Software and Infrastructure Production Changes During the Review Period [INSERT EXAM PERIOD]</x:t>
        </x:is>
      </x:c>
      <x:c r="B16" s="5" t="inlineStr">
        <x:is>
          <x:t xml:space="preserve">HITRUST e1.csv</x:t>
        </x:is>
      </x:c>
      <x:c r="C16" s="5" t="inlineStr">
        <x:is>
          <x:t xml:space="preserve">ER-139</x:t>
        </x:is>
      </x:c>
      <x:c r="D16" s="5" t="inlineStr">
        <x:is>
          <x:t xml:space="preserve">Population</x:t>
        </x:is>
      </x:c>
      <x:c r="E16" s="5" t="inlineStr">
        <x:is>
          <x:t xml:space="preserve">All Software and Infrastructure Production Changes During the Review Period [INSERT EXAM PERIOD]</x:t>
        </x:is>
      </x:c>
      <x:c r="F16" s="5" t="inlineStr">
        <x:is>
          <x:t xml:space="preserve">REQ-55-HIPAA</x:t>
        </x:is>
      </x:c>
      <x:c r="G16" s="5" t="inlineStr">
        <x:is>
          <x:t xml:space="preserve">1704.03b1Organizational.12</x:t>
        </x:is>
      </x:c>
      <x:c r="H16" s="5" t="inlineStr">
        <x:is>
          <x:t xml:space="preserve">1704.03b1 Organizational.12</x:t>
        </x:is>
      </x:c>
      <x:c r="I16" s="5" t="inlineStr">
        <x:is>
          <x:t xml:space="preserve">Many:Many</x:t>
        </x:is>
      </x:c>
      <x:c r="J16" s="5" t="n">
        <x:v>1</x:v>
      </x:c>
      <x:c r="K16" s="5" t="inlineStr">
        <x:is>
          <x:t xml:space="preserve">45 CFR § 164.308(a)(8); 45 CFR § 164.316(b)(1)</x:t>
        </x:is>
      </x:c>
      <x:c r="L16" s="5" t="inlineStr">
        <x:is>
          <x:t xml:space="preserve">Evaluation; Documentation</x:t>
        </x:is>
      </x:c>
      <x:c r="M16" s="5" t="n">
        <x:v>2</x:v>
      </x:c>
      <x:c r="N16" s="5" t="inlineStr">
        <x:is>
          <x:t xml:space="preserve">45 C.F.R. § 164.316(b)(1)</x:t>
        </x:is>
      </x:c>
      <x:c r="O16" s="5" t="inlineStr">
        <x:is>
          <x:t xml:space="preserve">Documentation</x:t>
        </x:is>
      </x:c>
      <x:c r="P16" s="5" t="inlineStr">
        <x:is>
          <x:t xml:space="preserve">Maintain written or electronic policies and procedures implemented to comply with the Security Rule and written or electronic records of required actions, activities, and assessments.</x:t>
        </x:is>
      </x:c>
      <x:c r="Q16" s="5" t="inlineStr">
        <x:is>
          <x:t xml:space="preserve">Standard</x:t>
        </x:is>
      </x:c>
      <x:c r="R16" s="5" t="inlineStr">
        <x:is>
          <x:t xml:space="preserve">Policies / Documentation</x:t>
        </x:is>
      </x:c>
      <x:c r="S16" s="28" t="inlineStr">
        <x:is>
          <x:t xml:space="preserve">https://www.ecfr.gov/current/title-45/subtitle-A/subchapter-C/part-164/section-164.316</x:t>
        </x:is>
      </x:c>
      <x:c r="T16" s="28" t="inlineStr">
        <x:is>
          <x:t xml:space="preserve">https://www.hhs.gov/sites/default/files/ocr/privacy/hipaa/administrative/securityrule/pprequirements.pdf</x:t>
        </x:is>
      </x:c>
      <x:c r="U16" s="5" t="inlineStr">
        <x:is>
          <x:t xml:space="preserve">Best-fit composite</x:t>
        </x:is>
      </x:c>
      <x:c r="V16" s="5" t="inlineStr">
        <x:is>
          <x:t xml:space="preserve">Production-change tickets/population evidence are not a named HIPAA specification, but they are strong evidence of evaluating and documenting operational changes affecting ePHI safeguards.</x:t>
        </x:is>
      </x:c>
      <x:c r="W16" s="5" t="inlineStr">
        <x:is>
          <x:t xml:space="preserve">Best-fit evidence mapping; HIPAA does not mandate a particular ticketing mechanism.</x:t>
        </x:is>
      </x:c>
      <x:c r="X16" s="5" t="n"/>
    </x:row>
    <x:row r="17" ht="30" customHeight="1">
      <x:c r="A17" s="5" t="inlineStr">
        <x:is>
          <x:t xml:space="preserve">ER-139|REQ-995-HIPAA|06.09b1System.2|All Software and Infrastructure Production Changes During the Review Period [INSERT EXAM PERIOD]</x:t>
        </x:is>
      </x:c>
      <x:c r="B17" s="5" t="inlineStr">
        <x:is>
          <x:t xml:space="preserve">HITRUST e1.csv</x:t>
        </x:is>
      </x:c>
      <x:c r="C17" s="5" t="inlineStr">
        <x:is>
          <x:t xml:space="preserve">ER-139</x:t>
        </x:is>
      </x:c>
      <x:c r="D17" s="5" t="inlineStr">
        <x:is>
          <x:t xml:space="preserve">Population</x:t>
        </x:is>
      </x:c>
      <x:c r="E17" s="5" t="inlineStr">
        <x:is>
          <x:t xml:space="preserve">All Software and Infrastructure Production Changes During the Review Period [INSERT EXAM PERIOD]</x:t>
        </x:is>
      </x:c>
      <x:c r="F17" s="5" t="inlineStr">
        <x:is>
          <x:t xml:space="preserve">REQ-995-HIPAA</x:t>
        </x:is>
      </x:c>
      <x:c r="G17" s="5" t="inlineStr">
        <x:is>
          <x:t xml:space="preserve">06.09b1System.2</x:t>
        </x:is>
      </x:c>
      <x:c r="H17" s="5" t="inlineStr">
        <x:is>
          <x:t xml:space="preserve">06.09b1 System.2</x:t>
        </x:is>
      </x:c>
      <x:c r="I17" s="5" t="inlineStr">
        <x:is>
          <x:t xml:space="preserve">Many:Many</x:t>
        </x:is>
      </x:c>
      <x:c r="J17" s="5" t="n">
        <x:v>1</x:v>
      </x:c>
      <x:c r="K17" s="5" t="inlineStr">
        <x:is>
          <x:t xml:space="preserve">45 CFR § 164.308(a)(8); 45 CFR § 164.316(b)(1)</x:t>
        </x:is>
      </x:c>
      <x:c r="L17" s="5" t="inlineStr">
        <x:is>
          <x:t xml:space="preserve">Evaluation; Documentation</x:t>
        </x:is>
      </x:c>
      <x:c r="M17" s="5" t="n">
        <x:v>1</x:v>
      </x:c>
      <x:c r="N17" s="5" t="inlineStr">
        <x:is>
          <x:t xml:space="preserve">45 C.F.R. § 164.308(a)(8)</x:t>
        </x:is>
      </x:c>
      <x:c r="O17" s="5" t="inlineStr">
        <x:is>
          <x:t xml:space="preserve">Evaluation</x:t>
        </x:is>
      </x:c>
      <x:c r="P17" s="5" t="inlineStr">
        <x:is>
          <x:t xml:space="preserve">Perform periodic technical and nontechnical evaluations, and repeat them in response to environmental or operational changes affecting the security of ePHI.</x:t>
        </x:is>
      </x:c>
      <x:c r="Q17" s="5" t="inlineStr">
        <x:is>
          <x:t xml:space="preserve">Required standard</x:t>
        </x:is>
      </x:c>
      <x:c r="R17" s="5" t="inlineStr">
        <x:is>
          <x:t xml:space="preserve">Administrative Safeguards</x:t>
        </x:is>
      </x:c>
      <x:c r="S17" s="28" t="inlineStr">
        <x:is>
          <x:t xml:space="preserve">https://www.ecfr.gov/current/title-45/subtitle-A/subchapter-C/part-164/section-164.308</x:t>
        </x:is>
      </x:c>
      <x:c r="T17" s="28" t="inlineStr">
        <x:is>
          <x:t xml:space="preserve">https://www.hhs.gov/ocr/privacy/hipaa/administrative/securityrule/index.html</x:t>
        </x:is>
      </x:c>
      <x:c r="U17" s="5" t="inlineStr">
        <x:is>
          <x:t xml:space="preserve">Best-fit composite</x:t>
        </x:is>
      </x:c>
      <x:c r="V17" s="5" t="inlineStr">
        <x:is>
          <x:t xml:space="preserve">Generic population/evidence control used to show production changes during the review period.</x:t>
        </x:is>
      </x:c>
      <x:c r="W17" s="5" t="inlineStr">
        <x:is>
          <x:t xml:space="preserve">Internal control is generic; citation follows the specific evidence row context.</x:t>
        </x:is>
      </x:c>
      <x:c r="X17" s="5" t="n"/>
    </x:row>
    <x:row r="18" ht="30" customHeight="1">
      <x:c r="A18" s="5" t="inlineStr">
        <x:is>
          <x:t xml:space="preserve">ER-139|REQ-995-HIPAA|06.09b1System.2|All Software and Infrastructure Production Changes During the Review Period [INSERT EXAM PERIOD]</x:t>
        </x:is>
      </x:c>
      <x:c r="B18" s="5" t="inlineStr">
        <x:is>
          <x:t xml:space="preserve">HITRUST e1.csv</x:t>
        </x:is>
      </x:c>
      <x:c r="C18" s="5" t="inlineStr">
        <x:is>
          <x:t xml:space="preserve">ER-139</x:t>
        </x:is>
      </x:c>
      <x:c r="D18" s="5" t="inlineStr">
        <x:is>
          <x:t xml:space="preserve">Population</x:t>
        </x:is>
      </x:c>
      <x:c r="E18" s="5" t="inlineStr">
        <x:is>
          <x:t xml:space="preserve">All Software and Infrastructure Production Changes During the Review Period [INSERT EXAM PERIOD]</x:t>
        </x:is>
      </x:c>
      <x:c r="F18" s="5" t="inlineStr">
        <x:is>
          <x:t xml:space="preserve">REQ-995-HIPAA</x:t>
        </x:is>
      </x:c>
      <x:c r="G18" s="5" t="inlineStr">
        <x:is>
          <x:t xml:space="preserve">06.09b1System.2</x:t>
        </x:is>
      </x:c>
      <x:c r="H18" s="5" t="inlineStr">
        <x:is>
          <x:t xml:space="preserve">06.09b1 System.2</x:t>
        </x:is>
      </x:c>
      <x:c r="I18" s="5" t="inlineStr">
        <x:is>
          <x:t xml:space="preserve">Many:Many</x:t>
        </x:is>
      </x:c>
      <x:c r="J18" s="5" t="n">
        <x:v>1</x:v>
      </x:c>
      <x:c r="K18" s="5" t="inlineStr">
        <x:is>
          <x:t xml:space="preserve">45 CFR § 164.308(a)(8); 45 CFR § 164.316(b)(1)</x:t>
        </x:is>
      </x:c>
      <x:c r="L18" s="5" t="inlineStr">
        <x:is>
          <x:t xml:space="preserve">Evaluation; Documentation</x:t>
        </x:is>
      </x:c>
      <x:c r="M18" s="5" t="n">
        <x:v>2</x:v>
      </x:c>
      <x:c r="N18" s="5" t="inlineStr">
        <x:is>
          <x:t xml:space="preserve">45 C.F.R. § 164.316(b)(1)</x:t>
        </x:is>
      </x:c>
      <x:c r="O18" s="5" t="inlineStr">
        <x:is>
          <x:t xml:space="preserve">Documentation</x:t>
        </x:is>
      </x:c>
      <x:c r="P18" s="5" t="inlineStr">
        <x:is>
          <x:t xml:space="preserve">Maintain written or electronic policies and procedures implemented to comply with the Security Rule and written or electronic records of required actions, activities, and assessments.</x:t>
        </x:is>
      </x:c>
      <x:c r="Q18" s="5" t="inlineStr">
        <x:is>
          <x:t xml:space="preserve">Standard</x:t>
        </x:is>
      </x:c>
      <x:c r="R18" s="5" t="inlineStr">
        <x:is>
          <x:t xml:space="preserve">Policies / Documentation</x:t>
        </x:is>
      </x:c>
      <x:c r="S18" s="28" t="inlineStr">
        <x:is>
          <x:t xml:space="preserve">https://www.ecfr.gov/current/title-45/subtitle-A/subchapter-C/part-164/section-164.316</x:t>
        </x:is>
      </x:c>
      <x:c r="T18" s="28" t="inlineStr">
        <x:is>
          <x:t xml:space="preserve">https://www.hhs.gov/sites/default/files/ocr/privacy/hipaa/administrative/securityrule/pprequirements.pdf</x:t>
        </x:is>
      </x:c>
      <x:c r="U18" s="5" t="inlineStr">
        <x:is>
          <x:t xml:space="preserve">Best-fit composite</x:t>
        </x:is>
      </x:c>
      <x:c r="V18" s="5" t="inlineStr">
        <x:is>
          <x:t xml:space="preserve">Generic population/evidence control used to show production changes during the review period.</x:t>
        </x:is>
      </x:c>
      <x:c r="W18" s="5" t="inlineStr">
        <x:is>
          <x:t xml:space="preserve">Internal control is generic; citation follows the specific evidence row context.</x:t>
        </x:is>
      </x:c>
      <x:c r="X18" s="5" t="n"/>
    </x:row>
    <x:row r="19" ht="30" customHeight="1">
      <x:c r="A19" s="5" t="inlineStr">
        <x:is>
          <x:t xml:space="preserve">ER-139|REQ-995-HIPAA|1704.03b1Organizational.12|All Software and Infrastructure Production Changes During the Review Period [INSERT EXAM PERIOD]</x:t>
        </x:is>
      </x:c>
      <x:c r="B19" s="5" t="inlineStr">
        <x:is>
          <x:t xml:space="preserve">HITRUST e1.csv</x:t>
        </x:is>
      </x:c>
      <x:c r="C19" s="5" t="inlineStr">
        <x:is>
          <x:t xml:space="preserve">ER-139</x:t>
        </x:is>
      </x:c>
      <x:c r="D19" s="5" t="inlineStr">
        <x:is>
          <x:t xml:space="preserve">Population</x:t>
        </x:is>
      </x:c>
      <x:c r="E19" s="5" t="inlineStr">
        <x:is>
          <x:t xml:space="preserve">All Software and Infrastructure Production Changes During the Review Period [INSERT EXAM PERIOD]</x:t>
        </x:is>
      </x:c>
      <x:c r="F19" s="5" t="inlineStr">
        <x:is>
          <x:t xml:space="preserve">REQ-995-HIPAA</x:t>
        </x:is>
      </x:c>
      <x:c r="G19" s="5" t="inlineStr">
        <x:is>
          <x:t xml:space="preserve">1704.03b1Organizational.12</x:t>
        </x:is>
      </x:c>
      <x:c r="H19" s="5" t="inlineStr">
        <x:is>
          <x:t xml:space="preserve">1704.03b1 Organizational.12</x:t>
        </x:is>
      </x:c>
      <x:c r="I19" s="5" t="inlineStr">
        <x:is>
          <x:t xml:space="preserve">Many:Many</x:t>
        </x:is>
      </x:c>
      <x:c r="J19" s="5" t="n">
        <x:v>1</x:v>
      </x:c>
      <x:c r="K19" s="5" t="inlineStr">
        <x:is>
          <x:t xml:space="preserve">45 CFR § 164.308(a)(8); 45 CFR § 164.316(b)(1)</x:t>
        </x:is>
      </x:c>
      <x:c r="L19" s="5" t="inlineStr">
        <x:is>
          <x:t xml:space="preserve">Evaluation; Documentation</x:t>
        </x:is>
      </x:c>
      <x:c r="M19" s="5" t="n">
        <x:v>1</x:v>
      </x:c>
      <x:c r="N19" s="5" t="inlineStr">
        <x:is>
          <x:t xml:space="preserve">45 C.F.R. § 164.308(a)(8)</x:t>
        </x:is>
      </x:c>
      <x:c r="O19" s="5" t="inlineStr">
        <x:is>
          <x:t xml:space="preserve">Evaluation</x:t>
        </x:is>
      </x:c>
      <x:c r="P19" s="5" t="inlineStr">
        <x:is>
          <x:t xml:space="preserve">Perform periodic technical and nontechnical evaluations, and repeat them in response to environmental or operational changes affecting the security of ePHI.</x:t>
        </x:is>
      </x:c>
      <x:c r="Q19" s="5" t="inlineStr">
        <x:is>
          <x:t xml:space="preserve">Required standard</x:t>
        </x:is>
      </x:c>
      <x:c r="R19" s="5" t="inlineStr">
        <x:is>
          <x:t xml:space="preserve">Administrative Safeguards</x:t>
        </x:is>
      </x:c>
      <x:c r="S19" s="28" t="inlineStr">
        <x:is>
          <x:t xml:space="preserve">https://www.ecfr.gov/current/title-45/subtitle-A/subchapter-C/part-164/section-164.308</x:t>
        </x:is>
      </x:c>
      <x:c r="T19" s="28" t="inlineStr">
        <x:is>
          <x:t xml:space="preserve">https://www.hhs.gov/ocr/privacy/hipaa/administrative/securityrule/index.html</x:t>
        </x:is>
      </x:c>
      <x:c r="U19" s="5" t="inlineStr">
        <x:is>
          <x:t xml:space="preserve">Best-fit composite</x:t>
        </x:is>
      </x:c>
      <x:c r="V19" s="5" t="inlineStr">
        <x:is>
          <x:t xml:space="preserve">Generic population/evidence control used to show production changes during the review period.</x:t>
        </x:is>
      </x:c>
      <x:c r="W19" s="5" t="inlineStr">
        <x:is>
          <x:t xml:space="preserve">Internal control is generic; citation follows the specific evidence row context.</x:t>
        </x:is>
      </x:c>
      <x:c r="X19" s="5" t="n"/>
    </x:row>
    <x:row r="20" ht="30" customHeight="1">
      <x:c r="A20" s="5" t="inlineStr">
        <x:is>
          <x:t xml:space="preserve">ER-139|REQ-995-HIPAA|1704.03b1Organizational.12|All Software and Infrastructure Production Changes During the Review Period [INSERT EXAM PERIOD]</x:t>
        </x:is>
      </x:c>
      <x:c r="B20" s="5" t="inlineStr">
        <x:is>
          <x:t xml:space="preserve">HITRUST e1.csv</x:t>
        </x:is>
      </x:c>
      <x:c r="C20" s="5" t="inlineStr">
        <x:is>
          <x:t xml:space="preserve">ER-139</x:t>
        </x:is>
      </x:c>
      <x:c r="D20" s="5" t="inlineStr">
        <x:is>
          <x:t xml:space="preserve">Population</x:t>
        </x:is>
      </x:c>
      <x:c r="E20" s="5" t="inlineStr">
        <x:is>
          <x:t xml:space="preserve">All Software and Infrastructure Production Changes During the Review Period [INSERT EXAM PERIOD]</x:t>
        </x:is>
      </x:c>
      <x:c r="F20" s="5" t="inlineStr">
        <x:is>
          <x:t xml:space="preserve">REQ-995-HIPAA</x:t>
        </x:is>
      </x:c>
      <x:c r="G20" s="5" t="inlineStr">
        <x:is>
          <x:t xml:space="preserve">1704.03b1Organizational.12</x:t>
        </x:is>
      </x:c>
      <x:c r="H20" s="5" t="inlineStr">
        <x:is>
          <x:t xml:space="preserve">1704.03b1 Organizational.12</x:t>
        </x:is>
      </x:c>
      <x:c r="I20" s="5" t="inlineStr">
        <x:is>
          <x:t xml:space="preserve">Many:Many</x:t>
        </x:is>
      </x:c>
      <x:c r="J20" s="5" t="n">
        <x:v>1</x:v>
      </x:c>
      <x:c r="K20" s="5" t="inlineStr">
        <x:is>
          <x:t xml:space="preserve">45 CFR § 164.308(a)(8); 45 CFR § 164.316(b)(1)</x:t>
        </x:is>
      </x:c>
      <x:c r="L20" s="5" t="inlineStr">
        <x:is>
          <x:t xml:space="preserve">Evaluation; Documentation</x:t>
        </x:is>
      </x:c>
      <x:c r="M20" s="5" t="n">
        <x:v>2</x:v>
      </x:c>
      <x:c r="N20" s="5" t="inlineStr">
        <x:is>
          <x:t xml:space="preserve">45 C.F.R. § 164.316(b)(1)</x:t>
        </x:is>
      </x:c>
      <x:c r="O20" s="5" t="inlineStr">
        <x:is>
          <x:t xml:space="preserve">Documentation</x:t>
        </x:is>
      </x:c>
      <x:c r="P20" s="5" t="inlineStr">
        <x:is>
          <x:t xml:space="preserve">Maintain written or electronic policies and procedures implemented to comply with the Security Rule and written or electronic records of required actions, activities, and assessments.</x:t>
        </x:is>
      </x:c>
      <x:c r="Q20" s="5" t="inlineStr">
        <x:is>
          <x:t xml:space="preserve">Standard</x:t>
        </x:is>
      </x:c>
      <x:c r="R20" s="5" t="inlineStr">
        <x:is>
          <x:t xml:space="preserve">Policies / Documentation</x:t>
        </x:is>
      </x:c>
      <x:c r="S20" s="28" t="inlineStr">
        <x:is>
          <x:t xml:space="preserve">https://www.ecfr.gov/current/title-45/subtitle-A/subchapter-C/part-164/section-164.316</x:t>
        </x:is>
      </x:c>
      <x:c r="T20" s="28" t="inlineStr">
        <x:is>
          <x:t xml:space="preserve">https://www.hhs.gov/sites/default/files/ocr/privacy/hipaa/administrative/securityrule/pprequirements.pdf</x:t>
        </x:is>
      </x:c>
      <x:c r="U20" s="5" t="inlineStr">
        <x:is>
          <x:t xml:space="preserve">Best-fit composite</x:t>
        </x:is>
      </x:c>
      <x:c r="V20" s="5" t="inlineStr">
        <x:is>
          <x:t xml:space="preserve">Generic population/evidence control used to show production changes during the review period.</x:t>
        </x:is>
      </x:c>
      <x:c r="W20" s="5" t="inlineStr">
        <x:is>
          <x:t xml:space="preserve">Internal control is generic; citation follows the specific evidence row context.</x:t>
        </x:is>
      </x:c>
      <x:c r="X20" s="5" t="n"/>
    </x:row>
    <x:row r="21" ht="30" customHeight="1">
      <x:c r="A21" s="5" t="inlineStr">
        <x:is>
          <x:t xml:space="preserve">ER-136|REQ-31-HIPAA|11143.02i1Organizational.3|All Terminated Employees During the Review Period [INSERT EXAM PERIOD]</x:t>
        </x:is>
      </x:c>
      <x:c r="B21" s="5" t="inlineStr">
        <x:is>
          <x:t xml:space="preserve">HITRUST e1.csv</x:t>
        </x:is>
      </x:c>
      <x:c r="C21" s="5" t="inlineStr">
        <x:is>
          <x:t xml:space="preserve">ER-136</x:t>
        </x:is>
      </x:c>
      <x:c r="D21" s="5" t="inlineStr">
        <x:is>
          <x:t xml:space="preserve">Population</x:t>
        </x:is>
      </x:c>
      <x:c r="E21" s="5" t="inlineStr">
        <x:is>
          <x:t xml:space="preserve">All Terminated Employees During the Review Period [INSERT EXAM PERIOD]</x:t>
        </x:is>
      </x:c>
      <x:c r="F21" s="5" t="inlineStr">
        <x:is>
          <x:t xml:space="preserve">REQ-31-HIPAA</x:t>
        </x:is>
      </x:c>
      <x:c r="G21" s="5" t="inlineStr">
        <x:is>
          <x:t xml:space="preserve">11143.02i1Organizational.3</x:t>
        </x:is>
      </x:c>
      <x:c r="H21" s="5" t="inlineStr">
        <x:is>
          <x:t xml:space="preserve">11143.02i1 Organizational.3</x:t>
        </x:is>
      </x:c>
      <x:c r="I21" s="5" t="inlineStr">
        <x:is>
          <x:t xml:space="preserve">Many:1</x:t>
        </x:is>
      </x:c>
      <x:c r="J21" s="5" t="n">
        <x:v>2</x:v>
      </x:c>
      <x:c r="K21" s="5" t="inlineStr">
        <x:is>
          <x:t xml:space="preserve">45 CFR § 164.308(a)(3)(ii)(C); 45 CFR § 164.316(b)(1)</x:t>
        </x:is>
      </x:c>
      <x:c r="L21" s="5" t="inlineStr">
        <x:is>
          <x:t xml:space="preserve">Workforce Security — Termination Procedures; Documentation</x:t>
        </x:is>
      </x:c>
      <x:c r="M21" s="5" t="n">
        <x:v>1</x:v>
      </x:c>
      <x:c r="N21" s="5" t="inlineStr">
        <x:is>
          <x:t xml:space="preserve">45 C.F.R. § 164.308(a)(3)(ii)(C)</x:t>
        </x:is>
      </x:c>
      <x:c r="O21" s="5" t="inlineStr">
        <x:is>
          <x:t xml:space="preserve">Workforce Security — Termination Procedures</x:t>
        </x:is>
      </x:c>
      <x:c r="P21" s="5" t="inlineStr">
        <x:is>
          <x:t xml:space="preserve">Implement procedures for terminating a workforce member’s access to ePHI when employment ends or when access should otherwise be removed.</x:t>
        </x:is>
      </x:c>
      <x:c r="Q21" s="5" t="inlineStr">
        <x:is>
          <x:t xml:space="preserve">Addressable implementation specification</x:t>
        </x:is>
      </x:c>
      <x:c r="R21" s="5" t="inlineStr">
        <x:is>
          <x:t xml:space="preserve">Administrative Safeguards</x:t>
        </x:is>
      </x:c>
      <x:c r="S21" s="28" t="inlineStr">
        <x:is>
          <x:t xml:space="preserve">https://www.ecfr.gov/current/title-45/subtitle-A/subchapter-C/part-164/section-164.308</x:t>
        </x:is>
      </x:c>
      <x:c r="T21" s="28" t="inlineStr">
        <x:is>
          <x:t xml:space="preserve">https://www.hhs.gov/hipaa/for-professionals/security/guidance/cybersecurity-newsletter-summer-2019/index.html</x:t>
        </x:is>
      </x:c>
      <x:c r="U21" s="5" t="inlineStr">
        <x:is>
          <x:t xml:space="preserve">Composite</x:t>
        </x:is>
      </x:c>
      <x:c r="V21" s="5" t="inlineStr">
        <x:is>
          <x:t xml:space="preserve">Termination tickets/population evidence align directly to terminating access and documenting the action taken.</x:t>
        </x:is>
      </x:c>
      <x:c r="W21" s="5" t="inlineStr">
        <x:is>
          <x:t xml:space="preserve">Documentation is added because the row is explicit evidence that access-removal events were carried out and recorded.</x:t>
        </x:is>
      </x:c>
      <x:c r="X21" s="5" t="n"/>
    </x:row>
    <x:row r="22" ht="30" customHeight="1">
      <x:c r="A22" s="5" t="inlineStr">
        <x:is>
          <x:t xml:space="preserve">ER-136|REQ-31-HIPAA|11143.02i1Organizational.3|All Terminated Employees During the Review Period [INSERT EXAM PERIOD]</x:t>
        </x:is>
      </x:c>
      <x:c r="B22" s="5" t="inlineStr">
        <x:is>
          <x:t xml:space="preserve">HITRUST e1.csv</x:t>
        </x:is>
      </x:c>
      <x:c r="C22" s="5" t="inlineStr">
        <x:is>
          <x:t xml:space="preserve">ER-136</x:t>
        </x:is>
      </x:c>
      <x:c r="D22" s="5" t="inlineStr">
        <x:is>
          <x:t xml:space="preserve">Population</x:t>
        </x:is>
      </x:c>
      <x:c r="E22" s="5" t="inlineStr">
        <x:is>
          <x:t xml:space="preserve">All Terminated Employees During the Review Period [INSERT EXAM PERIOD]</x:t>
        </x:is>
      </x:c>
      <x:c r="F22" s="5" t="inlineStr">
        <x:is>
          <x:t xml:space="preserve">REQ-31-HIPAA</x:t>
        </x:is>
      </x:c>
      <x:c r="G22" s="5" t="inlineStr">
        <x:is>
          <x:t xml:space="preserve">11143.02i1Organizational.3</x:t>
        </x:is>
      </x:c>
      <x:c r="H22" s="5" t="inlineStr">
        <x:is>
          <x:t xml:space="preserve">11143.02i1 Organizational.3</x:t>
        </x:is>
      </x:c>
      <x:c r="I22" s="5" t="inlineStr">
        <x:is>
          <x:t xml:space="preserve">Many:1</x:t>
        </x:is>
      </x:c>
      <x:c r="J22" s="5" t="n">
        <x:v>2</x:v>
      </x:c>
      <x:c r="K22" s="5" t="inlineStr">
        <x:is>
          <x:t xml:space="preserve">45 CFR § 164.308(a)(3)(ii)(C); 45 CFR § 164.316(b)(1)</x:t>
        </x:is>
      </x:c>
      <x:c r="L22" s="5" t="inlineStr">
        <x:is>
          <x:t xml:space="preserve">Workforce Security — Termination Procedures; Documentation</x:t>
        </x:is>
      </x:c>
      <x:c r="M22" s="5" t="n">
        <x:v>2</x:v>
      </x:c>
      <x:c r="N22" s="5" t="inlineStr">
        <x:is>
          <x:t xml:space="preserve">45 C.F.R. § 164.316(b)(1)</x:t>
        </x:is>
      </x:c>
      <x:c r="O22" s="5" t="inlineStr">
        <x:is>
          <x:t xml:space="preserve">Documentation</x:t>
        </x:is>
      </x:c>
      <x:c r="P22" s="5" t="inlineStr">
        <x:is>
          <x:t xml:space="preserve">Maintain written or electronic policies and procedures implemented to comply with the Security Rule and written or electronic records of required actions, activities, and assessments.</x:t>
        </x:is>
      </x:c>
      <x:c r="Q22" s="5" t="inlineStr">
        <x:is>
          <x:t xml:space="preserve">Standard</x:t>
        </x:is>
      </x:c>
      <x:c r="R22" s="5" t="inlineStr">
        <x:is>
          <x:t xml:space="preserve">Policies / Documentation</x:t>
        </x:is>
      </x:c>
      <x:c r="S22" s="28" t="inlineStr">
        <x:is>
          <x:t xml:space="preserve">https://www.ecfr.gov/current/title-45/subtitle-A/subchapter-C/part-164/section-164.316</x:t>
        </x:is>
      </x:c>
      <x:c r="T22" s="28" t="inlineStr">
        <x:is>
          <x:t xml:space="preserve">https://www.hhs.gov/sites/default/files/ocr/privacy/hipaa/administrative/securityrule/pprequirements.pdf</x:t>
        </x:is>
      </x:c>
      <x:c r="U22" s="5" t="inlineStr">
        <x:is>
          <x:t xml:space="preserve">Composite</x:t>
        </x:is>
      </x:c>
      <x:c r="V22" s="5" t="inlineStr">
        <x:is>
          <x:t xml:space="preserve">Termination tickets/population evidence align directly to terminating access and documenting the action taken.</x:t>
        </x:is>
      </x:c>
      <x:c r="W22" s="5" t="inlineStr">
        <x:is>
          <x:t xml:space="preserve">Documentation is added because the row is explicit evidence that access-removal events were carried out and recorded.</x:t>
        </x:is>
      </x:c>
      <x:c r="X22" s="5" t="n"/>
    </x:row>
    <x:row r="23" ht="30" customHeight="1">
      <x:c r="A23" s="5" t="inlineStr">
        <x:is>
          <x:t xml:space="preserve">ER-136|REQ-995-HIPAA|11143.02i1Organizational.3|All Terminated Employees During the Review Period [INSERT EXAM PERIOD]</x:t>
        </x:is>
      </x:c>
      <x:c r="B23" s="5" t="inlineStr">
        <x:is>
          <x:t xml:space="preserve">HITRUST e1.csv</x:t>
        </x:is>
      </x:c>
      <x:c r="C23" s="5" t="inlineStr">
        <x:is>
          <x:t xml:space="preserve">ER-136</x:t>
        </x:is>
      </x:c>
      <x:c r="D23" s="5" t="inlineStr">
        <x:is>
          <x:t xml:space="preserve">Population</x:t>
        </x:is>
      </x:c>
      <x:c r="E23" s="5" t="inlineStr">
        <x:is>
          <x:t xml:space="preserve">All Terminated Employees During the Review Period [INSERT EXAM PERIOD]</x:t>
        </x:is>
      </x:c>
      <x:c r="F23" s="5" t="inlineStr">
        <x:is>
          <x:t xml:space="preserve">REQ-995-HIPAA</x:t>
        </x:is>
      </x:c>
      <x:c r="G23" s="5" t="inlineStr">
        <x:is>
          <x:t xml:space="preserve">11143.02i1Organizational.3</x:t>
        </x:is>
      </x:c>
      <x:c r="H23" s="5" t="inlineStr">
        <x:is>
          <x:t xml:space="preserve">11143.02i1 Organizational.3</x:t>
        </x:is>
      </x:c>
      <x:c r="I23" s="5" t="inlineStr">
        <x:is>
          <x:t xml:space="preserve">Many:1</x:t>
        </x:is>
      </x:c>
      <x:c r="J23" s="5" t="n">
        <x:v>1</x:v>
      </x:c>
      <x:c r="K23" s="5" t="inlineStr">
        <x:is>
          <x:t xml:space="preserve">45 CFR § 164.308(a)(3)(ii)(C); 45 CFR § 164.316(b)(1)</x:t>
        </x:is>
      </x:c>
      <x:c r="L23" s="5" t="inlineStr">
        <x:is>
          <x:t xml:space="preserve">Workforce Security — Termination Procedures; Documentation</x:t>
        </x:is>
      </x:c>
      <x:c r="M23" s="5" t="n">
        <x:v>1</x:v>
      </x:c>
      <x:c r="N23" s="5" t="inlineStr">
        <x:is>
          <x:t xml:space="preserve">45 C.F.R. § 164.308(a)(3)(ii)(C)</x:t>
        </x:is>
      </x:c>
      <x:c r="O23" s="5" t="inlineStr">
        <x:is>
          <x:t xml:space="preserve">Workforce Security — Termination Procedures</x:t>
        </x:is>
      </x:c>
      <x:c r="P23" s="5" t="inlineStr">
        <x:is>
          <x:t xml:space="preserve">Implement procedures for terminating a workforce member’s access to ePHI when employment ends or when access should otherwise be removed.</x:t>
        </x:is>
      </x:c>
      <x:c r="Q23" s="5" t="inlineStr">
        <x:is>
          <x:t xml:space="preserve">Addressable implementation specification</x:t>
        </x:is>
      </x:c>
      <x:c r="R23" s="5" t="inlineStr">
        <x:is>
          <x:t xml:space="preserve">Administrative Safeguards</x:t>
        </x:is>
      </x:c>
      <x:c r="S23" s="28" t="inlineStr">
        <x:is>
          <x:t xml:space="preserve">https://www.ecfr.gov/current/title-45/subtitle-A/subchapter-C/part-164/section-164.308</x:t>
        </x:is>
      </x:c>
      <x:c r="T23" s="28" t="inlineStr">
        <x:is>
          <x:t xml:space="preserve">https://www.hhs.gov/hipaa/for-professionals/security/guidance/cybersecurity-newsletter-summer-2019/index.html</x:t>
        </x:is>
      </x:c>
      <x:c r="U23" s="5" t="inlineStr">
        <x:is>
          <x:t xml:space="preserve">Best-fit composite</x:t>
        </x:is>
      </x:c>
      <x:c r="V23" s="5" t="inlineStr">
        <x:is>
          <x:t xml:space="preserve">Generic population/evidence control used to show termination-related access removals during the review period.</x:t>
        </x:is>
      </x:c>
      <x:c r="W23" s="5" t="inlineStr">
        <x:is>
          <x:t xml:space="preserve">Internal control is generic; citation follows the specific evidence row context.</x:t>
        </x:is>
      </x:c>
      <x:c r="X23" s="5" t="n"/>
    </x:row>
    <x:row r="24" ht="30" customHeight="1">
      <x:c r="A24" s="5" t="inlineStr">
        <x:is>
          <x:t xml:space="preserve">ER-136|REQ-995-HIPAA|11143.02i1Organizational.3|All Terminated Employees During the Review Period [INSERT EXAM PERIOD]</x:t>
        </x:is>
      </x:c>
      <x:c r="B24" s="5" t="inlineStr">
        <x:is>
          <x:t xml:space="preserve">HITRUST e1.csv</x:t>
        </x:is>
      </x:c>
      <x:c r="C24" s="5" t="inlineStr">
        <x:is>
          <x:t xml:space="preserve">ER-136</x:t>
        </x:is>
      </x:c>
      <x:c r="D24" s="5" t="inlineStr">
        <x:is>
          <x:t xml:space="preserve">Population</x:t>
        </x:is>
      </x:c>
      <x:c r="E24" s="5" t="inlineStr">
        <x:is>
          <x:t xml:space="preserve">All Terminated Employees During the Review Period [INSERT EXAM PERIOD]</x:t>
        </x:is>
      </x:c>
      <x:c r="F24" s="5" t="inlineStr">
        <x:is>
          <x:t xml:space="preserve">REQ-995-HIPAA</x:t>
        </x:is>
      </x:c>
      <x:c r="G24" s="5" t="inlineStr">
        <x:is>
          <x:t xml:space="preserve">11143.02i1Organizational.3</x:t>
        </x:is>
      </x:c>
      <x:c r="H24" s="5" t="inlineStr">
        <x:is>
          <x:t xml:space="preserve">11143.02i1 Organizational.3</x:t>
        </x:is>
      </x:c>
      <x:c r="I24" s="5" t="inlineStr">
        <x:is>
          <x:t xml:space="preserve">Many:1</x:t>
        </x:is>
      </x:c>
      <x:c r="J24" s="5" t="n">
        <x:v>1</x:v>
      </x:c>
      <x:c r="K24" s="5" t="inlineStr">
        <x:is>
          <x:t xml:space="preserve">45 CFR § 164.308(a)(3)(ii)(C); 45 CFR § 164.316(b)(1)</x:t>
        </x:is>
      </x:c>
      <x:c r="L24" s="5" t="inlineStr">
        <x:is>
          <x:t xml:space="preserve">Workforce Security — Termination Procedures; Documentation</x:t>
        </x:is>
      </x:c>
      <x:c r="M24" s="5" t="n">
        <x:v>2</x:v>
      </x:c>
      <x:c r="N24" s="5" t="inlineStr">
        <x:is>
          <x:t xml:space="preserve">45 C.F.R. § 164.316(b)(1)</x:t>
        </x:is>
      </x:c>
      <x:c r="O24" s="5" t="inlineStr">
        <x:is>
          <x:t xml:space="preserve">Documentation</x:t>
        </x:is>
      </x:c>
      <x:c r="P24" s="5" t="inlineStr">
        <x:is>
          <x:t xml:space="preserve">Maintain written or electronic policies and procedures implemented to comply with the Security Rule and written or electronic records of required actions, activities, and assessments.</x:t>
        </x:is>
      </x:c>
      <x:c r="Q24" s="5" t="inlineStr">
        <x:is>
          <x:t xml:space="preserve">Standard</x:t>
        </x:is>
      </x:c>
      <x:c r="R24" s="5" t="inlineStr">
        <x:is>
          <x:t xml:space="preserve">Policies / Documentation</x:t>
        </x:is>
      </x:c>
      <x:c r="S24" s="28" t="inlineStr">
        <x:is>
          <x:t xml:space="preserve">https://www.ecfr.gov/current/title-45/subtitle-A/subchapter-C/part-164/section-164.316</x:t>
        </x:is>
      </x:c>
      <x:c r="T24" s="28" t="inlineStr">
        <x:is>
          <x:t xml:space="preserve">https://www.hhs.gov/sites/default/files/ocr/privacy/hipaa/administrative/securityrule/pprequirements.pdf</x:t>
        </x:is>
      </x:c>
      <x:c r="U24" s="5" t="inlineStr">
        <x:is>
          <x:t xml:space="preserve">Best-fit composite</x:t>
        </x:is>
      </x:c>
      <x:c r="V24" s="5" t="inlineStr">
        <x:is>
          <x:t xml:space="preserve">Generic population/evidence control used to show termination-related access removals during the review period.</x:t>
        </x:is>
      </x:c>
      <x:c r="W24" s="5" t="inlineStr">
        <x:is>
          <x:t xml:space="preserve">Internal control is generic; citation follows the specific evidence row context.</x:t>
        </x:is>
      </x:c>
      <x:c r="X24" s="5" t="n"/>
    </x:row>
    <x:row r="25" ht="30" customHeight="1">
      <x:c r="A25" s="5" t="inlineStr">
        <x:is>
          <x:t xml:space="preserve">ER-18|REQ-38-HIPAA|0207.09j1Organizational.6|Anti-malware and Alerts</x:t>
        </x:is>
      </x:c>
      <x:c r="B25" s="5" t="inlineStr">
        <x:is>
          <x:t xml:space="preserve">HITRUST e1.csv</x:t>
        </x:is>
      </x:c>
      <x:c r="C25" s="5" t="inlineStr">
        <x:is>
          <x:t xml:space="preserve">ER-18</x:t>
        </x:is>
      </x:c>
      <x:c r="D25" s="5" t="inlineStr">
        <x:is>
          <x:t xml:space="preserve">Configuration</x:t>
        </x:is>
      </x:c>
      <x:c r="E25" s="5" t="inlineStr">
        <x:is>
          <x:t xml:space="preserve">Anti-malware and Alerts</x:t>
        </x:is>
      </x:c>
      <x:c r="F25" s="5" t="inlineStr">
        <x:is>
          <x:t xml:space="preserve">REQ-38-HIPAA</x:t>
        </x:is>
      </x:c>
      <x:c r="G25" s="5" t="inlineStr">
        <x:is>
          <x:t xml:space="preserve">0207.09j1Organizational.6</x:t>
        </x:is>
      </x:c>
      <x:c r="H25" s="5" t="inlineStr">
        <x:is>
          <x:t xml:space="preserve">0207.09j1 Organizational.6</x:t>
        </x:is>
      </x:c>
      <x:c r="I25" s="5" t="inlineStr">
        <x:is>
          <x:t xml:space="preserve">1:Many</x:t>
        </x:is>
      </x:c>
      <x:c r="J25" s="5" t="n">
        <x:v>1</x:v>
      </x:c>
      <x:c r="K25" s="5" t="inlineStr">
        <x:is>
          <x:t xml:space="preserve">45 CFR § 164.308(a)(5)(ii)(B)</x:t>
        </x:is>
      </x:c>
      <x:c r="L25" s="5" t="inlineStr">
        <x:is>
          <x:t xml:space="preserve">Security Awareness and Training — Protection from Malicious Software</x:t>
        </x:is>
      </x:c>
      <x:c r="M25" s="5" t="n">
        <x:v>1</x:v>
      </x:c>
      <x:c r="N25" s="5" t="inlineStr">
        <x:is>
          <x:t xml:space="preserve">45 C.F.R. § 164.308(a)(5)(ii)(B)</x:t>
        </x:is>
      </x:c>
      <x:c r="O25" s="5" t="inlineStr">
        <x:is>
          <x:t xml:space="preserve">Security Awareness and Training — Protection from Malicious Software</x:t>
        </x:is>
      </x:c>
      <x:c r="P25" s="5" t="inlineStr">
        <x:is>
          <x:t xml:space="preserve">Implement procedures for guarding against, detecting, and reporting malicious software.</x:t>
        </x:is>
      </x:c>
      <x:c r="Q25" s="5" t="inlineStr">
        <x:is>
          <x:t xml:space="preserve">Addressable implementation specification</x:t>
        </x:is>
      </x:c>
      <x:c r="R25" s="5" t="inlineStr">
        <x:is>
          <x:t xml:space="preserve">Administrative Safeguards</x:t>
        </x:is>
      </x:c>
      <x:c r="S25" s="28" t="inlineStr">
        <x:is>
          <x:t xml:space="preserve">https://www.ecfr.gov/current/title-45/subtitle-A/subchapter-C/part-164/section-164.308</x:t>
        </x:is>
      </x:c>
      <x:c r="T25" s="28" t="inlineStr">
        <x:is>
          <x:t xml:space="preserve">https://www.hhs.gov/hipaa/for-professionals/compliance-enforcement/audit/protocol-edited/index.html</x:t>
        </x:is>
      </x:c>
      <x:c r="U25" s="5" t="inlineStr">
        <x:is>
          <x:t xml:space="preserve">Direct</x:t>
        </x:is>
      </x:c>
      <x:c r="V25" s="5" t="inlineStr">
        <x:is>
          <x:t xml:space="preserve">Anti-malware evidence aligns directly to guarding against, detecting, and reporting malicious software.</x:t>
        </x:is>
      </x:c>
      <x:c r="W25" s="5" t="inlineStr">
        <x:is>
          <x:t xml:space="preserve">Alerts are treated as part of guarding against/detecting malicious software.</x:t>
        </x:is>
      </x:c>
      <x:c r="X25" s="5" t="n"/>
    </x:row>
    <x:row r="26" ht="30" customHeight="1">
      <x:c r="A26" s="5" t="inlineStr">
        <x:is>
          <x:t xml:space="preserve">ER-18|REQ-38-HIPAA|0226.09k1Organizational.2|Anti-malware and Alerts</x:t>
        </x:is>
      </x:c>
      <x:c r="B26" s="5" t="inlineStr">
        <x:is>
          <x:t xml:space="preserve">HITRUST e1.csv</x:t>
        </x:is>
      </x:c>
      <x:c r="C26" s="5" t="inlineStr">
        <x:is>
          <x:t xml:space="preserve">ER-18</x:t>
        </x:is>
      </x:c>
      <x:c r="D26" s="5" t="inlineStr">
        <x:is>
          <x:t xml:space="preserve">Configuration</x:t>
        </x:is>
      </x:c>
      <x:c r="E26" s="5" t="inlineStr">
        <x:is>
          <x:t xml:space="preserve">Anti-malware and Alerts</x:t>
        </x:is>
      </x:c>
      <x:c r="F26" s="5" t="inlineStr">
        <x:is>
          <x:t xml:space="preserve">REQ-38-HIPAA</x:t>
        </x:is>
      </x:c>
      <x:c r="G26" s="5" t="inlineStr">
        <x:is>
          <x:t xml:space="preserve">0226.09k1Organizational.2</x:t>
        </x:is>
      </x:c>
      <x:c r="H26" s="5" t="inlineStr">
        <x:is>
          <x:t xml:space="preserve">0226.09k1 Organizational.2</x:t>
        </x:is>
      </x:c>
      <x:c r="I26" s="5" t="inlineStr">
        <x:is>
          <x:t xml:space="preserve">1:Many</x:t>
        </x:is>
      </x:c>
      <x:c r="J26" s="5" t="n">
        <x:v>1</x:v>
      </x:c>
      <x:c r="K26" s="5" t="inlineStr">
        <x:is>
          <x:t xml:space="preserve">45 CFR § 164.308(a)(5)(ii)(B)</x:t>
        </x:is>
      </x:c>
      <x:c r="L26" s="5" t="inlineStr">
        <x:is>
          <x:t xml:space="preserve">Security Awareness and Training — Protection from Malicious Software</x:t>
        </x:is>
      </x:c>
      <x:c r="M26" s="5" t="n">
        <x:v>1</x:v>
      </x:c>
      <x:c r="N26" s="5" t="inlineStr">
        <x:is>
          <x:t xml:space="preserve">45 C.F.R. § 164.308(a)(5)(ii)(B)</x:t>
        </x:is>
      </x:c>
      <x:c r="O26" s="5" t="inlineStr">
        <x:is>
          <x:t xml:space="preserve">Security Awareness and Training — Protection from Malicious Software</x:t>
        </x:is>
      </x:c>
      <x:c r="P26" s="5" t="inlineStr">
        <x:is>
          <x:t xml:space="preserve">Implement procedures for guarding against, detecting, and reporting malicious software.</x:t>
        </x:is>
      </x:c>
      <x:c r="Q26" s="5" t="inlineStr">
        <x:is>
          <x:t xml:space="preserve">Addressable implementation specification</x:t>
        </x:is>
      </x:c>
      <x:c r="R26" s="5" t="inlineStr">
        <x:is>
          <x:t xml:space="preserve">Administrative Safeguards</x:t>
        </x:is>
      </x:c>
      <x:c r="S26" s="28" t="inlineStr">
        <x:is>
          <x:t xml:space="preserve">https://www.ecfr.gov/current/title-45/subtitle-A/subchapter-C/part-164/section-164.308</x:t>
        </x:is>
      </x:c>
      <x:c r="T26" s="28" t="inlineStr">
        <x:is>
          <x:t xml:space="preserve">https://www.hhs.gov/hipaa/for-professionals/compliance-enforcement/audit/protocol-edited/index.html</x:t>
        </x:is>
      </x:c>
      <x:c r="U26" s="5" t="inlineStr">
        <x:is>
          <x:t xml:space="preserve">Direct</x:t>
        </x:is>
      </x:c>
      <x:c r="V26" s="5" t="inlineStr">
        <x:is>
          <x:t xml:space="preserve">Anti-malware evidence aligns directly to guarding against, detecting, and reporting malicious software.</x:t>
        </x:is>
      </x:c>
      <x:c r="W26" s="5" t="inlineStr">
        <x:is>
          <x:t xml:space="preserve">Alerts are treated as part of guarding against/detecting malicious software.</x:t>
        </x:is>
      </x:c>
      <x:c r="X26" s="5" t="n"/>
    </x:row>
    <x:row r="27" ht="30" customHeight="1">
      <x:c r="A27" s="5" t="inlineStr">
        <x:is>
          <x:t xml:space="preserve">ER-18|REQ-38-HIPAA|02962.09j1Organizational.5|Anti-malware and Alerts</x:t>
        </x:is>
      </x:c>
      <x:c r="B27" s="5" t="inlineStr">
        <x:is>
          <x:t xml:space="preserve">HITRUST e1.csv</x:t>
        </x:is>
      </x:c>
      <x:c r="C27" s="5" t="inlineStr">
        <x:is>
          <x:t xml:space="preserve">ER-18</x:t>
        </x:is>
      </x:c>
      <x:c r="D27" s="5" t="inlineStr">
        <x:is>
          <x:t xml:space="preserve">Configuration</x:t>
        </x:is>
      </x:c>
      <x:c r="E27" s="5" t="inlineStr">
        <x:is>
          <x:t xml:space="preserve">Anti-malware and Alerts</x:t>
        </x:is>
      </x:c>
      <x:c r="F27" s="5" t="inlineStr">
        <x:is>
          <x:t xml:space="preserve">REQ-38-HIPAA</x:t>
        </x:is>
      </x:c>
      <x:c r="G27" s="5" t="inlineStr">
        <x:is>
          <x:t xml:space="preserve">02962.09j1Organizational.5</x:t>
        </x:is>
      </x:c>
      <x:c r="H27" s="5" t="inlineStr">
        <x:is>
          <x:t xml:space="preserve">02962.09j1 Organizational.5</x:t>
        </x:is>
      </x:c>
      <x:c r="I27" s="5" t="inlineStr">
        <x:is>
          <x:t xml:space="preserve">1:Many</x:t>
        </x:is>
      </x:c>
      <x:c r="J27" s="5" t="n">
        <x:v>1</x:v>
      </x:c>
      <x:c r="K27" s="5" t="inlineStr">
        <x:is>
          <x:t xml:space="preserve">45 CFR § 164.308(a)(5)(ii)(B)</x:t>
        </x:is>
      </x:c>
      <x:c r="L27" s="5" t="inlineStr">
        <x:is>
          <x:t xml:space="preserve">Security Awareness and Training — Protection from Malicious Software</x:t>
        </x:is>
      </x:c>
      <x:c r="M27" s="5" t="n">
        <x:v>1</x:v>
      </x:c>
      <x:c r="N27" s="5" t="inlineStr">
        <x:is>
          <x:t xml:space="preserve">45 C.F.R. § 164.308(a)(5)(ii)(B)</x:t>
        </x:is>
      </x:c>
      <x:c r="O27" s="5" t="inlineStr">
        <x:is>
          <x:t xml:space="preserve">Security Awareness and Training — Protection from Malicious Software</x:t>
        </x:is>
      </x:c>
      <x:c r="P27" s="5" t="inlineStr">
        <x:is>
          <x:t xml:space="preserve">Implement procedures for guarding against, detecting, and reporting malicious software.</x:t>
        </x:is>
      </x:c>
      <x:c r="Q27" s="5" t="inlineStr">
        <x:is>
          <x:t xml:space="preserve">Addressable implementation specification</x:t>
        </x:is>
      </x:c>
      <x:c r="R27" s="5" t="inlineStr">
        <x:is>
          <x:t xml:space="preserve">Administrative Safeguards</x:t>
        </x:is>
      </x:c>
      <x:c r="S27" s="28" t="inlineStr">
        <x:is>
          <x:t xml:space="preserve">https://www.ecfr.gov/current/title-45/subtitle-A/subchapter-C/part-164/section-164.308</x:t>
        </x:is>
      </x:c>
      <x:c r="T27" s="28" t="inlineStr">
        <x:is>
          <x:t xml:space="preserve">https://www.hhs.gov/hipaa/for-professionals/compliance-enforcement/audit/protocol-edited/index.html</x:t>
        </x:is>
      </x:c>
      <x:c r="U27" s="5" t="inlineStr">
        <x:is>
          <x:t xml:space="preserve">Direct</x:t>
        </x:is>
      </x:c>
      <x:c r="V27" s="5" t="inlineStr">
        <x:is>
          <x:t xml:space="preserve">Anti-malware evidence aligns directly to guarding against, detecting, and reporting malicious software.</x:t>
        </x:is>
      </x:c>
      <x:c r="W27" s="5" t="inlineStr">
        <x:is>
          <x:t xml:space="preserve">Alerts are treated as part of guarding against/detecting malicious software.</x:t>
        </x:is>
      </x:c>
      <x:c r="X27" s="5" t="n"/>
    </x:row>
    <x:row r="28" ht="30" customHeight="1">
      <x:c r="A28" s="5" t="inlineStr">
        <x:is>
          <x:t xml:space="preserve">ER-18|REQ-38-HIPAA|08.09m1Organizational.8|Anti-malware and Alerts</x:t>
        </x:is>
      </x:c>
      <x:c r="B28" s="5" t="inlineStr">
        <x:is>
          <x:t xml:space="preserve">HITRUST e1.csv</x:t>
        </x:is>
      </x:c>
      <x:c r="C28" s="5" t="inlineStr">
        <x:is>
          <x:t xml:space="preserve">ER-18</x:t>
        </x:is>
      </x:c>
      <x:c r="D28" s="5" t="inlineStr">
        <x:is>
          <x:t xml:space="preserve">Configuration</x:t>
        </x:is>
      </x:c>
      <x:c r="E28" s="5" t="inlineStr">
        <x:is>
          <x:t xml:space="preserve">Anti-malware and Alerts</x:t>
        </x:is>
      </x:c>
      <x:c r="F28" s="5" t="inlineStr">
        <x:is>
          <x:t xml:space="preserve">REQ-38-HIPAA</x:t>
        </x:is>
      </x:c>
      <x:c r="G28" s="5" t="inlineStr">
        <x:is>
          <x:t xml:space="preserve">08.09m1Organizational.8</x:t>
        </x:is>
      </x:c>
      <x:c r="H28" s="5" t="inlineStr">
        <x:is>
          <x:t xml:space="preserve">08.09m1 Organizational.8</x:t>
        </x:is>
      </x:c>
      <x:c r="I28" s="5" t="inlineStr">
        <x:is>
          <x:t xml:space="preserve">1:Many</x:t>
        </x:is>
      </x:c>
      <x:c r="J28" s="5" t="n">
        <x:v>1</x:v>
      </x:c>
      <x:c r="K28" s="5" t="inlineStr">
        <x:is>
          <x:t xml:space="preserve">45 CFR § 164.308(a)(5)(ii)(B)</x:t>
        </x:is>
      </x:c>
      <x:c r="L28" s="5" t="inlineStr">
        <x:is>
          <x:t xml:space="preserve">Security Awareness and Training — Protection from Malicious Software</x:t>
        </x:is>
      </x:c>
      <x:c r="M28" s="5" t="n">
        <x:v>1</x:v>
      </x:c>
      <x:c r="N28" s="5" t="inlineStr">
        <x:is>
          <x:t xml:space="preserve">45 C.F.R. § 164.308(a)(5)(ii)(B)</x:t>
        </x:is>
      </x:c>
      <x:c r="O28" s="5" t="inlineStr">
        <x:is>
          <x:t xml:space="preserve">Security Awareness and Training — Protection from Malicious Software</x:t>
        </x:is>
      </x:c>
      <x:c r="P28" s="5" t="inlineStr">
        <x:is>
          <x:t xml:space="preserve">Implement procedures for guarding against, detecting, and reporting malicious software.</x:t>
        </x:is>
      </x:c>
      <x:c r="Q28" s="5" t="inlineStr">
        <x:is>
          <x:t xml:space="preserve">Addressable implementation specification</x:t>
        </x:is>
      </x:c>
      <x:c r="R28" s="5" t="inlineStr">
        <x:is>
          <x:t xml:space="preserve">Administrative Safeguards</x:t>
        </x:is>
      </x:c>
      <x:c r="S28" s="28" t="inlineStr">
        <x:is>
          <x:t xml:space="preserve">https://www.ecfr.gov/current/title-45/subtitle-A/subchapter-C/part-164/section-164.308</x:t>
        </x:is>
      </x:c>
      <x:c r="T28" s="28" t="inlineStr">
        <x:is>
          <x:t xml:space="preserve">https://www.hhs.gov/hipaa/for-professionals/compliance-enforcement/audit/protocol-edited/index.html</x:t>
        </x:is>
      </x:c>
      <x:c r="U28" s="5" t="inlineStr">
        <x:is>
          <x:t xml:space="preserve">Direct</x:t>
        </x:is>
      </x:c>
      <x:c r="V28" s="5" t="inlineStr">
        <x:is>
          <x:t xml:space="preserve">Anti-malware evidence aligns directly to guarding against, detecting, and reporting malicious software.</x:t>
        </x:is>
      </x:c>
      <x:c r="W28" s="5" t="inlineStr">
        <x:is>
          <x:t xml:space="preserve">Alerts are treated as part of guarding against/detecting malicious software.</x:t>
        </x:is>
      </x:c>
      <x:c r="X28" s="5" t="n"/>
    </x:row>
    <x:row r="29" ht="30" customHeight="1">
      <x:c r="A29" s="5" t="inlineStr">
        <x:is>
          <x:t xml:space="preserve">ER-271|REQ-109-HIPAA|0701.07a1Organizational.8|Asset Custody Log</x:t>
        </x:is>
      </x:c>
      <x:c r="B29" s="5" t="inlineStr">
        <x:is>
          <x:t xml:space="preserve">HIPAA Security.csv</x:t>
        </x:is>
      </x:c>
      <x:c r="C29" s="5" t="inlineStr">
        <x:is>
          <x:t xml:space="preserve">ER-271</x:t>
        </x:is>
      </x:c>
      <x:c r="D29" s="5" t="inlineStr">
        <x:is>
          <x:t xml:space="preserve">Operational</x:t>
        </x:is>
      </x:c>
      <x:c r="E29" s="5" t="inlineStr">
        <x:is>
          <x:t xml:space="preserve">Asset Custody Log</x:t>
        </x:is>
      </x:c>
      <x:c r="F29" s="5" t="inlineStr">
        <x:is>
          <x:t xml:space="preserve">REQ-109-HIPAA</x:t>
        </x:is>
      </x:c>
      <x:c r="G29" s="5" t="inlineStr">
        <x:is>
          <x:t xml:space="preserve">0701.07a1Organizational.8</x:t>
        </x:is>
      </x:c>
      <x:c r="H29" s="5" t="inlineStr">
        <x:is>
          <x:t xml:space="preserve">0701.07a1 Organizational.8</x:t>
        </x:is>
      </x:c>
      <x:c r="I29" s="5" t="inlineStr">
        <x:is>
          <x:t xml:space="preserve">1:Many</x:t>
        </x:is>
      </x:c>
      <x:c r="J29" s="5" t="n">
        <x:v>1</x:v>
      </x:c>
      <x:c r="K29" s="5" t="inlineStr">
        <x:is>
          <x:t xml:space="preserve">45 CFR § 164.310(d)(2)(iii)</x:t>
        </x:is>
      </x:c>
      <x:c r="L29" s="5" t="inlineStr">
        <x:is>
          <x:t xml:space="preserve">Device and Media Controls — Accountability</x:t>
        </x:is>
      </x:c>
      <x:c r="M29" s="5" t="n">
        <x:v>1</x:v>
      </x:c>
      <x:c r="N29" s="5" t="inlineStr">
        <x:is>
          <x:t xml:space="preserve">45 C.F.R. § 164.310(d)(2)(iii)</x:t>
        </x:is>
      </x:c>
      <x:c r="O29" s="5" t="inlineStr">
        <x:is>
          <x:t xml:space="preserve">Device and Media Controls — Accountability</x:t>
        </x:is>
      </x:c>
      <x:c r="P29" s="5" t="inlineStr">
        <x:is>
          <x:t xml:space="preserve">Maintain a record of the movements of hardware and electronic media and the person responsible for them.</x:t>
        </x:is>
      </x:c>
      <x:c r="Q29" s="5" t="inlineStr">
        <x:is>
          <x:t xml:space="preserve">Addressable implementation specification</x:t>
        </x:is>
      </x:c>
      <x:c r="R29" s="5" t="inlineStr">
        <x:is>
          <x:t xml:space="preserve">Physical Safeguards</x:t>
        </x:is>
      </x:c>
      <x:c r="S29" s="28" t="inlineStr">
        <x:is>
          <x:t xml:space="preserve">https://www.ecfr.gov/current/title-45/subtitle-A/subchapter-C/part-164/section-164.310</x:t>
        </x:is>
      </x:c>
      <x:c r="T29" s="28" t="inlineStr">
        <x:is>
          <x:t xml:space="preserve">https://www.hhs.gov/sites/default/files/ocr/privacy/hipaa/administrative/combined/hipaa-simplification-201303.pdf</x:t>
        </x:is>
      </x:c>
      <x:c r="U29" s="5" t="inlineStr">
        <x:is>
          <x:t xml:space="preserve">Direct</x:t>
        </x:is>
      </x:c>
      <x:c r="V29" s="5" t="inlineStr">
        <x:is>
          <x:t xml:space="preserve">Asset custody logs align directly to maintaining a record of the movements of hardware/electronic media and the person responsible.</x:t>
        </x:is>
      </x:c>
      <x:c r="W29" s="5" t="inlineStr">
        <x:is>
          <x:t xml:space="preserve">Used for custody/chain-of-responsibility evidence.</x:t>
        </x:is>
      </x:c>
      <x:c r="X29" s="5" t="n"/>
    </x:row>
    <x:row r="30" ht="30" customHeight="1">
      <x:c r="A30" s="5" t="inlineStr">
        <x:is>
          <x:t xml:space="preserve">ER-271|REQ-109-HIPAA|0704.07a1Organizational.8|Asset Custody Log</x:t>
        </x:is>
      </x:c>
      <x:c r="B30" s="5" t="inlineStr">
        <x:is>
          <x:t xml:space="preserve">HIPAA Security.csv</x:t>
        </x:is>
      </x:c>
      <x:c r="C30" s="5" t="inlineStr">
        <x:is>
          <x:t xml:space="preserve">ER-271</x:t>
        </x:is>
      </x:c>
      <x:c r="D30" s="5" t="inlineStr">
        <x:is>
          <x:t xml:space="preserve">Operational</x:t>
        </x:is>
      </x:c>
      <x:c r="E30" s="5" t="inlineStr">
        <x:is>
          <x:t xml:space="preserve">Asset Custody Log</x:t>
        </x:is>
      </x:c>
      <x:c r="F30" s="5" t="inlineStr">
        <x:is>
          <x:t xml:space="preserve">REQ-109-HIPAA</x:t>
        </x:is>
      </x:c>
      <x:c r="G30" s="5" t="inlineStr">
        <x:is>
          <x:t xml:space="preserve">0704.07a1Organizational.8</x:t>
        </x:is>
      </x:c>
      <x:c r="H30" s="5" t="inlineStr">
        <x:is>
          <x:t xml:space="preserve">0704.07a1 Organizational.8</x:t>
        </x:is>
      </x:c>
      <x:c r="I30" s="5" t="inlineStr">
        <x:is>
          <x:t xml:space="preserve">1:Many</x:t>
        </x:is>
      </x:c>
      <x:c r="J30" s="5" t="n">
        <x:v>1</x:v>
      </x:c>
      <x:c r="K30" s="5" t="inlineStr">
        <x:is>
          <x:t xml:space="preserve">45 CFR § 164.310(d)(2)(iii)</x:t>
        </x:is>
      </x:c>
      <x:c r="L30" s="5" t="inlineStr">
        <x:is>
          <x:t xml:space="preserve">Device and Media Controls — Accountability</x:t>
        </x:is>
      </x:c>
      <x:c r="M30" s="5" t="n">
        <x:v>1</x:v>
      </x:c>
      <x:c r="N30" s="5" t="inlineStr">
        <x:is>
          <x:t xml:space="preserve">45 C.F.R. § 164.310(d)(2)(iii)</x:t>
        </x:is>
      </x:c>
      <x:c r="O30" s="5" t="inlineStr">
        <x:is>
          <x:t xml:space="preserve">Device and Media Controls — Accountability</x:t>
        </x:is>
      </x:c>
      <x:c r="P30" s="5" t="inlineStr">
        <x:is>
          <x:t xml:space="preserve">Maintain a record of the movements of hardware and electronic media and the person responsible for them.</x:t>
        </x:is>
      </x:c>
      <x:c r="Q30" s="5" t="inlineStr">
        <x:is>
          <x:t xml:space="preserve">Addressable implementation specification</x:t>
        </x:is>
      </x:c>
      <x:c r="R30" s="5" t="inlineStr">
        <x:is>
          <x:t xml:space="preserve">Physical Safeguards</x:t>
        </x:is>
      </x:c>
      <x:c r="S30" s="28" t="inlineStr">
        <x:is>
          <x:t xml:space="preserve">https://www.ecfr.gov/current/title-45/subtitle-A/subchapter-C/part-164/section-164.310</x:t>
        </x:is>
      </x:c>
      <x:c r="T30" s="28" t="inlineStr">
        <x:is>
          <x:t xml:space="preserve">https://www.hhs.gov/sites/default/files/ocr/privacy/hipaa/administrative/combined/hipaa-simplification-201303.pdf</x:t>
        </x:is>
      </x:c>
      <x:c r="U30" s="5" t="inlineStr">
        <x:is>
          <x:t xml:space="preserve">Direct</x:t>
        </x:is>
      </x:c>
      <x:c r="V30" s="5" t="inlineStr">
        <x:is>
          <x:t xml:space="preserve">Asset custody logs align directly to maintaining a record of the movements of hardware/electronic media and the person responsible.</x:t>
        </x:is>
      </x:c>
      <x:c r="W30" s="5" t="inlineStr">
        <x:is>
          <x:t xml:space="preserve">Used for custody/chain-of-responsibility evidence.</x:t>
        </x:is>
      </x:c>
      <x:c r="X30" s="5" t="n"/>
    </x:row>
    <x:row r="31" ht="30" customHeight="1">
      <x:c r="A31" s="5" t="inlineStr">
        <x:is>
          <x:t xml:space="preserve">ER-115|REQ-60-HIPAA|1616.09l1Organizational.16|Backups</x:t>
        </x:is>
      </x:c>
      <x:c r="B31" s="5" t="inlineStr">
        <x:is>
          <x:t xml:space="preserve">HITRUST e1.csv</x:t>
        </x:is>
      </x:c>
      <x:c r="C31" s="5" t="inlineStr">
        <x:is>
          <x:t xml:space="preserve">ER-115</x:t>
        </x:is>
      </x:c>
      <x:c r="D31" s="5" t="inlineStr">
        <x:is>
          <x:t xml:space="preserve">Policy</x:t>
        </x:is>
      </x:c>
      <x:c r="E31" s="5" t="inlineStr">
        <x:is>
          <x:t xml:space="preserve">Backups</x:t>
        </x:is>
      </x:c>
      <x:c r="F31" s="5" t="inlineStr">
        <x:is>
          <x:t xml:space="preserve">REQ-60-HIPAA</x:t>
        </x:is>
      </x:c>
      <x:c r="G31" s="5" t="inlineStr">
        <x:is>
          <x:t xml:space="preserve">1616.09l1Organizational.16</x:t>
        </x:is>
      </x:c>
      <x:c r="H31" s="5" t="inlineStr">
        <x:is>
          <x:t xml:space="preserve">1616.09l1 Organizational.16</x:t>
        </x:is>
      </x:c>
      <x:c r="I31" s="5" t="inlineStr">
        <x:is>
          <x:t xml:space="preserve">Many:1</x:t>
        </x:is>
      </x:c>
      <x:c r="J31" s="5" t="n">
        <x:v>1</x:v>
      </x:c>
      <x:c r="K31" s="5" t="inlineStr">
        <x:is>
          <x:t xml:space="preserve">45 CFR § 164.308(a)(7)(ii)(A)</x:t>
        </x:is>
      </x:c>
      <x:c r="L31" s="5" t="inlineStr">
        <x:is>
          <x:t xml:space="preserve">Contingency Plan — Data Backup Plan</x:t>
        </x:is>
      </x:c>
      <x:c r="M31" s="5" t="n">
        <x:v>1</x:v>
      </x:c>
      <x:c r="N31" s="5" t="inlineStr">
        <x:is>
          <x:t xml:space="preserve">45 C.F.R. § 164.308(a)(7)(ii)(A)</x:t>
        </x:is>
      </x:c>
      <x:c r="O31" s="5" t="inlineStr">
        <x:is>
          <x:t xml:space="preserve">Contingency Plan — Data Backup Plan</x:t>
        </x:is>
      </x:c>
      <x:c r="P31" s="5" t="inlineStr">
        <x:is>
          <x:t xml:space="preserve">Establish and implement procedures to create and maintain retrievable exact copies of ePHI.</x:t>
        </x:is>
      </x:c>
      <x:c r="Q31" s="5" t="inlineStr">
        <x:is>
          <x:t xml:space="preserve">Required implementation specification</x:t>
        </x:is>
      </x:c>
      <x:c r="R31" s="5" t="inlineStr">
        <x:is>
          <x:t xml:space="preserve">Administrative Safeguards</x:t>
        </x:is>
      </x:c>
      <x:c r="S31" s="28" t="inlineStr">
        <x:is>
          <x:t xml:space="preserve">https://www.ecfr.gov/current/title-45/subtitle-A/subchapter-C/part-164/section-164.308</x:t>
        </x:is>
      </x:c>
      <x:c r="T31" s="28" t="inlineStr">
        <x:is>
          <x:t xml:space="preserve">https://www.hhs.gov/hipaa/for-professionals/security/guidance/cybersecurity/ransomware-fact-sheet/index.html</x:t>
        </x:is>
      </x:c>
      <x:c r="U31" s="5" t="inlineStr">
        <x:is>
          <x:t xml:space="preserve">Direct</x:t>
        </x:is>
      </x:c>
      <x:c r="V31" s="5" t="inlineStr">
        <x:is>
          <x:t xml:space="preserve">Backup policy aligns directly to creation and maintenance of retrievable exact copies of ePHI.</x:t>
        </x:is>
      </x:c>
      <x:c r="W31" s="5" t="inlineStr">
        <x:is>
          <x:t xml:space="preserve">Used for backup-policy rows.</x:t>
        </x:is>
      </x:c>
      <x:c r="X31" s="5" t="n"/>
    </x:row>
    <x:row r="32" ht="30" customHeight="1">
      <x:c r="A32" s="5" t="inlineStr">
        <x:is>
          <x:t xml:space="preserve">ER-115|REQ-61-HIPAA|1616.09l1Organizational.16|Backups</x:t>
        </x:is>
      </x:c>
      <x:c r="B32" s="5" t="inlineStr">
        <x:is>
          <x:t xml:space="preserve">HITRUST e1.csv</x:t>
        </x:is>
      </x:c>
      <x:c r="C32" s="5" t="inlineStr">
        <x:is>
          <x:t xml:space="preserve">ER-115</x:t>
        </x:is>
      </x:c>
      <x:c r="D32" s="5" t="inlineStr">
        <x:is>
          <x:t xml:space="preserve">Policy</x:t>
        </x:is>
      </x:c>
      <x:c r="E32" s="5" t="inlineStr">
        <x:is>
          <x:t xml:space="preserve">Backups</x:t>
        </x:is>
      </x:c>
      <x:c r="F32" s="5" t="inlineStr">
        <x:is>
          <x:t xml:space="preserve">REQ-61-HIPAA</x:t>
        </x:is>
      </x:c>
      <x:c r="G32" s="5" t="inlineStr">
        <x:is>
          <x:t xml:space="preserve">1616.09l1Organizational.16</x:t>
        </x:is>
      </x:c>
      <x:c r="H32" s="5" t="inlineStr">
        <x:is>
          <x:t xml:space="preserve">1616.09l1 Organizational.16</x:t>
        </x:is>
      </x:c>
      <x:c r="I32" s="5" t="inlineStr">
        <x:is>
          <x:t xml:space="preserve">Many:1</x:t>
        </x:is>
      </x:c>
      <x:c r="J32" s="5" t="n">
        <x:v>2</x:v>
      </x:c>
      <x:c r="K32" s="5" t="inlineStr">
        <x:is>
          <x:t xml:space="preserve">45 CFR § 164.308(a)(7)(ii)(A); 45 CFR § 164.308(a)(7)(ii)(D)</x:t>
        </x:is>
      </x:c>
      <x:c r="L32" s="5" t="inlineStr">
        <x:is>
          <x:t xml:space="preserve">Contingency Plan — Data Backup Plan; Contingency Plan — Testing and Revision Procedure</x:t>
        </x:is>
      </x:c>
      <x:c r="M32" s="5" t="n">
        <x:v>1</x:v>
      </x:c>
      <x:c r="N32" s="5" t="inlineStr">
        <x:is>
          <x:t xml:space="preserve">45 C.F.R. § 164.308(a)(7)(ii)(A)</x:t>
        </x:is>
      </x:c>
      <x:c r="O32" s="5" t="inlineStr">
        <x:is>
          <x:t xml:space="preserve">Contingency Plan — Data Backup Plan</x:t>
        </x:is>
      </x:c>
      <x:c r="P32" s="5" t="inlineStr">
        <x:is>
          <x:t xml:space="preserve">Establish and implement procedures to create and maintain retrievable exact copies of ePHI.</x:t>
        </x:is>
      </x:c>
      <x:c r="Q32" s="5" t="inlineStr">
        <x:is>
          <x:t xml:space="preserve">Required implementation specification</x:t>
        </x:is>
      </x:c>
      <x:c r="R32" s="5" t="inlineStr">
        <x:is>
          <x:t xml:space="preserve">Administrative Safeguards</x:t>
        </x:is>
      </x:c>
      <x:c r="S32" s="28" t="inlineStr">
        <x:is>
          <x:t xml:space="preserve">https://www.ecfr.gov/current/title-45/subtitle-A/subchapter-C/part-164/section-164.308</x:t>
        </x:is>
      </x:c>
      <x:c r="T32" s="28" t="inlineStr">
        <x:is>
          <x:t xml:space="preserve">https://www.hhs.gov/hipaa/for-professionals/security/guidance/cybersecurity/ransomware-fact-sheet/index.html</x:t>
        </x:is>
      </x:c>
      <x:c r="U32" s="5" t="inlineStr">
        <x:is>
          <x:t xml:space="preserve">Composite</x:t>
        </x:is>
      </x:c>
      <x:c r="V32" s="5" t="inlineStr">
        <x:is>
          <x:t xml:space="preserve">This internal control appears on general backup-policy rows and explicit backup-test rows, so both backup-plan and test/revision citations are included.</x:t>
        </x:is>
      </x:c>
      <x:c r="W32" s="5" t="inlineStr">
        <x:is>
          <x:t xml:space="preserve">Broader than a single implementation specification because the source spreadsheet uses the same control across planning and testing evidence.</x:t>
        </x:is>
      </x:c>
      <x:c r="X32" s="5" t="n"/>
    </x:row>
    <x:row r="33" ht="30" customHeight="1">
      <x:c r="A33" s="5" t="inlineStr">
        <x:is>
          <x:t xml:space="preserve">ER-115|REQ-61-HIPAA|1616.09l1Organizational.16|Backups</x:t>
        </x:is>
      </x:c>
      <x:c r="B33" s="5" t="inlineStr">
        <x:is>
          <x:t xml:space="preserve">HITRUST e1.csv</x:t>
        </x:is>
      </x:c>
      <x:c r="C33" s="5" t="inlineStr">
        <x:is>
          <x:t xml:space="preserve">ER-115</x:t>
        </x:is>
      </x:c>
      <x:c r="D33" s="5" t="inlineStr">
        <x:is>
          <x:t xml:space="preserve">Policy</x:t>
        </x:is>
      </x:c>
      <x:c r="E33" s="5" t="inlineStr">
        <x:is>
          <x:t xml:space="preserve">Backups</x:t>
        </x:is>
      </x:c>
      <x:c r="F33" s="5" t="inlineStr">
        <x:is>
          <x:t xml:space="preserve">REQ-61-HIPAA</x:t>
        </x:is>
      </x:c>
      <x:c r="G33" s="5" t="inlineStr">
        <x:is>
          <x:t xml:space="preserve">1616.09l1Organizational.16</x:t>
        </x:is>
      </x:c>
      <x:c r="H33" s="5" t="inlineStr">
        <x:is>
          <x:t xml:space="preserve">1616.09l1 Organizational.16</x:t>
        </x:is>
      </x:c>
      <x:c r="I33" s="5" t="inlineStr">
        <x:is>
          <x:t xml:space="preserve">Many:1</x:t>
        </x:is>
      </x:c>
      <x:c r="J33" s="5" t="n">
        <x:v>2</x:v>
      </x:c>
      <x:c r="K33" s="5" t="inlineStr">
        <x:is>
          <x:t xml:space="preserve">45 CFR § 164.308(a)(7)(ii)(A); 45 CFR § 164.308(a)(7)(ii)(D)</x:t>
        </x:is>
      </x:c>
      <x:c r="L33" s="5" t="inlineStr">
        <x:is>
          <x:t xml:space="preserve">Contingency Plan — Data Backup Plan; Contingency Plan — Testing and Revision Procedure</x:t>
        </x:is>
      </x:c>
      <x:c r="M33" s="5" t="n">
        <x:v>2</x:v>
      </x:c>
      <x:c r="N33" s="5" t="inlineStr">
        <x:is>
          <x:t xml:space="preserve">45 C.F.R. § 164.308(a)(7)(ii)(D)</x:t>
        </x:is>
      </x:c>
      <x:c r="O33" s="5" t="inlineStr">
        <x:is>
          <x:t xml:space="preserve">Contingency Plan — Applications and Data Criticality Analysis</x:t>
        </x:is>
      </x:c>
      <x:c r="P33" s="5" t="inlineStr">
        <x:is>
          <x:t xml:space="preserve">Assess the relative criticality of specific applications and data in support of contingency planning.</x:t>
        </x:is>
      </x:c>
      <x:c r="Q33" s="5" t="inlineStr">
        <x:is>
          <x:t xml:space="preserve">Addressable implementation specification</x:t>
        </x:is>
      </x:c>
      <x:c r="R33" s="5" t="inlineStr">
        <x:is>
          <x:t xml:space="preserve">Administrative Safeguards</x:t>
        </x:is>
      </x:c>
      <x:c r="S33" s="28" t="inlineStr">
        <x:is>
          <x:t xml:space="preserve">https://www.ecfr.gov/current/title-45/subtitle-A/subchapter-C/part-164/section-164.308</x:t>
        </x:is>
      </x:c>
      <x:c r="T33" s="28" t="inlineStr">
        <x:is>
          <x:t xml:space="preserve">https://www.hhs.gov/hipaa/for-professionals/compliance-enforcement/audit/protocol-edited/index.html</x:t>
        </x:is>
      </x:c>
      <x:c r="U33" s="5" t="inlineStr">
        <x:is>
          <x:t xml:space="preserve">Composite</x:t>
        </x:is>
      </x:c>
      <x:c r="V33" s="5" t="inlineStr">
        <x:is>
          <x:t xml:space="preserve">This internal control appears on general backup-policy rows and explicit backup-test rows, so both backup-plan and test/revision citations are included.</x:t>
        </x:is>
      </x:c>
      <x:c r="W33" s="5" t="inlineStr">
        <x:is>
          <x:t xml:space="preserve">Broader than a single implementation specification because the source spreadsheet uses the same control across planning and testing evidence.</x:t>
        </x:is>
      </x:c>
      <x:c r="X33" s="5" t="n"/>
    </x:row>
    <x:row r="34" ht="30" customHeight="1">
      <x:c r="A34" s="5" t="inlineStr">
        <x:is>
          <x:t xml:space="preserve">ER-114|REQ-62-HIPAA|16.09l1Organizational.4|Backups and Schedules</x:t>
        </x:is>
      </x:c>
      <x:c r="B34" s="5" t="inlineStr">
        <x:is>
          <x:t xml:space="preserve">HITRUST e1.csv</x:t>
        </x:is>
      </x:c>
      <x:c r="C34" s="5" t="inlineStr">
        <x:is>
          <x:t xml:space="preserve">ER-114</x:t>
        </x:is>
      </x:c>
      <x:c r="D34" s="5" t="inlineStr">
        <x:is>
          <x:t xml:space="preserve">Configuration</x:t>
        </x:is>
      </x:c>
      <x:c r="E34" s="5" t="inlineStr">
        <x:is>
          <x:t xml:space="preserve">Backups and Schedules</x:t>
        </x:is>
      </x:c>
      <x:c r="F34" s="5" t="inlineStr">
        <x:is>
          <x:t xml:space="preserve">REQ-62-HIPAA</x:t>
        </x:is>
      </x:c>
      <x:c r="G34" s="5" t="inlineStr">
        <x:is>
          <x:t xml:space="preserve">16.09l1Organizational.4</x:t>
        </x:is>
      </x:c>
      <x:c r="H34" s="5" t="inlineStr">
        <x:is>
          <x:t xml:space="preserve">16.09l1 Organizational.4</x:t>
        </x:is>
      </x:c>
      <x:c r="I34" s="5" t="inlineStr">
        <x:is>
          <x:t xml:space="preserve">Many:Many</x:t>
        </x:is>
      </x:c>
      <x:c r="J34" s="5" t="n">
        <x:v>1</x:v>
      </x:c>
      <x:c r="K34" s="5" t="inlineStr">
        <x:is>
          <x:t xml:space="preserve">45 CFR § 164.308(a)(7)(ii)(A)</x:t>
        </x:is>
      </x:c>
      <x:c r="L34" s="5" t="inlineStr">
        <x:is>
          <x:t xml:space="preserve">Contingency Plan — Data Backup Plan</x:t>
        </x:is>
      </x:c>
      <x:c r="M34" s="5" t="n">
        <x:v>1</x:v>
      </x:c>
      <x:c r="N34" s="5" t="inlineStr">
        <x:is>
          <x:t xml:space="preserve">45 C.F.R. § 164.308(a)(7)(ii)(A)</x:t>
        </x:is>
      </x:c>
      <x:c r="O34" s="5" t="inlineStr">
        <x:is>
          <x:t xml:space="preserve">Contingency Plan — Data Backup Plan</x:t>
        </x:is>
      </x:c>
      <x:c r="P34" s="5" t="inlineStr">
        <x:is>
          <x:t xml:space="preserve">Establish and implement procedures to create and maintain retrievable exact copies of ePHI.</x:t>
        </x:is>
      </x:c>
      <x:c r="Q34" s="5" t="inlineStr">
        <x:is>
          <x:t xml:space="preserve">Required implementation specification</x:t>
        </x:is>
      </x:c>
      <x:c r="R34" s="5" t="inlineStr">
        <x:is>
          <x:t xml:space="preserve">Administrative Safeguards</x:t>
        </x:is>
      </x:c>
      <x:c r="S34" s="28" t="inlineStr">
        <x:is>
          <x:t xml:space="preserve">https://www.ecfr.gov/current/title-45/subtitle-A/subchapter-C/part-164/section-164.308</x:t>
        </x:is>
      </x:c>
      <x:c r="T34" s="28" t="inlineStr">
        <x:is>
          <x:t xml:space="preserve">https://www.hhs.gov/hipaa/for-professionals/security/guidance/cybersecurity/ransomware-fact-sheet/index.html</x:t>
        </x:is>
      </x:c>
      <x:c r="U34" s="5" t="inlineStr">
        <x:is>
          <x:t xml:space="preserve">Direct</x:t>
        </x:is>
      </x:c>
      <x:c r="V34" s="5" t="inlineStr">
        <x:is>
          <x:t xml:space="preserve">Backup schedules most directly align to maintaining retrievable exact copies of ePHI.</x:t>
        </x:is>
      </x:c>
      <x:c r="W34" s="5" t="inlineStr">
        <x:is>
          <x:t xml:space="preserve">Used for backup schedule evidence.</x:t>
        </x:is>
      </x:c>
      <x:c r="X34" s="5" t="n"/>
    </x:row>
    <x:row r="35" ht="30" customHeight="1">
      <x:c r="A35" s="5" t="inlineStr">
        <x:is>
          <x:t xml:space="preserve">ER-114|REQ-62-HIPAA|1616.09l1Organizational.16|Backups and Schedules</x:t>
        </x:is>
      </x:c>
      <x:c r="B35" s="5" t="inlineStr">
        <x:is>
          <x:t xml:space="preserve">HITRUST e1.csv</x:t>
        </x:is>
      </x:c>
      <x:c r="C35" s="5" t="inlineStr">
        <x:is>
          <x:t xml:space="preserve">ER-114</x:t>
        </x:is>
      </x:c>
      <x:c r="D35" s="5" t="inlineStr">
        <x:is>
          <x:t xml:space="preserve">Configuration</x:t>
        </x:is>
      </x:c>
      <x:c r="E35" s="5" t="inlineStr">
        <x:is>
          <x:t xml:space="preserve">Backups and Schedules</x:t>
        </x:is>
      </x:c>
      <x:c r="F35" s="5" t="inlineStr">
        <x:is>
          <x:t xml:space="preserve">REQ-62-HIPAA</x:t>
        </x:is>
      </x:c>
      <x:c r="G35" s="5" t="inlineStr">
        <x:is>
          <x:t xml:space="preserve">1616.09l1Organizational.16</x:t>
        </x:is>
      </x:c>
      <x:c r="H35" s="5" t="inlineStr">
        <x:is>
          <x:t xml:space="preserve">1616.09l1 Organizational.16</x:t>
        </x:is>
      </x:c>
      <x:c r="I35" s="5" t="inlineStr">
        <x:is>
          <x:t xml:space="preserve">Many:Many</x:t>
        </x:is>
      </x:c>
      <x:c r="J35" s="5" t="n">
        <x:v>1</x:v>
      </x:c>
      <x:c r="K35" s="5" t="inlineStr">
        <x:is>
          <x:t xml:space="preserve">45 CFR § 164.308(a)(7)(ii)(A)</x:t>
        </x:is>
      </x:c>
      <x:c r="L35" s="5" t="inlineStr">
        <x:is>
          <x:t xml:space="preserve">Contingency Plan — Data Backup Plan</x:t>
        </x:is>
      </x:c>
      <x:c r="M35" s="5" t="n">
        <x:v>1</x:v>
      </x:c>
      <x:c r="N35" s="5" t="inlineStr">
        <x:is>
          <x:t xml:space="preserve">45 C.F.R. § 164.308(a)(7)(ii)(A)</x:t>
        </x:is>
      </x:c>
      <x:c r="O35" s="5" t="inlineStr">
        <x:is>
          <x:t xml:space="preserve">Contingency Plan — Data Backup Plan</x:t>
        </x:is>
      </x:c>
      <x:c r="P35" s="5" t="inlineStr">
        <x:is>
          <x:t xml:space="preserve">Establish and implement procedures to create and maintain retrievable exact copies of ePHI.</x:t>
        </x:is>
      </x:c>
      <x:c r="Q35" s="5" t="inlineStr">
        <x:is>
          <x:t xml:space="preserve">Required implementation specification</x:t>
        </x:is>
      </x:c>
      <x:c r="R35" s="5" t="inlineStr">
        <x:is>
          <x:t xml:space="preserve">Administrative Safeguards</x:t>
        </x:is>
      </x:c>
      <x:c r="S35" s="28" t="inlineStr">
        <x:is>
          <x:t xml:space="preserve">https://www.ecfr.gov/current/title-45/subtitle-A/subchapter-C/part-164/section-164.308</x:t>
        </x:is>
      </x:c>
      <x:c r="T35" s="28" t="inlineStr">
        <x:is>
          <x:t xml:space="preserve">https://www.hhs.gov/hipaa/for-professionals/security/guidance/cybersecurity/ransomware-fact-sheet/index.html</x:t>
        </x:is>
      </x:c>
      <x:c r="U35" s="5" t="inlineStr">
        <x:is>
          <x:t xml:space="preserve">Direct</x:t>
        </x:is>
      </x:c>
      <x:c r="V35" s="5" t="inlineStr">
        <x:is>
          <x:t xml:space="preserve">Backup schedules most directly align to maintaining retrievable exact copies of ePHI.</x:t>
        </x:is>
      </x:c>
      <x:c r="W35" s="5" t="inlineStr">
        <x:is>
          <x:t xml:space="preserve">Used for backup schedule evidence.</x:t>
        </x:is>
      </x:c>
      <x:c r="X35" s="5" t="n"/>
    </x:row>
    <x:row r="36" ht="30" customHeight="1">
      <x:c r="A36" s="5" t="inlineStr">
        <x:is>
          <x:t xml:space="preserve">ER-114|REQ-62-HIPAA|1618.09l1Organizational.45|Backups and Schedules</x:t>
        </x:is>
      </x:c>
      <x:c r="B36" s="5" t="inlineStr">
        <x:is>
          <x:t xml:space="preserve">HITRUST e1.csv</x:t>
        </x:is>
      </x:c>
      <x:c r="C36" s="5" t="inlineStr">
        <x:is>
          <x:t xml:space="preserve">ER-114</x:t>
        </x:is>
      </x:c>
      <x:c r="D36" s="5" t="inlineStr">
        <x:is>
          <x:t xml:space="preserve">Configuration</x:t>
        </x:is>
      </x:c>
      <x:c r="E36" s="5" t="inlineStr">
        <x:is>
          <x:t xml:space="preserve">Backups and Schedules</x:t>
        </x:is>
      </x:c>
      <x:c r="F36" s="5" t="inlineStr">
        <x:is>
          <x:t xml:space="preserve">REQ-62-HIPAA</x:t>
        </x:is>
      </x:c>
      <x:c r="G36" s="5" t="inlineStr">
        <x:is>
          <x:t xml:space="preserve">1618.09l1Organizational.45</x:t>
        </x:is>
      </x:c>
      <x:c r="H36" s="5" t="inlineStr">
        <x:is>
          <x:t xml:space="preserve">1618.09l1 Organizational.45</x:t>
        </x:is>
      </x:c>
      <x:c r="I36" s="5" t="inlineStr">
        <x:is>
          <x:t xml:space="preserve">Many:Many</x:t>
        </x:is>
      </x:c>
      <x:c r="J36" s="5" t="n">
        <x:v>1</x:v>
      </x:c>
      <x:c r="K36" s="5" t="inlineStr">
        <x:is>
          <x:t xml:space="preserve">45 CFR § 164.308(a)(7)(ii)(A)</x:t>
        </x:is>
      </x:c>
      <x:c r="L36" s="5" t="inlineStr">
        <x:is>
          <x:t xml:space="preserve">Contingency Plan — Data Backup Plan</x:t>
        </x:is>
      </x:c>
      <x:c r="M36" s="5" t="n">
        <x:v>1</x:v>
      </x:c>
      <x:c r="N36" s="5" t="inlineStr">
        <x:is>
          <x:t xml:space="preserve">45 C.F.R. § 164.308(a)(7)(ii)(A)</x:t>
        </x:is>
      </x:c>
      <x:c r="O36" s="5" t="inlineStr">
        <x:is>
          <x:t xml:space="preserve">Contingency Plan — Data Backup Plan</x:t>
        </x:is>
      </x:c>
      <x:c r="P36" s="5" t="inlineStr">
        <x:is>
          <x:t xml:space="preserve">Establish and implement procedures to create and maintain retrievable exact copies of ePHI.</x:t>
        </x:is>
      </x:c>
      <x:c r="Q36" s="5" t="inlineStr">
        <x:is>
          <x:t xml:space="preserve">Required implementation specification</x:t>
        </x:is>
      </x:c>
      <x:c r="R36" s="5" t="inlineStr">
        <x:is>
          <x:t xml:space="preserve">Administrative Safeguards</x:t>
        </x:is>
      </x:c>
      <x:c r="S36" s="28" t="inlineStr">
        <x:is>
          <x:t xml:space="preserve">https://www.ecfr.gov/current/title-45/subtitle-A/subchapter-C/part-164/section-164.308</x:t>
        </x:is>
      </x:c>
      <x:c r="T36" s="28" t="inlineStr">
        <x:is>
          <x:t xml:space="preserve">https://www.hhs.gov/hipaa/for-professionals/security/guidance/cybersecurity/ransomware-fact-sheet/index.html</x:t>
        </x:is>
      </x:c>
      <x:c r="U36" s="5" t="inlineStr">
        <x:is>
          <x:t xml:space="preserve">Direct</x:t>
        </x:is>
      </x:c>
      <x:c r="V36" s="5" t="inlineStr">
        <x:is>
          <x:t xml:space="preserve">Backup schedules most directly align to maintaining retrievable exact copies of ePHI.</x:t>
        </x:is>
      </x:c>
      <x:c r="W36" s="5" t="inlineStr">
        <x:is>
          <x:t xml:space="preserve">Used for backup schedule evidence.</x:t>
        </x:is>
      </x:c>
      <x:c r="X36" s="5" t="n"/>
    </x:row>
    <x:row r="37" ht="30" customHeight="1">
      <x:c r="A37" s="5" t="inlineStr">
        <x:is>
          <x:t xml:space="preserve">ER-114|REQ-63-HIPAA|16.09l1Organizational.4|Backups and Schedules</x:t>
        </x:is>
      </x:c>
      <x:c r="B37" s="5" t="inlineStr">
        <x:is>
          <x:t xml:space="preserve">HITRUST e1.csv</x:t>
        </x:is>
      </x:c>
      <x:c r="C37" s="5" t="inlineStr">
        <x:is>
          <x:t xml:space="preserve">ER-114</x:t>
        </x:is>
      </x:c>
      <x:c r="D37" s="5" t="inlineStr">
        <x:is>
          <x:t xml:space="preserve">Configuration</x:t>
        </x:is>
      </x:c>
      <x:c r="E37" s="5" t="inlineStr">
        <x:is>
          <x:t xml:space="preserve">Backups and Schedules</x:t>
        </x:is>
      </x:c>
      <x:c r="F37" s="5" t="inlineStr">
        <x:is>
          <x:t xml:space="preserve">REQ-63-HIPAA</x:t>
        </x:is>
      </x:c>
      <x:c r="G37" s="5" t="inlineStr">
        <x:is>
          <x:t xml:space="preserve">16.09l1Organizational.4</x:t>
        </x:is>
      </x:c>
      <x:c r="H37" s="5" t="inlineStr">
        <x:is>
          <x:t xml:space="preserve">16.09l1 Organizational.4</x:t>
        </x:is>
      </x:c>
      <x:c r="I37" s="5" t="inlineStr">
        <x:is>
          <x:t xml:space="preserve">Many:Many</x:t>
        </x:is>
      </x:c>
      <x:c r="J37" s="5" t="n">
        <x:v>1</x:v>
      </x:c>
      <x:c r="K37" s="5" t="inlineStr">
        <x:is>
          <x:t xml:space="preserve">45 CFR § 164.308(a)(7)(ii)(B)</x:t>
        </x:is>
      </x:c>
      <x:c r="L37" s="5" t="inlineStr">
        <x:is>
          <x:t xml:space="preserve">Contingency Plan — Disaster Recovery Plan</x:t>
        </x:is>
      </x:c>
      <x:c r="M37" s="5" t="n">
        <x:v>1</x:v>
      </x:c>
      <x:c r="N37" s="5" t="inlineStr">
        <x:is>
          <x:t xml:space="preserve">45 C.F.R. § 164.308(a)(7)(ii)(B)</x:t>
        </x:is>
      </x:c>
      <x:c r="O37" s="5" t="inlineStr">
        <x:is>
          <x:t xml:space="preserve">Contingency Plan — Disaster Recovery Plan</x:t>
        </x:is>
      </x:c>
      <x:c r="P37" s="5" t="inlineStr">
        <x:is>
          <x:t xml:space="preserve">Establish and implement procedures to restore any loss of data.</x:t>
        </x:is>
      </x:c>
      <x:c r="Q37" s="5" t="inlineStr">
        <x:is>
          <x:t xml:space="preserve">Required implementation specification</x:t>
        </x:is>
      </x:c>
      <x:c r="R37" s="5" t="inlineStr">
        <x:is>
          <x:t xml:space="preserve">Administrative Safeguards</x:t>
        </x:is>
      </x:c>
      <x:c r="S37" s="28" t="inlineStr">
        <x:is>
          <x:t xml:space="preserve">https://www.ecfr.gov/current/title-45/subtitle-A/subchapter-C/part-164/section-164.308</x:t>
        </x:is>
      </x:c>
      <x:c r="T37" s="28" t="inlineStr">
        <x:is>
          <x:t xml:space="preserve">https://www.hhs.gov/hipaa/for-professionals/security/guidance/cybersecurity/ransomware-fact-sheet/index.html</x:t>
        </x:is>
      </x:c>
      <x:c r="U37" s="5" t="inlineStr">
        <x:is>
          <x:t xml:space="preserve">Best-fit</x:t>
        </x:is>
      </x:c>
      <x:c r="V37" s="5" t="inlineStr">
        <x:is>
          <x:t xml:space="preserve">Backup/replication planning most closely aligns to restoring lost data and recovering operations after a disruption.</x:t>
        </x:is>
      </x:c>
      <x:c r="W37" s="5" t="inlineStr">
        <x:is>
          <x:t xml:space="preserve">Used for schedule-level backup rows when the internal control appears to emphasize recoverability/replication.</x:t>
        </x:is>
      </x:c>
      <x:c r="X37" s="5" t="n"/>
    </x:row>
    <x:row r="38" ht="30" customHeight="1">
      <x:c r="A38" s="5" t="inlineStr">
        <x:is>
          <x:t xml:space="preserve">ER-114|REQ-63-HIPAA|1616.09l1Organizational.16|Backups and Schedules</x:t>
        </x:is>
      </x:c>
      <x:c r="B38" s="5" t="inlineStr">
        <x:is>
          <x:t xml:space="preserve">HITRUST e1.csv</x:t>
        </x:is>
      </x:c>
      <x:c r="C38" s="5" t="inlineStr">
        <x:is>
          <x:t xml:space="preserve">ER-114</x:t>
        </x:is>
      </x:c>
      <x:c r="D38" s="5" t="inlineStr">
        <x:is>
          <x:t xml:space="preserve">Configuration</x:t>
        </x:is>
      </x:c>
      <x:c r="E38" s="5" t="inlineStr">
        <x:is>
          <x:t xml:space="preserve">Backups and Schedules</x:t>
        </x:is>
      </x:c>
      <x:c r="F38" s="5" t="inlineStr">
        <x:is>
          <x:t xml:space="preserve">REQ-63-HIPAA</x:t>
        </x:is>
      </x:c>
      <x:c r="G38" s="5" t="inlineStr">
        <x:is>
          <x:t xml:space="preserve">1616.09l1Organizational.16</x:t>
        </x:is>
      </x:c>
      <x:c r="H38" s="5" t="inlineStr">
        <x:is>
          <x:t xml:space="preserve">1616.09l1 Organizational.16</x:t>
        </x:is>
      </x:c>
      <x:c r="I38" s="5" t="inlineStr">
        <x:is>
          <x:t xml:space="preserve">Many:Many</x:t>
        </x:is>
      </x:c>
      <x:c r="J38" s="5" t="n">
        <x:v>1</x:v>
      </x:c>
      <x:c r="K38" s="5" t="inlineStr">
        <x:is>
          <x:t xml:space="preserve">45 CFR § 164.308(a)(7)(ii)(B)</x:t>
        </x:is>
      </x:c>
      <x:c r="L38" s="5" t="inlineStr">
        <x:is>
          <x:t xml:space="preserve">Contingency Plan — Disaster Recovery Plan</x:t>
        </x:is>
      </x:c>
      <x:c r="M38" s="5" t="n">
        <x:v>1</x:v>
      </x:c>
      <x:c r="N38" s="5" t="inlineStr">
        <x:is>
          <x:t xml:space="preserve">45 C.F.R. § 164.308(a)(7)(ii)(B)</x:t>
        </x:is>
      </x:c>
      <x:c r="O38" s="5" t="inlineStr">
        <x:is>
          <x:t xml:space="preserve">Contingency Plan — Disaster Recovery Plan</x:t>
        </x:is>
      </x:c>
      <x:c r="P38" s="5" t="inlineStr">
        <x:is>
          <x:t xml:space="preserve">Establish and implement procedures to restore any loss of data.</x:t>
        </x:is>
      </x:c>
      <x:c r="Q38" s="5" t="inlineStr">
        <x:is>
          <x:t xml:space="preserve">Required implementation specification</x:t>
        </x:is>
      </x:c>
      <x:c r="R38" s="5" t="inlineStr">
        <x:is>
          <x:t xml:space="preserve">Administrative Safeguards</x:t>
        </x:is>
      </x:c>
      <x:c r="S38" s="28" t="inlineStr">
        <x:is>
          <x:t xml:space="preserve">https://www.ecfr.gov/current/title-45/subtitle-A/subchapter-C/part-164/section-164.308</x:t>
        </x:is>
      </x:c>
      <x:c r="T38" s="28" t="inlineStr">
        <x:is>
          <x:t xml:space="preserve">https://www.hhs.gov/hipaa/for-professionals/security/guidance/cybersecurity/ransomware-fact-sheet/index.html</x:t>
        </x:is>
      </x:c>
      <x:c r="U38" s="5" t="inlineStr">
        <x:is>
          <x:t xml:space="preserve">Best-fit</x:t>
        </x:is>
      </x:c>
      <x:c r="V38" s="5" t="inlineStr">
        <x:is>
          <x:t xml:space="preserve">Backup/replication planning most closely aligns to restoring lost data and recovering operations after a disruption.</x:t>
        </x:is>
      </x:c>
      <x:c r="W38" s="5" t="inlineStr">
        <x:is>
          <x:t xml:space="preserve">Used for schedule-level backup rows when the internal control appears to emphasize recoverability/replication.</x:t>
        </x:is>
      </x:c>
      <x:c r="X38" s="5" t="n"/>
    </x:row>
    <x:row r="39" ht="30" customHeight="1">
      <x:c r="A39" s="5" t="inlineStr">
        <x:is>
          <x:t xml:space="preserve">ER-114|REQ-63-HIPAA|1618.09l1Organizational.45|Backups and Schedules</x:t>
        </x:is>
      </x:c>
      <x:c r="B39" s="5" t="inlineStr">
        <x:is>
          <x:t xml:space="preserve">HITRUST e1.csv</x:t>
        </x:is>
      </x:c>
      <x:c r="C39" s="5" t="inlineStr">
        <x:is>
          <x:t xml:space="preserve">ER-114</x:t>
        </x:is>
      </x:c>
      <x:c r="D39" s="5" t="inlineStr">
        <x:is>
          <x:t xml:space="preserve">Configuration</x:t>
        </x:is>
      </x:c>
      <x:c r="E39" s="5" t="inlineStr">
        <x:is>
          <x:t xml:space="preserve">Backups and Schedules</x:t>
        </x:is>
      </x:c>
      <x:c r="F39" s="5" t="inlineStr">
        <x:is>
          <x:t xml:space="preserve">REQ-63-HIPAA</x:t>
        </x:is>
      </x:c>
      <x:c r="G39" s="5" t="inlineStr">
        <x:is>
          <x:t xml:space="preserve">1618.09l1Organizational.45</x:t>
        </x:is>
      </x:c>
      <x:c r="H39" s="5" t="inlineStr">
        <x:is>
          <x:t xml:space="preserve">1618.09l1 Organizational.45</x:t>
        </x:is>
      </x:c>
      <x:c r="I39" s="5" t="inlineStr">
        <x:is>
          <x:t xml:space="preserve">Many:Many</x:t>
        </x:is>
      </x:c>
      <x:c r="J39" s="5" t="n">
        <x:v>1</x:v>
      </x:c>
      <x:c r="K39" s="5" t="inlineStr">
        <x:is>
          <x:t xml:space="preserve">45 CFR § 164.308(a)(7)(ii)(B)</x:t>
        </x:is>
      </x:c>
      <x:c r="L39" s="5" t="inlineStr">
        <x:is>
          <x:t xml:space="preserve">Contingency Plan — Disaster Recovery Plan</x:t>
        </x:is>
      </x:c>
      <x:c r="M39" s="5" t="n">
        <x:v>1</x:v>
      </x:c>
      <x:c r="N39" s="5" t="inlineStr">
        <x:is>
          <x:t xml:space="preserve">45 C.F.R. § 164.308(a)(7)(ii)(B)</x:t>
        </x:is>
      </x:c>
      <x:c r="O39" s="5" t="inlineStr">
        <x:is>
          <x:t xml:space="preserve">Contingency Plan — Disaster Recovery Plan</x:t>
        </x:is>
      </x:c>
      <x:c r="P39" s="5" t="inlineStr">
        <x:is>
          <x:t xml:space="preserve">Establish and implement procedures to restore any loss of data.</x:t>
        </x:is>
      </x:c>
      <x:c r="Q39" s="5" t="inlineStr">
        <x:is>
          <x:t xml:space="preserve">Required implementation specification</x:t>
        </x:is>
      </x:c>
      <x:c r="R39" s="5" t="inlineStr">
        <x:is>
          <x:t xml:space="preserve">Administrative Safeguards</x:t>
        </x:is>
      </x:c>
      <x:c r="S39" s="28" t="inlineStr">
        <x:is>
          <x:t xml:space="preserve">https://www.ecfr.gov/current/title-45/subtitle-A/subchapter-C/part-164/section-164.308</x:t>
        </x:is>
      </x:c>
      <x:c r="T39" s="28" t="inlineStr">
        <x:is>
          <x:t xml:space="preserve">https://www.hhs.gov/hipaa/for-professionals/security/guidance/cybersecurity/ransomware-fact-sheet/index.html</x:t>
        </x:is>
      </x:c>
      <x:c r="U39" s="5" t="inlineStr">
        <x:is>
          <x:t xml:space="preserve">Best-fit</x:t>
        </x:is>
      </x:c>
      <x:c r="V39" s="5" t="inlineStr">
        <x:is>
          <x:t xml:space="preserve">Backup/replication planning most closely aligns to restoring lost data and recovering operations after a disruption.</x:t>
        </x:is>
      </x:c>
      <x:c r="W39" s="5" t="inlineStr">
        <x:is>
          <x:t xml:space="preserve">Used for schedule-level backup rows when the internal control appears to emphasize recoverability/replication.</x:t>
        </x:is>
      </x:c>
      <x:c r="X39" s="5" t="n"/>
    </x:row>
    <x:row r="40" ht="30" customHeight="1">
      <x:c r="A40" s="5" t="inlineStr">
        <x:is>
          <x:t xml:space="preserve">ER-61|REQ-53-HIPAA|06.09b1System.2|Change Management</x:t>
        </x:is>
      </x:c>
      <x:c r="B40" s="5" t="inlineStr">
        <x:is>
          <x:t xml:space="preserve">HITRUST e1.csv</x:t>
        </x:is>
      </x:c>
      <x:c r="C40" s="5" t="inlineStr">
        <x:is>
          <x:t xml:space="preserve">ER-61</x:t>
        </x:is>
      </x:c>
      <x:c r="D40" s="5" t="inlineStr">
        <x:is>
          <x:t xml:space="preserve">Policy</x:t>
        </x:is>
      </x:c>
      <x:c r="E40" s="5" t="inlineStr">
        <x:is>
          <x:t xml:space="preserve">Change Management</x:t>
        </x:is>
      </x:c>
      <x:c r="F40" s="5" t="inlineStr">
        <x:is>
          <x:t xml:space="preserve">REQ-53-HIPAA</x:t>
        </x:is>
      </x:c>
      <x:c r="G40" s="5" t="inlineStr">
        <x:is>
          <x:t xml:space="preserve">06.09b1System.2</x:t>
        </x:is>
      </x:c>
      <x:c r="H40" s="5" t="inlineStr">
        <x:is>
          <x:t xml:space="preserve">06.09b1 System.2</x:t>
        </x:is>
      </x:c>
      <x:c r="I40" s="5" t="inlineStr">
        <x:is>
          <x:t xml:space="preserve">1:Many</x:t>
        </x:is>
      </x:c>
      <x:c r="J40" s="5" t="n">
        <x:v>1</x:v>
      </x:c>
      <x:c r="K40" s="5" t="inlineStr">
        <x:is>
          <x:t xml:space="preserve">45 CFR § 164.308(a)(8); 45 CFR § 164.306(e); 45 CFR § 164.316(b)(2)(iii)</x:t>
        </x:is>
      </x:c>
      <x:c r="L40" s="5" t="inlineStr">
        <x:is>
          <x:t xml:space="preserve">Evaluation; Maintenance; Documentation — Updates</x:t>
        </x:is>
      </x:c>
      <x:c r="M40" s="5" t="n">
        <x:v>1</x:v>
      </x:c>
      <x:c r="N40" s="5" t="inlineStr">
        <x:is>
          <x:t xml:space="preserve">45 C.F.R. § 164.308(a)(8)</x:t>
        </x:is>
      </x:c>
      <x:c r="O40" s="5" t="inlineStr">
        <x:is>
          <x:t xml:space="preserve">Evaluation</x:t>
        </x:is>
      </x:c>
      <x:c r="P40" s="5" t="inlineStr">
        <x:is>
          <x:t xml:space="preserve">Perform periodic technical and nontechnical evaluations, and repeat them in response to environmental or operational changes affecting the security of ePHI.</x:t>
        </x:is>
      </x:c>
      <x:c r="Q40" s="5" t="inlineStr">
        <x:is>
          <x:t xml:space="preserve">Required standard</x:t>
        </x:is>
      </x:c>
      <x:c r="R40" s="5" t="inlineStr">
        <x:is>
          <x:t xml:space="preserve">Administrative Safeguards</x:t>
        </x:is>
      </x:c>
      <x:c r="S40" s="28" t="inlineStr">
        <x:is>
          <x:t xml:space="preserve">https://www.ecfr.gov/current/title-45/subtitle-A/subchapter-C/part-164/section-164.308</x:t>
        </x:is>
      </x:c>
      <x:c r="T40" s="28" t="inlineStr">
        <x:is>
          <x:t xml:space="preserve">https://www.hhs.gov/ocr/privacy/hipaa/administrative/securityrule/index.html</x:t>
        </x:is>
      </x:c>
      <x:c r="U40" s="5" t="inlineStr">
        <x:is>
          <x:t xml:space="preserve">Best-fit composite</x:t>
        </x:is>
      </x:c>
      <x:c r="V40" s="5" t="inlineStr">
        <x:is>
          <x:t xml:space="preserve">HIPAA does not expressly name change management, but OCR guidance links environmental/operational changes to ongoing evaluation, maintenance, and updating of security documentation.</x:t>
        </x:is>
      </x:c>
      <x:c r="W40" s="5" t="inlineStr">
        <x:is>
          <x:t xml:space="preserve">Used for the change-management policy row as the closest HIPAA analogue.</x:t>
        </x:is>
      </x:c>
      <x:c r="X40" s="5" t="n"/>
    </x:row>
    <x:row r="41" ht="30" customHeight="1">
      <x:c r="A41" s="5" t="inlineStr">
        <x:is>
          <x:t xml:space="preserve">ER-61|REQ-53-HIPAA|06.09b1System.2|Change Management</x:t>
        </x:is>
      </x:c>
      <x:c r="B41" s="5" t="inlineStr">
        <x:is>
          <x:t xml:space="preserve">HITRUST e1.csv</x:t>
        </x:is>
      </x:c>
      <x:c r="C41" s="5" t="inlineStr">
        <x:is>
          <x:t xml:space="preserve">ER-61</x:t>
        </x:is>
      </x:c>
      <x:c r="D41" s="5" t="inlineStr">
        <x:is>
          <x:t xml:space="preserve">Policy</x:t>
        </x:is>
      </x:c>
      <x:c r="E41" s="5" t="inlineStr">
        <x:is>
          <x:t xml:space="preserve">Change Management</x:t>
        </x:is>
      </x:c>
      <x:c r="F41" s="5" t="inlineStr">
        <x:is>
          <x:t xml:space="preserve">REQ-53-HIPAA</x:t>
        </x:is>
      </x:c>
      <x:c r="G41" s="5" t="inlineStr">
        <x:is>
          <x:t xml:space="preserve">06.09b1System.2</x:t>
        </x:is>
      </x:c>
      <x:c r="H41" s="5" t="inlineStr">
        <x:is>
          <x:t xml:space="preserve">06.09b1 System.2</x:t>
        </x:is>
      </x:c>
      <x:c r="I41" s="5" t="inlineStr">
        <x:is>
          <x:t xml:space="preserve">1:Many</x:t>
        </x:is>
      </x:c>
      <x:c r="J41" s="5" t="n">
        <x:v>1</x:v>
      </x:c>
      <x:c r="K41" s="5" t="inlineStr">
        <x:is>
          <x:t xml:space="preserve">45 CFR § 164.308(a)(8); 45 CFR § 164.306(e); 45 CFR § 164.316(b)(2)(iii)</x:t>
        </x:is>
      </x:c>
      <x:c r="L41" s="5" t="inlineStr">
        <x:is>
          <x:t xml:space="preserve">Evaluation; Maintenance; Documentation — Updates</x:t>
        </x:is>
      </x:c>
      <x:c r="M41" s="5" t="n">
        <x:v>2</x:v>
      </x:c>
      <x:c r="N41" s="5" t="inlineStr">
        <x:is>
          <x:t xml:space="preserve">45 C.F.R. § 164.306(e)</x:t>
        </x:is>
      </x:c>
      <x:c r="O41" s="5" t="inlineStr">
        <x:is>
          <x:t xml:space="preserve">Maintenance</x:t>
        </x:is>
      </x:c>
      <x:c r="P41" s="5" t="inlineStr">
        <x:is>
          <x:t xml:space="preserve">Review and modify security measures as needed to continue providing reasonable and appropriate protection of ePHI, and update related documentation.</x:t>
        </x:is>
      </x:c>
      <x:c r="Q41" s="5" t="inlineStr">
        <x:is>
          <x:t xml:space="preserve">Standard maintenance requirement</x:t>
        </x:is>
      </x:c>
      <x:c r="R41" s="5" t="inlineStr">
        <x:is>
          <x:t xml:space="preserve">General Rules</x:t>
        </x:is>
      </x:c>
      <x:c r="S41" s="28" t="inlineStr">
        <x:is>
          <x:t xml:space="preserve">https://www.ecfr.gov/current/title-45/subtitle-A/subchapter-C/part-164/section-164.306</x:t>
        </x:is>
      </x:c>
      <x:c r="T41" s="28" t="inlineStr">
        <x:is>
          <x:t xml:space="preserve">https://www.hhs.gov/sites/default/files/ocr/privacy/hipaa/administrative/combined/hipaa-simplification-201303.pdf</x:t>
        </x:is>
      </x:c>
      <x:c r="U41" s="5" t="inlineStr">
        <x:is>
          <x:t xml:space="preserve">Best-fit composite</x:t>
        </x:is>
      </x:c>
      <x:c r="V41" s="5" t="inlineStr">
        <x:is>
          <x:t xml:space="preserve">HIPAA does not expressly name change management, but OCR guidance links environmental/operational changes to ongoing evaluation, maintenance, and updating of security documentation.</x:t>
        </x:is>
      </x:c>
      <x:c r="W41" s="5" t="inlineStr">
        <x:is>
          <x:t xml:space="preserve">Used for the change-management policy row as the closest HIPAA analogue.</x:t>
        </x:is>
      </x:c>
      <x:c r="X41" s="5" t="n"/>
    </x:row>
    <x:row r="42" ht="30" customHeight="1">
      <x:c r="A42" s="5" t="inlineStr">
        <x:is>
          <x:t xml:space="preserve">ER-61|REQ-53-HIPAA|06.09b1System.2|Change Management</x:t>
        </x:is>
      </x:c>
      <x:c r="B42" s="5" t="inlineStr">
        <x:is>
          <x:t xml:space="preserve">HITRUST e1.csv</x:t>
        </x:is>
      </x:c>
      <x:c r="C42" s="5" t="inlineStr">
        <x:is>
          <x:t xml:space="preserve">ER-61</x:t>
        </x:is>
      </x:c>
      <x:c r="D42" s="5" t="inlineStr">
        <x:is>
          <x:t xml:space="preserve">Policy</x:t>
        </x:is>
      </x:c>
      <x:c r="E42" s="5" t="inlineStr">
        <x:is>
          <x:t xml:space="preserve">Change Management</x:t>
        </x:is>
      </x:c>
      <x:c r="F42" s="5" t="inlineStr">
        <x:is>
          <x:t xml:space="preserve">REQ-53-HIPAA</x:t>
        </x:is>
      </x:c>
      <x:c r="G42" s="5" t="inlineStr">
        <x:is>
          <x:t xml:space="preserve">06.09b1System.2</x:t>
        </x:is>
      </x:c>
      <x:c r="H42" s="5" t="inlineStr">
        <x:is>
          <x:t xml:space="preserve">06.09b1 System.2</x:t>
        </x:is>
      </x:c>
      <x:c r="I42" s="5" t="inlineStr">
        <x:is>
          <x:t xml:space="preserve">1:Many</x:t>
        </x:is>
      </x:c>
      <x:c r="J42" s="5" t="n">
        <x:v>1</x:v>
      </x:c>
      <x:c r="K42" s="5" t="inlineStr">
        <x:is>
          <x:t xml:space="preserve">45 CFR § 164.308(a)(8); 45 CFR § 164.306(e); 45 CFR § 164.316(b)(2)(iii)</x:t>
        </x:is>
      </x:c>
      <x:c r="L42" s="5" t="inlineStr">
        <x:is>
          <x:t xml:space="preserve">Evaluation; Maintenance; Documentation — Updates</x:t>
        </x:is>
      </x:c>
      <x:c r="M42" s="5" t="n">
        <x:v>3</x:v>
      </x:c>
      <x:c r="N42" s="5" t="inlineStr">
        <x:is>
          <x:t xml:space="preserve">45 C.F.R. § 164.316(b)(2)(iii)</x:t>
        </x:is>
      </x:c>
      <x:c r="O42" s="5" t="inlineStr">
        <x:is>
          <x:t xml:space="preserve">Documentation — Updates</x:t>
        </x:is>
      </x:c>
      <x:c r="P42" s="5" t="inlineStr">
        <x:is>
          <x:t xml:space="preserve">Review documentation periodically and update it as needed in response to environmental or operational changes affecting the security of ePHI.</x:t>
        </x:is>
      </x:c>
      <x:c r="Q42" s="5" t="inlineStr">
        <x:is>
          <x:t xml:space="preserve">Required implementation specification</x:t>
        </x:is>
      </x:c>
      <x:c r="R42" s="5" t="inlineStr">
        <x:is>
          <x:t xml:space="preserve">Policies / Documentation</x:t>
        </x:is>
      </x:c>
      <x:c r="S42" s="28" t="inlineStr">
        <x:is>
          <x:t xml:space="preserve">https://www.ecfr.gov/current/title-45/subtitle-A/subchapter-C/part-164/section-164.316</x:t>
        </x:is>
      </x:c>
      <x:c r="T42" s="28" t="inlineStr">
        <x:is>
          <x:t xml:space="preserve">https://www.hhs.gov/sites/default/files/ocr/privacy/hipaa/administrative/combined/hipaa-simplification-201303.pdf</x:t>
        </x:is>
      </x:c>
      <x:c r="U42" s="5" t="inlineStr">
        <x:is>
          <x:t xml:space="preserve">Best-fit composite</x:t>
        </x:is>
      </x:c>
      <x:c r="V42" s="5" t="inlineStr">
        <x:is>
          <x:t xml:space="preserve">HIPAA does not expressly name change management, but OCR guidance links environmental/operational changes to ongoing evaluation, maintenance, and updating of security documentation.</x:t>
        </x:is>
      </x:c>
      <x:c r="W42" s="5" t="inlineStr">
        <x:is>
          <x:t xml:space="preserve">Used for the change-management policy row as the closest HIPAA analogue.</x:t>
        </x:is>
      </x:c>
      <x:c r="X42" s="5" t="n"/>
    </x:row>
    <x:row r="43" ht="30" customHeight="1">
      <x:c r="A43" s="5" t="inlineStr">
        <x:is>
          <x:t xml:space="preserve">ER-61|REQ-53-HIPAA|1769.09i1System.12|Change Management</x:t>
        </x:is>
      </x:c>
      <x:c r="B43" s="5" t="inlineStr">
        <x:is>
          <x:t xml:space="preserve">HITRUST e1.csv</x:t>
        </x:is>
      </x:c>
      <x:c r="C43" s="5" t="inlineStr">
        <x:is>
          <x:t xml:space="preserve">ER-61</x:t>
        </x:is>
      </x:c>
      <x:c r="D43" s="5" t="inlineStr">
        <x:is>
          <x:t xml:space="preserve">Policy</x:t>
        </x:is>
      </x:c>
      <x:c r="E43" s="5" t="inlineStr">
        <x:is>
          <x:t xml:space="preserve">Change Management</x:t>
        </x:is>
      </x:c>
      <x:c r="F43" s="5" t="inlineStr">
        <x:is>
          <x:t xml:space="preserve">REQ-53-HIPAA</x:t>
        </x:is>
      </x:c>
      <x:c r="G43" s="5" t="inlineStr">
        <x:is>
          <x:t xml:space="preserve">1769.09i1System.12</x:t>
        </x:is>
      </x:c>
      <x:c r="H43" s="5" t="inlineStr">
        <x:is>
          <x:t xml:space="preserve">1769.09i1 System.12</x:t>
        </x:is>
      </x:c>
      <x:c r="I43" s="5" t="inlineStr">
        <x:is>
          <x:t xml:space="preserve">1:Many</x:t>
        </x:is>
      </x:c>
      <x:c r="J43" s="5" t="n">
        <x:v>1</x:v>
      </x:c>
      <x:c r="K43" s="5" t="inlineStr">
        <x:is>
          <x:t xml:space="preserve">45 CFR § 164.308(a)(8); 45 CFR § 164.306(e); 45 CFR § 164.316(b)(2)(iii)</x:t>
        </x:is>
      </x:c>
      <x:c r="L43" s="5" t="inlineStr">
        <x:is>
          <x:t xml:space="preserve">Evaluation; Maintenance; Documentation — Updates</x:t>
        </x:is>
      </x:c>
      <x:c r="M43" s="5" t="n">
        <x:v>1</x:v>
      </x:c>
      <x:c r="N43" s="5" t="inlineStr">
        <x:is>
          <x:t xml:space="preserve">45 C.F.R. § 164.308(a)(8)</x:t>
        </x:is>
      </x:c>
      <x:c r="O43" s="5" t="inlineStr">
        <x:is>
          <x:t xml:space="preserve">Evaluation</x:t>
        </x:is>
      </x:c>
      <x:c r="P43" s="5" t="inlineStr">
        <x:is>
          <x:t xml:space="preserve">Perform periodic technical and nontechnical evaluations, and repeat them in response to environmental or operational changes affecting the security of ePHI.</x:t>
        </x:is>
      </x:c>
      <x:c r="Q43" s="5" t="inlineStr">
        <x:is>
          <x:t xml:space="preserve">Required standard</x:t>
        </x:is>
      </x:c>
      <x:c r="R43" s="5" t="inlineStr">
        <x:is>
          <x:t xml:space="preserve">Administrative Safeguards</x:t>
        </x:is>
      </x:c>
      <x:c r="S43" s="28" t="inlineStr">
        <x:is>
          <x:t xml:space="preserve">https://www.ecfr.gov/current/title-45/subtitle-A/subchapter-C/part-164/section-164.308</x:t>
        </x:is>
      </x:c>
      <x:c r="T43" s="28" t="inlineStr">
        <x:is>
          <x:t xml:space="preserve">https://www.hhs.gov/ocr/privacy/hipaa/administrative/securityrule/index.html</x:t>
        </x:is>
      </x:c>
      <x:c r="U43" s="5" t="inlineStr">
        <x:is>
          <x:t xml:space="preserve">Best-fit composite</x:t>
        </x:is>
      </x:c>
      <x:c r="V43" s="5" t="inlineStr">
        <x:is>
          <x:t xml:space="preserve">HIPAA does not expressly name change management, but OCR guidance links environmental/operational changes to ongoing evaluation, maintenance, and updating of security documentation.</x:t>
        </x:is>
      </x:c>
      <x:c r="W43" s="5" t="inlineStr">
        <x:is>
          <x:t xml:space="preserve">Used for the change-management policy row as the closest HIPAA analogue.</x:t>
        </x:is>
      </x:c>
      <x:c r="X43" s="5" t="n"/>
    </x:row>
    <x:row r="44" ht="30" customHeight="1">
      <x:c r="A44" s="5" t="inlineStr">
        <x:is>
          <x:t xml:space="preserve">ER-61|REQ-53-HIPAA|1769.09i1System.12|Change Management</x:t>
        </x:is>
      </x:c>
      <x:c r="B44" s="5" t="inlineStr">
        <x:is>
          <x:t xml:space="preserve">HITRUST e1.csv</x:t>
        </x:is>
      </x:c>
      <x:c r="C44" s="5" t="inlineStr">
        <x:is>
          <x:t xml:space="preserve">ER-61</x:t>
        </x:is>
      </x:c>
      <x:c r="D44" s="5" t="inlineStr">
        <x:is>
          <x:t xml:space="preserve">Policy</x:t>
        </x:is>
      </x:c>
      <x:c r="E44" s="5" t="inlineStr">
        <x:is>
          <x:t xml:space="preserve">Change Management</x:t>
        </x:is>
      </x:c>
      <x:c r="F44" s="5" t="inlineStr">
        <x:is>
          <x:t xml:space="preserve">REQ-53-HIPAA</x:t>
        </x:is>
      </x:c>
      <x:c r="G44" s="5" t="inlineStr">
        <x:is>
          <x:t xml:space="preserve">1769.09i1System.12</x:t>
        </x:is>
      </x:c>
      <x:c r="H44" s="5" t="inlineStr">
        <x:is>
          <x:t xml:space="preserve">1769.09i1 System.12</x:t>
        </x:is>
      </x:c>
      <x:c r="I44" s="5" t="inlineStr">
        <x:is>
          <x:t xml:space="preserve">1:Many</x:t>
        </x:is>
      </x:c>
      <x:c r="J44" s="5" t="n">
        <x:v>1</x:v>
      </x:c>
      <x:c r="K44" s="5" t="inlineStr">
        <x:is>
          <x:t xml:space="preserve">45 CFR § 164.308(a)(8); 45 CFR § 164.306(e); 45 CFR § 164.316(b)(2)(iii)</x:t>
        </x:is>
      </x:c>
      <x:c r="L44" s="5" t="inlineStr">
        <x:is>
          <x:t xml:space="preserve">Evaluation; Maintenance; Documentation — Updates</x:t>
        </x:is>
      </x:c>
      <x:c r="M44" s="5" t="n">
        <x:v>2</x:v>
      </x:c>
      <x:c r="N44" s="5" t="inlineStr">
        <x:is>
          <x:t xml:space="preserve">45 C.F.R. § 164.306(e)</x:t>
        </x:is>
      </x:c>
      <x:c r="O44" s="5" t="inlineStr">
        <x:is>
          <x:t xml:space="preserve">Maintenance</x:t>
        </x:is>
      </x:c>
      <x:c r="P44" s="5" t="inlineStr">
        <x:is>
          <x:t xml:space="preserve">Review and modify security measures as needed to continue providing reasonable and appropriate protection of ePHI, and update related documentation.</x:t>
        </x:is>
      </x:c>
      <x:c r="Q44" s="5" t="inlineStr">
        <x:is>
          <x:t xml:space="preserve">Standard maintenance requirement</x:t>
        </x:is>
      </x:c>
      <x:c r="R44" s="5" t="inlineStr">
        <x:is>
          <x:t xml:space="preserve">General Rules</x:t>
        </x:is>
      </x:c>
      <x:c r="S44" s="28" t="inlineStr">
        <x:is>
          <x:t xml:space="preserve">https://www.ecfr.gov/current/title-45/subtitle-A/subchapter-C/part-164/section-164.306</x:t>
        </x:is>
      </x:c>
      <x:c r="T44" s="28" t="inlineStr">
        <x:is>
          <x:t xml:space="preserve">https://www.hhs.gov/sites/default/files/ocr/privacy/hipaa/administrative/combined/hipaa-simplification-201303.pdf</x:t>
        </x:is>
      </x:c>
      <x:c r="U44" s="5" t="inlineStr">
        <x:is>
          <x:t xml:space="preserve">Best-fit composite</x:t>
        </x:is>
      </x:c>
      <x:c r="V44" s="5" t="inlineStr">
        <x:is>
          <x:t xml:space="preserve">HIPAA does not expressly name change management, but OCR guidance links environmental/operational changes to ongoing evaluation, maintenance, and updating of security documentation.</x:t>
        </x:is>
      </x:c>
      <x:c r="W44" s="5" t="inlineStr">
        <x:is>
          <x:t xml:space="preserve">Used for the change-management policy row as the closest HIPAA analogue.</x:t>
        </x:is>
      </x:c>
      <x:c r="X44" s="5" t="n"/>
    </x:row>
    <x:row r="45" ht="30" customHeight="1">
      <x:c r="A45" s="5" t="inlineStr">
        <x:is>
          <x:t xml:space="preserve">ER-61|REQ-53-HIPAA|1769.09i1System.12|Change Management</x:t>
        </x:is>
      </x:c>
      <x:c r="B45" s="5" t="inlineStr">
        <x:is>
          <x:t xml:space="preserve">HITRUST e1.csv</x:t>
        </x:is>
      </x:c>
      <x:c r="C45" s="5" t="inlineStr">
        <x:is>
          <x:t xml:space="preserve">ER-61</x:t>
        </x:is>
      </x:c>
      <x:c r="D45" s="5" t="inlineStr">
        <x:is>
          <x:t xml:space="preserve">Policy</x:t>
        </x:is>
      </x:c>
      <x:c r="E45" s="5" t="inlineStr">
        <x:is>
          <x:t xml:space="preserve">Change Management</x:t>
        </x:is>
      </x:c>
      <x:c r="F45" s="5" t="inlineStr">
        <x:is>
          <x:t xml:space="preserve">REQ-53-HIPAA</x:t>
        </x:is>
      </x:c>
      <x:c r="G45" s="5" t="inlineStr">
        <x:is>
          <x:t xml:space="preserve">1769.09i1System.12</x:t>
        </x:is>
      </x:c>
      <x:c r="H45" s="5" t="inlineStr">
        <x:is>
          <x:t xml:space="preserve">1769.09i1 System.12</x:t>
        </x:is>
      </x:c>
      <x:c r="I45" s="5" t="inlineStr">
        <x:is>
          <x:t xml:space="preserve">1:Many</x:t>
        </x:is>
      </x:c>
      <x:c r="J45" s="5" t="n">
        <x:v>1</x:v>
      </x:c>
      <x:c r="K45" s="5" t="inlineStr">
        <x:is>
          <x:t xml:space="preserve">45 CFR § 164.308(a)(8); 45 CFR § 164.306(e); 45 CFR § 164.316(b)(2)(iii)</x:t>
        </x:is>
      </x:c>
      <x:c r="L45" s="5" t="inlineStr">
        <x:is>
          <x:t xml:space="preserve">Evaluation; Maintenance; Documentation — Updates</x:t>
        </x:is>
      </x:c>
      <x:c r="M45" s="5" t="n">
        <x:v>3</x:v>
      </x:c>
      <x:c r="N45" s="5" t="inlineStr">
        <x:is>
          <x:t xml:space="preserve">45 C.F.R. § 164.316(b)(2)(iii)</x:t>
        </x:is>
      </x:c>
      <x:c r="O45" s="5" t="inlineStr">
        <x:is>
          <x:t xml:space="preserve">Documentation — Updates</x:t>
        </x:is>
      </x:c>
      <x:c r="P45" s="5" t="inlineStr">
        <x:is>
          <x:t xml:space="preserve">Review documentation periodically and update it as needed in response to environmental or operational changes affecting the security of ePHI.</x:t>
        </x:is>
      </x:c>
      <x:c r="Q45" s="5" t="inlineStr">
        <x:is>
          <x:t xml:space="preserve">Required implementation specification</x:t>
        </x:is>
      </x:c>
      <x:c r="R45" s="5" t="inlineStr">
        <x:is>
          <x:t xml:space="preserve">Policies / Documentation</x:t>
        </x:is>
      </x:c>
      <x:c r="S45" s="28" t="inlineStr">
        <x:is>
          <x:t xml:space="preserve">https://www.ecfr.gov/current/title-45/subtitle-A/subchapter-C/part-164/section-164.316</x:t>
        </x:is>
      </x:c>
      <x:c r="T45" s="28" t="inlineStr">
        <x:is>
          <x:t xml:space="preserve">https://www.hhs.gov/sites/default/files/ocr/privacy/hipaa/administrative/combined/hipaa-simplification-201303.pdf</x:t>
        </x:is>
      </x:c>
      <x:c r="U45" s="5" t="inlineStr">
        <x:is>
          <x:t xml:space="preserve">Best-fit composite</x:t>
        </x:is>
      </x:c>
      <x:c r="V45" s="5" t="inlineStr">
        <x:is>
          <x:t xml:space="preserve">HIPAA does not expressly name change management, but OCR guidance links environmental/operational changes to ongoing evaluation, maintenance, and updating of security documentation.</x:t>
        </x:is>
      </x:c>
      <x:c r="W45" s="5" t="inlineStr">
        <x:is>
          <x:t xml:space="preserve">Used for the change-management policy row as the closest HIPAA analogue.</x:t>
        </x:is>
      </x:c>
      <x:c r="X45" s="5" t="n"/>
    </x:row>
    <x:row r="46" ht="30" customHeight="1">
      <x:c r="A46" s="5" t="inlineStr">
        <x:is>
          <x:t xml:space="preserve">ER-123|REQ-61-HIPAA|1616.09l1Organizational.16|Completed Production Data Backup Test</x:t>
        </x:is>
      </x:c>
      <x:c r="B46" s="5" t="inlineStr">
        <x:is>
          <x:t xml:space="preserve">HITRUST e1.csv</x:t>
        </x:is>
      </x:c>
      <x:c r="C46" s="5" t="inlineStr">
        <x:is>
          <x:t xml:space="preserve">ER-123</x:t>
        </x:is>
      </x:c>
      <x:c r="D46" s="5" t="inlineStr">
        <x:is>
          <x:t xml:space="preserve">Operational</x:t>
        </x:is>
      </x:c>
      <x:c r="E46" s="5" t="inlineStr">
        <x:is>
          <x:t xml:space="preserve">Completed Production Data Backup Test</x:t>
        </x:is>
      </x:c>
      <x:c r="F46" s="5" t="inlineStr">
        <x:is>
          <x:t xml:space="preserve">REQ-61-HIPAA</x:t>
        </x:is>
      </x:c>
      <x:c r="G46" s="5" t="inlineStr">
        <x:is>
          <x:t xml:space="preserve">1616.09l1Organizational.16</x:t>
        </x:is>
      </x:c>
      <x:c r="H46" s="5" t="inlineStr">
        <x:is>
          <x:t xml:space="preserve">1616.09l1 Organizational.16</x:t>
        </x:is>
      </x:c>
      <x:c r="I46" s="5" t="inlineStr">
        <x:is>
          <x:t xml:space="preserve">1:1</x:t>
        </x:is>
      </x:c>
      <x:c r="J46" s="5" t="n">
        <x:v>2</x:v>
      </x:c>
      <x:c r="K46" s="5" t="inlineStr">
        <x:is>
          <x:t xml:space="preserve">45 CFR § 164.308(a)(7)(ii)(D)</x:t>
        </x:is>
      </x:c>
      <x:c r="L46" s="5" t="inlineStr">
        <x:is>
          <x:t xml:space="preserve">Contingency Plan — Testing and Revision Procedure</x:t>
        </x:is>
      </x:c>
      <x:c r="M46" s="5" t="n">
        <x:v>1</x:v>
      </x:c>
      <x:c r="N46" s="5" t="inlineStr">
        <x:is>
          <x:t xml:space="preserve">45 C.F.R. § 164.308(a)(7)(ii)(D)</x:t>
        </x:is>
      </x:c>
      <x:c r="O46" s="5" t="inlineStr">
        <x:is>
          <x:t xml:space="preserve">Contingency Plan — Applications and Data Criticality Analysis</x:t>
        </x:is>
      </x:c>
      <x:c r="P46" s="5" t="inlineStr">
        <x:is>
          <x:t xml:space="preserve">Assess the relative criticality of specific applications and data in support of contingency planning.</x:t>
        </x:is>
      </x:c>
      <x:c r="Q46" s="5" t="inlineStr">
        <x:is>
          <x:t xml:space="preserve">Addressable implementation specification</x:t>
        </x:is>
      </x:c>
      <x:c r="R46" s="5" t="inlineStr">
        <x:is>
          <x:t xml:space="preserve">Administrative Safeguards</x:t>
        </x:is>
      </x:c>
      <x:c r="S46" s="28" t="inlineStr">
        <x:is>
          <x:t xml:space="preserve">https://www.ecfr.gov/current/title-45/subtitle-A/subchapter-C/part-164/section-164.308</x:t>
        </x:is>
      </x:c>
      <x:c r="T46" s="28" t="inlineStr">
        <x:is>
          <x:t xml:space="preserve">https://www.hhs.gov/hipaa/for-professionals/compliance-enforcement/audit/protocol-edited/index.html</x:t>
        </x:is>
      </x:c>
      <x:c r="U46" s="5" t="inlineStr">
        <x:is>
          <x:t xml:space="preserve">Direct</x:t>
        </x:is>
      </x:c>
      <x:c r="V46" s="5" t="inlineStr">
        <x:is>
          <x:t xml:space="preserve">A completed backup test aligns directly to periodic testing/revision of contingency plans.</x:t>
        </x:is>
      </x:c>
      <x:c r="W46" s="5" t="inlineStr">
        <x:is>
          <x:t xml:space="preserve">Used for explicit backup-test evidence.</x:t>
        </x:is>
      </x:c>
      <x:c r="X46" s="5" t="n"/>
    </x:row>
    <x:row r="47" ht="30" customHeight="1">
      <x:c r="A47" s="5" t="inlineStr">
        <x:is>
          <x:t xml:space="preserve">ER-108|REQ-32-HIPAA|0305.09q1Organizational.12|Data Classification, Retention and Disposal</x:t>
        </x:is>
      </x:c>
      <x:c r="B47" s="5" t="inlineStr">
        <x:is>
          <x:t xml:space="preserve">HITRUST e1.csv</x:t>
        </x:is>
      </x:c>
      <x:c r="C47" s="5" t="inlineStr">
        <x:is>
          <x:t xml:space="preserve">ER-108</x:t>
        </x:is>
      </x:c>
      <x:c r="D47" s="5" t="inlineStr">
        <x:is>
          <x:t xml:space="preserve">Policy</x:t>
        </x:is>
      </x:c>
      <x:c r="E47" s="5" t="inlineStr">
        <x:is>
          <x:t xml:space="preserve">Data Classification, Retention and Disposal</x:t>
        </x:is>
      </x:c>
      <x:c r="F47" s="5" t="inlineStr">
        <x:is>
          <x:t xml:space="preserve">REQ-32-HIPAA</x:t>
        </x:is>
      </x:c>
      <x:c r="G47" s="5" t="inlineStr">
        <x:is>
          <x:t xml:space="preserve">0305.09q1Organizational.12</x:t>
        </x:is>
      </x:c>
      <x:c r="H47" s="5" t="inlineStr">
        <x:is>
          <x:t xml:space="preserve">0305.09q1 Organizational.12</x:t>
        </x:is>
      </x:c>
      <x:c r="I47" s="5" t="inlineStr">
        <x:is>
          <x:t xml:space="preserve">Many:Many</x:t>
        </x:is>
      </x:c>
      <x:c r="J47" s="5" t="n">
        <x:v>1</x:v>
      </x:c>
      <x:c r="K47" s="5" t="inlineStr">
        <x:is>
          <x:t xml:space="preserve">45 CFR § 164.310(d)(2)(i)</x:t>
        </x:is>
      </x:c>
      <x:c r="L47" s="5" t="inlineStr">
        <x:is>
          <x:t xml:space="preserve">Device and Media Controls — Disposal</x:t>
        </x:is>
      </x:c>
      <x:c r="M47" s="5" t="n">
        <x:v>1</x:v>
      </x:c>
      <x:c r="N47" s="5" t="inlineStr">
        <x:is>
          <x:t xml:space="preserve">45 C.F.R. § 164.310(d)(2)(i)</x:t>
        </x:is>
      </x:c>
      <x:c r="O47" s="5" t="inlineStr">
        <x:is>
          <x:t xml:space="preserve">Device and Media Controls — Disposal</x:t>
        </x:is>
      </x:c>
      <x:c r="P47" s="5" t="inlineStr">
        <x:is>
          <x:t xml:space="preserve">Implement policies and procedures to address the final disposition of ePHI and the hardware or electronic media on which it is stored.</x:t>
        </x:is>
      </x:c>
      <x:c r="Q47" s="5" t="inlineStr">
        <x:is>
          <x:t xml:space="preserve">Required implementation specification</x:t>
        </x:is>
      </x:c>
      <x:c r="R47" s="5" t="inlineStr">
        <x:is>
          <x:t xml:space="preserve">Physical Safeguards</x:t>
        </x:is>
      </x:c>
      <x:c r="S47" s="28" t="inlineStr">
        <x:is>
          <x:t xml:space="preserve">https://www.ecfr.gov/current/title-45/subtitle-A/subchapter-C/part-164/section-164.310</x:t>
        </x:is>
      </x:c>
      <x:c r="T47" s="28" t="inlineStr">
        <x:is>
          <x:t xml:space="preserve">https://www.hhs.gov/hipaa/for-professionals/faq/575/what-does-hipaa-require-of-covered-entities-when-they-dispose-information/index.html</x:t>
        </x:is>
      </x:c>
      <x:c r="U47" s="5" t="inlineStr">
        <x:is>
          <x:t xml:space="preserve">Best-fit</x:t>
        </x:is>
      </x:c>
      <x:c r="V47" s="5" t="inlineStr">
        <x:is>
          <x:t xml:space="preserve">The direct HIPAA overlap in this action item is final disposition/disposal; HIPAA does not explicitly name data classification or retention as standalone Security Rule specifications.</x:t>
        </x:is>
      </x:c>
      <x:c r="W47" s="5" t="inlineStr">
        <x:is>
          <x:t xml:space="preserve">Only the disposal portion of the action item maps directly to an express HIPAA implementation specification.</x:t>
        </x:is>
      </x:c>
      <x:c r="X47" s="5" t="n"/>
    </x:row>
    <x:row r="48" ht="30" customHeight="1">
      <x:c r="A48" s="5" t="inlineStr">
        <x:is>
          <x:t xml:space="preserve">ER-108|REQ-32-HIPAA|1239.09aa1System.4|Data Classification, Retention and Disposal</x:t>
        </x:is>
      </x:c>
      <x:c r="B48" s="5" t="inlineStr">
        <x:is>
          <x:t xml:space="preserve">HITRUST e1.csv</x:t>
        </x:is>
      </x:c>
      <x:c r="C48" s="5" t="inlineStr">
        <x:is>
          <x:t xml:space="preserve">ER-108</x:t>
        </x:is>
      </x:c>
      <x:c r="D48" s="5" t="inlineStr">
        <x:is>
          <x:t xml:space="preserve">Policy</x:t>
        </x:is>
      </x:c>
      <x:c r="E48" s="5" t="inlineStr">
        <x:is>
          <x:t xml:space="preserve">Data Classification, Retention and Disposal</x:t>
        </x:is>
      </x:c>
      <x:c r="F48" s="5" t="inlineStr">
        <x:is>
          <x:t xml:space="preserve">REQ-32-HIPAA</x:t>
        </x:is>
      </x:c>
      <x:c r="G48" s="5" t="inlineStr">
        <x:is>
          <x:t xml:space="preserve">1239.09aa1System.4</x:t>
        </x:is>
      </x:c>
      <x:c r="H48" s="5" t="inlineStr">
        <x:is>
          <x:t xml:space="preserve">1239.09aa1 System.4</x:t>
        </x:is>
      </x:c>
      <x:c r="I48" s="5" t="inlineStr">
        <x:is>
          <x:t xml:space="preserve">Many:Many</x:t>
        </x:is>
      </x:c>
      <x:c r="J48" s="5" t="n">
        <x:v>1</x:v>
      </x:c>
      <x:c r="K48" s="5" t="inlineStr">
        <x:is>
          <x:t xml:space="preserve">45 CFR § 164.310(d)(2)(i)</x:t>
        </x:is>
      </x:c>
      <x:c r="L48" s="5" t="inlineStr">
        <x:is>
          <x:t xml:space="preserve">Device and Media Controls — Disposal</x:t>
        </x:is>
      </x:c>
      <x:c r="M48" s="5" t="n">
        <x:v>1</x:v>
      </x:c>
      <x:c r="N48" s="5" t="inlineStr">
        <x:is>
          <x:t xml:space="preserve">45 C.F.R. § 164.310(d)(2)(i)</x:t>
        </x:is>
      </x:c>
      <x:c r="O48" s="5" t="inlineStr">
        <x:is>
          <x:t xml:space="preserve">Device and Media Controls — Disposal</x:t>
        </x:is>
      </x:c>
      <x:c r="P48" s="5" t="inlineStr">
        <x:is>
          <x:t xml:space="preserve">Implement policies and procedures to address the final disposition of ePHI and the hardware or electronic media on which it is stored.</x:t>
        </x:is>
      </x:c>
      <x:c r="Q48" s="5" t="inlineStr">
        <x:is>
          <x:t xml:space="preserve">Required implementation specification</x:t>
        </x:is>
      </x:c>
      <x:c r="R48" s="5" t="inlineStr">
        <x:is>
          <x:t xml:space="preserve">Physical Safeguards</x:t>
        </x:is>
      </x:c>
      <x:c r="S48" s="28" t="inlineStr">
        <x:is>
          <x:t xml:space="preserve">https://www.ecfr.gov/current/title-45/subtitle-A/subchapter-C/part-164/section-164.310</x:t>
        </x:is>
      </x:c>
      <x:c r="T48" s="28" t="inlineStr">
        <x:is>
          <x:t xml:space="preserve">https://www.hhs.gov/hipaa/for-professionals/faq/575/what-does-hipaa-require-of-covered-entities-when-they-dispose-information/index.html</x:t>
        </x:is>
      </x:c>
      <x:c r="U48" s="5" t="inlineStr">
        <x:is>
          <x:t xml:space="preserve">Best-fit</x:t>
        </x:is>
      </x:c>
      <x:c r="V48" s="5" t="inlineStr">
        <x:is>
          <x:t xml:space="preserve">The direct HIPAA overlap in this action item is final disposition/disposal; HIPAA does not explicitly name data classification or retention as standalone Security Rule specifications.</x:t>
        </x:is>
      </x:c>
      <x:c r="W48" s="5" t="inlineStr">
        <x:is>
          <x:t xml:space="preserve">Only the disposal portion of the action item maps directly to an express HIPAA implementation specification.</x:t>
        </x:is>
      </x:c>
      <x:c r="X48" s="5" t="n"/>
    </x:row>
    <x:row r="49" ht="30" customHeight="1">
      <x:c r="A49" s="5" t="inlineStr">
        <x:is>
          <x:t xml:space="preserve">ER-108|REQ-32-HIPAA|1616.09l1Organizational.16|Data Classification, Retention and Disposal</x:t>
        </x:is>
      </x:c>
      <x:c r="B49" s="5" t="inlineStr">
        <x:is>
          <x:t xml:space="preserve">HITRUST e1.csv</x:t>
        </x:is>
      </x:c>
      <x:c r="C49" s="5" t="inlineStr">
        <x:is>
          <x:t xml:space="preserve">ER-108</x:t>
        </x:is>
      </x:c>
      <x:c r="D49" s="5" t="inlineStr">
        <x:is>
          <x:t xml:space="preserve">Policy</x:t>
        </x:is>
      </x:c>
      <x:c r="E49" s="5" t="inlineStr">
        <x:is>
          <x:t xml:space="preserve">Data Classification, Retention and Disposal</x:t>
        </x:is>
      </x:c>
      <x:c r="F49" s="5" t="inlineStr">
        <x:is>
          <x:t xml:space="preserve">REQ-32-HIPAA</x:t>
        </x:is>
      </x:c>
      <x:c r="G49" s="5" t="inlineStr">
        <x:is>
          <x:t xml:space="preserve">1616.09l1Organizational.16</x:t>
        </x:is>
      </x:c>
      <x:c r="H49" s="5" t="inlineStr">
        <x:is>
          <x:t xml:space="preserve">1616.09l1 Organizational.16</x:t>
        </x:is>
      </x:c>
      <x:c r="I49" s="5" t="inlineStr">
        <x:is>
          <x:t xml:space="preserve">Many:Many</x:t>
        </x:is>
      </x:c>
      <x:c r="J49" s="5" t="n">
        <x:v>1</x:v>
      </x:c>
      <x:c r="K49" s="5" t="inlineStr">
        <x:is>
          <x:t xml:space="preserve">45 CFR § 164.310(d)(2)(i)</x:t>
        </x:is>
      </x:c>
      <x:c r="L49" s="5" t="inlineStr">
        <x:is>
          <x:t xml:space="preserve">Device and Media Controls — Disposal</x:t>
        </x:is>
      </x:c>
      <x:c r="M49" s="5" t="n">
        <x:v>1</x:v>
      </x:c>
      <x:c r="N49" s="5" t="inlineStr">
        <x:is>
          <x:t xml:space="preserve">45 C.F.R. § 164.310(d)(2)(i)</x:t>
        </x:is>
      </x:c>
      <x:c r="O49" s="5" t="inlineStr">
        <x:is>
          <x:t xml:space="preserve">Device and Media Controls — Disposal</x:t>
        </x:is>
      </x:c>
      <x:c r="P49" s="5" t="inlineStr">
        <x:is>
          <x:t xml:space="preserve">Implement policies and procedures to address the final disposition of ePHI and the hardware or electronic media on which it is stored.</x:t>
        </x:is>
      </x:c>
      <x:c r="Q49" s="5" t="inlineStr">
        <x:is>
          <x:t xml:space="preserve">Required implementation specification</x:t>
        </x:is>
      </x:c>
      <x:c r="R49" s="5" t="inlineStr">
        <x:is>
          <x:t xml:space="preserve">Physical Safeguards</x:t>
        </x:is>
      </x:c>
      <x:c r="S49" s="28" t="inlineStr">
        <x:is>
          <x:t xml:space="preserve">https://www.ecfr.gov/current/title-45/subtitle-A/subchapter-C/part-164/section-164.310</x:t>
        </x:is>
      </x:c>
      <x:c r="T49" s="28" t="inlineStr">
        <x:is>
          <x:t xml:space="preserve">https://www.hhs.gov/hipaa/for-professionals/faq/575/what-does-hipaa-require-of-covered-entities-when-they-dispose-information/index.html</x:t>
        </x:is>
      </x:c>
      <x:c r="U49" s="5" t="inlineStr">
        <x:is>
          <x:t xml:space="preserve">Best-fit</x:t>
        </x:is>
      </x:c>
      <x:c r="V49" s="5" t="inlineStr">
        <x:is>
          <x:t xml:space="preserve">The direct HIPAA overlap in this action item is final disposition/disposal; HIPAA does not explicitly name data classification or retention as standalone Security Rule specifications.</x:t>
        </x:is>
      </x:c>
      <x:c r="W49" s="5" t="inlineStr">
        <x:is>
          <x:t xml:space="preserve">Only the disposal portion of the action item maps directly to an express HIPAA implementation specification.</x:t>
        </x:is>
      </x:c>
      <x:c r="X49" s="5" t="n"/>
    </x:row>
    <x:row r="50" ht="30" customHeight="1">
      <x:c r="A50" s="5" t="inlineStr">
        <x:is>
          <x:t xml:space="preserve">ER-108|REQ-32-HIPAA|1767.07d1Organizational.2|Data Classification, Retention and Disposal</x:t>
        </x:is>
      </x:c>
      <x:c r="B50" s="5" t="inlineStr">
        <x:is>
          <x:t xml:space="preserve">HITRUST e1.csv</x:t>
        </x:is>
      </x:c>
      <x:c r="C50" s="5" t="inlineStr">
        <x:is>
          <x:t xml:space="preserve">ER-108</x:t>
        </x:is>
      </x:c>
      <x:c r="D50" s="5" t="inlineStr">
        <x:is>
          <x:t xml:space="preserve">Policy</x:t>
        </x:is>
      </x:c>
      <x:c r="E50" s="5" t="inlineStr">
        <x:is>
          <x:t xml:space="preserve">Data Classification, Retention and Disposal</x:t>
        </x:is>
      </x:c>
      <x:c r="F50" s="5" t="inlineStr">
        <x:is>
          <x:t xml:space="preserve">REQ-32-HIPAA</x:t>
        </x:is>
      </x:c>
      <x:c r="G50" s="5" t="inlineStr">
        <x:is>
          <x:t xml:space="preserve">1767.07d1Organizational.2</x:t>
        </x:is>
      </x:c>
      <x:c r="H50" s="5" t="inlineStr">
        <x:is>
          <x:t xml:space="preserve">1767.07d1 Organizational.2</x:t>
        </x:is>
      </x:c>
      <x:c r="I50" s="5" t="inlineStr">
        <x:is>
          <x:t xml:space="preserve">Many:Many</x:t>
        </x:is>
      </x:c>
      <x:c r="J50" s="5" t="n">
        <x:v>1</x:v>
      </x:c>
      <x:c r="K50" s="5" t="inlineStr">
        <x:is>
          <x:t xml:space="preserve">45 CFR § 164.310(d)(2)(i)</x:t>
        </x:is>
      </x:c>
      <x:c r="L50" s="5" t="inlineStr">
        <x:is>
          <x:t xml:space="preserve">Device and Media Controls — Disposal</x:t>
        </x:is>
      </x:c>
      <x:c r="M50" s="5" t="n">
        <x:v>1</x:v>
      </x:c>
      <x:c r="N50" s="5" t="inlineStr">
        <x:is>
          <x:t xml:space="preserve">45 C.F.R. § 164.310(d)(2)(i)</x:t>
        </x:is>
      </x:c>
      <x:c r="O50" s="5" t="inlineStr">
        <x:is>
          <x:t xml:space="preserve">Device and Media Controls — Disposal</x:t>
        </x:is>
      </x:c>
      <x:c r="P50" s="5" t="inlineStr">
        <x:is>
          <x:t xml:space="preserve">Implement policies and procedures to address the final disposition of ePHI and the hardware or electronic media on which it is stored.</x:t>
        </x:is>
      </x:c>
      <x:c r="Q50" s="5" t="inlineStr">
        <x:is>
          <x:t xml:space="preserve">Required implementation specification</x:t>
        </x:is>
      </x:c>
      <x:c r="R50" s="5" t="inlineStr">
        <x:is>
          <x:t xml:space="preserve">Physical Safeguards</x:t>
        </x:is>
      </x:c>
      <x:c r="S50" s="28" t="inlineStr">
        <x:is>
          <x:t xml:space="preserve">https://www.ecfr.gov/current/title-45/subtitle-A/subchapter-C/part-164/section-164.310</x:t>
        </x:is>
      </x:c>
      <x:c r="T50" s="28" t="inlineStr">
        <x:is>
          <x:t xml:space="preserve">https://www.hhs.gov/hipaa/for-professionals/faq/575/what-does-hipaa-require-of-covered-entities-when-they-dispose-information/index.html</x:t>
        </x:is>
      </x:c>
      <x:c r="U50" s="5" t="inlineStr">
        <x:is>
          <x:t xml:space="preserve">Best-fit</x:t>
        </x:is>
      </x:c>
      <x:c r="V50" s="5" t="inlineStr">
        <x:is>
          <x:t xml:space="preserve">The direct HIPAA overlap in this action item is final disposition/disposal; HIPAA does not explicitly name data classification or retention as standalone Security Rule specifications.</x:t>
        </x:is>
      </x:c>
      <x:c r="W50" s="5" t="inlineStr">
        <x:is>
          <x:t xml:space="preserve">Only the disposal portion of the action item maps directly to an express HIPAA implementation specification.</x:t>
        </x:is>
      </x:c>
      <x:c r="X50" s="5" t="n"/>
    </x:row>
    <x:row r="51" ht="30" customHeight="1">
      <x:c r="A51" s="5" t="inlineStr">
        <x:is>
          <x:t xml:space="preserve">ER-108|REQ-32-HIPAA|19142.06c1Organizational.8|Data Classification, Retention and Disposal</x:t>
        </x:is>
      </x:c>
      <x:c r="B51" s="5" t="inlineStr">
        <x:is>
          <x:t xml:space="preserve">HITRUST e1.csv</x:t>
        </x:is>
      </x:c>
      <x:c r="C51" s="5" t="inlineStr">
        <x:is>
          <x:t xml:space="preserve">ER-108</x:t>
        </x:is>
      </x:c>
      <x:c r="D51" s="5" t="inlineStr">
        <x:is>
          <x:t xml:space="preserve">Policy</x:t>
        </x:is>
      </x:c>
      <x:c r="E51" s="5" t="inlineStr">
        <x:is>
          <x:t xml:space="preserve">Data Classification, Retention and Disposal</x:t>
        </x:is>
      </x:c>
      <x:c r="F51" s="5" t="inlineStr">
        <x:is>
          <x:t xml:space="preserve">REQ-32-HIPAA</x:t>
        </x:is>
      </x:c>
      <x:c r="G51" s="5" t="inlineStr">
        <x:is>
          <x:t xml:space="preserve">19142.06c1Organizational.8</x:t>
        </x:is>
      </x:c>
      <x:c r="H51" s="5" t="inlineStr">
        <x:is>
          <x:t xml:space="preserve">19142.06c1 Organizational.8</x:t>
        </x:is>
      </x:c>
      <x:c r="I51" s="5" t="inlineStr">
        <x:is>
          <x:t xml:space="preserve">Many:Many</x:t>
        </x:is>
      </x:c>
      <x:c r="J51" s="5" t="n">
        <x:v>1</x:v>
      </x:c>
      <x:c r="K51" s="5" t="inlineStr">
        <x:is>
          <x:t xml:space="preserve">45 CFR § 164.310(d)(2)(i)</x:t>
        </x:is>
      </x:c>
      <x:c r="L51" s="5" t="inlineStr">
        <x:is>
          <x:t xml:space="preserve">Device and Media Controls — Disposal</x:t>
        </x:is>
      </x:c>
      <x:c r="M51" s="5" t="n">
        <x:v>1</x:v>
      </x:c>
      <x:c r="N51" s="5" t="inlineStr">
        <x:is>
          <x:t xml:space="preserve">45 C.F.R. § 164.310(d)(2)(i)</x:t>
        </x:is>
      </x:c>
      <x:c r="O51" s="5" t="inlineStr">
        <x:is>
          <x:t xml:space="preserve">Device and Media Controls — Disposal</x:t>
        </x:is>
      </x:c>
      <x:c r="P51" s="5" t="inlineStr">
        <x:is>
          <x:t xml:space="preserve">Implement policies and procedures to address the final disposition of ePHI and the hardware or electronic media on which it is stored.</x:t>
        </x:is>
      </x:c>
      <x:c r="Q51" s="5" t="inlineStr">
        <x:is>
          <x:t xml:space="preserve">Required implementation specification</x:t>
        </x:is>
      </x:c>
      <x:c r="R51" s="5" t="inlineStr">
        <x:is>
          <x:t xml:space="preserve">Physical Safeguards</x:t>
        </x:is>
      </x:c>
      <x:c r="S51" s="28" t="inlineStr">
        <x:is>
          <x:t xml:space="preserve">https://www.ecfr.gov/current/title-45/subtitle-A/subchapter-C/part-164/section-164.310</x:t>
        </x:is>
      </x:c>
      <x:c r="T51" s="28" t="inlineStr">
        <x:is>
          <x:t xml:space="preserve">https://www.hhs.gov/hipaa/for-professionals/faq/575/what-does-hipaa-require-of-covered-entities-when-they-dispose-information/index.html</x:t>
        </x:is>
      </x:c>
      <x:c r="U51" s="5" t="inlineStr">
        <x:is>
          <x:t xml:space="preserve">Best-fit</x:t>
        </x:is>
      </x:c>
      <x:c r="V51" s="5" t="inlineStr">
        <x:is>
          <x:t xml:space="preserve">The direct HIPAA overlap in this action item is final disposition/disposal; HIPAA does not explicitly name data classification or retention as standalone Security Rule specifications.</x:t>
        </x:is>
      </x:c>
      <x:c r="W51" s="5" t="inlineStr">
        <x:is>
          <x:t xml:space="preserve">Only the disposal portion of the action item maps directly to an express HIPAA implementation specification.</x:t>
        </x:is>
      </x:c>
      <x:c r="X51" s="5" t="n"/>
    </x:row>
    <x:row r="52" ht="30" customHeight="1">
      <x:c r="A52" s="5" t="inlineStr">
        <x:is>
          <x:t xml:space="preserve">ER-108|REQ-66-HIPAA|0305.09q1Organizational.12|Data Classification, Retention and Disposal</x:t>
        </x:is>
      </x:c>
      <x:c r="B52" s="5" t="inlineStr">
        <x:is>
          <x:t xml:space="preserve">HITRUST e1.csv</x:t>
        </x:is>
      </x:c>
      <x:c r="C52" s="5" t="inlineStr">
        <x:is>
          <x:t xml:space="preserve">ER-108</x:t>
        </x:is>
      </x:c>
      <x:c r="D52" s="5" t="inlineStr">
        <x:is>
          <x:t xml:space="preserve">Policy</x:t>
        </x:is>
      </x:c>
      <x:c r="E52" s="5" t="inlineStr">
        <x:is>
          <x:t xml:space="preserve">Data Classification, Retention and Disposal</x:t>
        </x:is>
      </x:c>
      <x:c r="F52" s="5" t="inlineStr">
        <x:is>
          <x:t xml:space="preserve">REQ-66-HIPAA</x:t>
        </x:is>
      </x:c>
      <x:c r="G52" s="5" t="inlineStr">
        <x:is>
          <x:t xml:space="preserve">0305.09q1Organizational.12</x:t>
        </x:is>
      </x:c>
      <x:c r="H52" s="5" t="inlineStr">
        <x:is>
          <x:t xml:space="preserve">0305.09q1 Organizational.12</x:t>
        </x:is>
      </x:c>
      <x:c r="I52" s="5" t="inlineStr">
        <x:is>
          <x:t xml:space="preserve">Many:Many</x:t>
        </x:is>
      </x:c>
      <x:c r="J52" s="5" t="n">
        <x:v>1</x:v>
      </x:c>
      <x:c r="K52" s="5" t="inlineStr">
        <x:is>
          <x:t xml:space="preserve">45 CFR § 164.310(d)(2)(ii)</x:t>
        </x:is>
      </x:c>
      <x:c r="L52" s="5" t="inlineStr">
        <x:is>
          <x:t xml:space="preserve">Device and Media Controls — Media Re-use</x:t>
        </x:is>
      </x:c>
      <x:c r="M52" s="5" t="n">
        <x:v>1</x:v>
      </x:c>
      <x:c r="N52" s="5" t="inlineStr">
        <x:is>
          <x:t xml:space="preserve">45 C.F.R. § 164.310(d)(2)(ii)</x:t>
        </x:is>
      </x:c>
      <x:c r="O52" s="5" t="inlineStr">
        <x:is>
          <x:t xml:space="preserve">Device and Media Controls — Media Re-use</x:t>
        </x:is>
      </x:c>
      <x:c r="P52" s="5" t="inlineStr">
        <x:is>
          <x:t xml:space="preserve">Implement procedures for removing ePHI from electronic media before the media are made available for re-use.</x:t>
        </x:is>
      </x:c>
      <x:c r="Q52" s="5" t="inlineStr">
        <x:is>
          <x:t xml:space="preserve">Required implementation specification</x:t>
        </x:is>
      </x:c>
      <x:c r="R52" s="5" t="inlineStr">
        <x:is>
          <x:t xml:space="preserve">Physical Safeguards</x:t>
        </x:is>
      </x:c>
      <x:c r="S52" s="28" t="inlineStr">
        <x:is>
          <x:t xml:space="preserve">https://www.ecfr.gov/current/title-45/subtitle-A/subchapter-C/part-164/section-164.310</x:t>
        </x:is>
      </x:c>
      <x:c r="T52" s="28" t="inlineStr">
        <x:is>
          <x:t xml:space="preserve">https://www.hhs.gov/hipaa/for-professionals/faq/575/what-does-hipaa-require-of-covered-entities-when-they-dispose-information/index.html</x:t>
        </x:is>
      </x:c>
      <x:c r="U52" s="5" t="inlineStr">
        <x:is>
          <x:t xml:space="preserve">Best-fit</x:t>
        </x:is>
      </x:c>
      <x:c r="V52" s="5" t="inlineStr">
        <x:is>
          <x:t xml:space="preserve">Within the data-retention/disposal action item, this internal control is best matched to sanitization/reuse of media; HIPAA does not separately name classification or retention.</x:t>
        </x:is>
      </x:c>
      <x:c r="W52" s="5" t="inlineStr">
        <x:is>
          <x:t xml:space="preserve">Only the media-reuse/sanitization aspect maps directly to an express HIPAA specification.</x:t>
        </x:is>
      </x:c>
      <x:c r="X52" s="5" t="n"/>
    </x:row>
    <x:row r="53" ht="30" customHeight="1">
      <x:c r="A53" s="5" t="inlineStr">
        <x:is>
          <x:t xml:space="preserve">ER-108|REQ-66-HIPAA|1239.09aa1System.4|Data Classification, Retention and Disposal</x:t>
        </x:is>
      </x:c>
      <x:c r="B53" s="5" t="inlineStr">
        <x:is>
          <x:t xml:space="preserve">HITRUST e1.csv</x:t>
        </x:is>
      </x:c>
      <x:c r="C53" s="5" t="inlineStr">
        <x:is>
          <x:t xml:space="preserve">ER-108</x:t>
        </x:is>
      </x:c>
      <x:c r="D53" s="5" t="inlineStr">
        <x:is>
          <x:t xml:space="preserve">Policy</x:t>
        </x:is>
      </x:c>
      <x:c r="E53" s="5" t="inlineStr">
        <x:is>
          <x:t xml:space="preserve">Data Classification, Retention and Disposal</x:t>
        </x:is>
      </x:c>
      <x:c r="F53" s="5" t="inlineStr">
        <x:is>
          <x:t xml:space="preserve">REQ-66-HIPAA</x:t>
        </x:is>
      </x:c>
      <x:c r="G53" s="5" t="inlineStr">
        <x:is>
          <x:t xml:space="preserve">1239.09aa1System.4</x:t>
        </x:is>
      </x:c>
      <x:c r="H53" s="5" t="inlineStr">
        <x:is>
          <x:t xml:space="preserve">1239.09aa1 System.4</x:t>
        </x:is>
      </x:c>
      <x:c r="I53" s="5" t="inlineStr">
        <x:is>
          <x:t xml:space="preserve">Many:Many</x:t>
        </x:is>
      </x:c>
      <x:c r="J53" s="5" t="n">
        <x:v>1</x:v>
      </x:c>
      <x:c r="K53" s="5" t="inlineStr">
        <x:is>
          <x:t xml:space="preserve">45 CFR § 164.310(d)(2)(ii)</x:t>
        </x:is>
      </x:c>
      <x:c r="L53" s="5" t="inlineStr">
        <x:is>
          <x:t xml:space="preserve">Device and Media Controls — Media Re-use</x:t>
        </x:is>
      </x:c>
      <x:c r="M53" s="5" t="n">
        <x:v>1</x:v>
      </x:c>
      <x:c r="N53" s="5" t="inlineStr">
        <x:is>
          <x:t xml:space="preserve">45 C.F.R. § 164.310(d)(2)(ii)</x:t>
        </x:is>
      </x:c>
      <x:c r="O53" s="5" t="inlineStr">
        <x:is>
          <x:t xml:space="preserve">Device and Media Controls — Media Re-use</x:t>
        </x:is>
      </x:c>
      <x:c r="P53" s="5" t="inlineStr">
        <x:is>
          <x:t xml:space="preserve">Implement procedures for removing ePHI from electronic media before the media are made available for re-use.</x:t>
        </x:is>
      </x:c>
      <x:c r="Q53" s="5" t="inlineStr">
        <x:is>
          <x:t xml:space="preserve">Required implementation specification</x:t>
        </x:is>
      </x:c>
      <x:c r="R53" s="5" t="inlineStr">
        <x:is>
          <x:t xml:space="preserve">Physical Safeguards</x:t>
        </x:is>
      </x:c>
      <x:c r="S53" s="28" t="inlineStr">
        <x:is>
          <x:t xml:space="preserve">https://www.ecfr.gov/current/title-45/subtitle-A/subchapter-C/part-164/section-164.310</x:t>
        </x:is>
      </x:c>
      <x:c r="T53" s="28" t="inlineStr">
        <x:is>
          <x:t xml:space="preserve">https://www.hhs.gov/hipaa/for-professionals/faq/575/what-does-hipaa-require-of-covered-entities-when-they-dispose-information/index.html</x:t>
        </x:is>
      </x:c>
      <x:c r="U53" s="5" t="inlineStr">
        <x:is>
          <x:t xml:space="preserve">Best-fit</x:t>
        </x:is>
      </x:c>
      <x:c r="V53" s="5" t="inlineStr">
        <x:is>
          <x:t xml:space="preserve">Within the data-retention/disposal action item, this internal control is best matched to sanitization/reuse of media; HIPAA does not separately name classification or retention.</x:t>
        </x:is>
      </x:c>
      <x:c r="W53" s="5" t="inlineStr">
        <x:is>
          <x:t xml:space="preserve">Only the media-reuse/sanitization aspect maps directly to an express HIPAA specification.</x:t>
        </x:is>
      </x:c>
      <x:c r="X53" s="5" t="n"/>
    </x:row>
    <x:row r="54" ht="30" customHeight="1">
      <x:c r="A54" s="5" t="inlineStr">
        <x:is>
          <x:t xml:space="preserve">ER-108|REQ-66-HIPAA|1616.09l1Organizational.16|Data Classification, Retention and Disposal</x:t>
        </x:is>
      </x:c>
      <x:c r="B54" s="5" t="inlineStr">
        <x:is>
          <x:t xml:space="preserve">HITRUST e1.csv</x:t>
        </x:is>
      </x:c>
      <x:c r="C54" s="5" t="inlineStr">
        <x:is>
          <x:t xml:space="preserve">ER-108</x:t>
        </x:is>
      </x:c>
      <x:c r="D54" s="5" t="inlineStr">
        <x:is>
          <x:t xml:space="preserve">Policy</x:t>
        </x:is>
      </x:c>
      <x:c r="E54" s="5" t="inlineStr">
        <x:is>
          <x:t xml:space="preserve">Data Classification, Retention and Disposal</x:t>
        </x:is>
      </x:c>
      <x:c r="F54" s="5" t="inlineStr">
        <x:is>
          <x:t xml:space="preserve">REQ-66-HIPAA</x:t>
        </x:is>
      </x:c>
      <x:c r="G54" s="5" t="inlineStr">
        <x:is>
          <x:t xml:space="preserve">1616.09l1Organizational.16</x:t>
        </x:is>
      </x:c>
      <x:c r="H54" s="5" t="inlineStr">
        <x:is>
          <x:t xml:space="preserve">1616.09l1 Organizational.16</x:t>
        </x:is>
      </x:c>
      <x:c r="I54" s="5" t="inlineStr">
        <x:is>
          <x:t xml:space="preserve">Many:Many</x:t>
        </x:is>
      </x:c>
      <x:c r="J54" s="5" t="n">
        <x:v>1</x:v>
      </x:c>
      <x:c r="K54" s="5" t="inlineStr">
        <x:is>
          <x:t xml:space="preserve">45 CFR § 164.310(d)(2)(ii)</x:t>
        </x:is>
      </x:c>
      <x:c r="L54" s="5" t="inlineStr">
        <x:is>
          <x:t xml:space="preserve">Device and Media Controls — Media Re-use</x:t>
        </x:is>
      </x:c>
      <x:c r="M54" s="5" t="n">
        <x:v>1</x:v>
      </x:c>
      <x:c r="N54" s="5" t="inlineStr">
        <x:is>
          <x:t xml:space="preserve">45 C.F.R. § 164.310(d)(2)(ii)</x:t>
        </x:is>
      </x:c>
      <x:c r="O54" s="5" t="inlineStr">
        <x:is>
          <x:t xml:space="preserve">Device and Media Controls — Media Re-use</x:t>
        </x:is>
      </x:c>
      <x:c r="P54" s="5" t="inlineStr">
        <x:is>
          <x:t xml:space="preserve">Implement procedures for removing ePHI from electronic media before the media are made available for re-use.</x:t>
        </x:is>
      </x:c>
      <x:c r="Q54" s="5" t="inlineStr">
        <x:is>
          <x:t xml:space="preserve">Required implementation specification</x:t>
        </x:is>
      </x:c>
      <x:c r="R54" s="5" t="inlineStr">
        <x:is>
          <x:t xml:space="preserve">Physical Safeguards</x:t>
        </x:is>
      </x:c>
      <x:c r="S54" s="28" t="inlineStr">
        <x:is>
          <x:t xml:space="preserve">https://www.ecfr.gov/current/title-45/subtitle-A/subchapter-C/part-164/section-164.310</x:t>
        </x:is>
      </x:c>
      <x:c r="T54" s="28" t="inlineStr">
        <x:is>
          <x:t xml:space="preserve">https://www.hhs.gov/hipaa/for-professionals/faq/575/what-does-hipaa-require-of-covered-entities-when-they-dispose-information/index.html</x:t>
        </x:is>
      </x:c>
      <x:c r="U54" s="5" t="inlineStr">
        <x:is>
          <x:t xml:space="preserve">Best-fit</x:t>
        </x:is>
      </x:c>
      <x:c r="V54" s="5" t="inlineStr">
        <x:is>
          <x:t xml:space="preserve">Within the data-retention/disposal action item, this internal control is best matched to sanitization/reuse of media; HIPAA does not separately name classification or retention.</x:t>
        </x:is>
      </x:c>
      <x:c r="W54" s="5" t="inlineStr">
        <x:is>
          <x:t xml:space="preserve">Only the media-reuse/sanitization aspect maps directly to an express HIPAA specification.</x:t>
        </x:is>
      </x:c>
      <x:c r="X54" s="5" t="n"/>
    </x:row>
    <x:row r="55" ht="30" customHeight="1">
      <x:c r="A55" s="5" t="inlineStr">
        <x:is>
          <x:t xml:space="preserve">ER-108|REQ-66-HIPAA|1767.07d1Organizational.2|Data Classification, Retention and Disposal</x:t>
        </x:is>
      </x:c>
      <x:c r="B55" s="5" t="inlineStr">
        <x:is>
          <x:t xml:space="preserve">HITRUST e1.csv</x:t>
        </x:is>
      </x:c>
      <x:c r="C55" s="5" t="inlineStr">
        <x:is>
          <x:t xml:space="preserve">ER-108</x:t>
        </x:is>
      </x:c>
      <x:c r="D55" s="5" t="inlineStr">
        <x:is>
          <x:t xml:space="preserve">Policy</x:t>
        </x:is>
      </x:c>
      <x:c r="E55" s="5" t="inlineStr">
        <x:is>
          <x:t xml:space="preserve">Data Classification, Retention and Disposal</x:t>
        </x:is>
      </x:c>
      <x:c r="F55" s="5" t="inlineStr">
        <x:is>
          <x:t xml:space="preserve">REQ-66-HIPAA</x:t>
        </x:is>
      </x:c>
      <x:c r="G55" s="5" t="inlineStr">
        <x:is>
          <x:t xml:space="preserve">1767.07d1Organizational.2</x:t>
        </x:is>
      </x:c>
      <x:c r="H55" s="5" t="inlineStr">
        <x:is>
          <x:t xml:space="preserve">1767.07d1 Organizational.2</x:t>
        </x:is>
      </x:c>
      <x:c r="I55" s="5" t="inlineStr">
        <x:is>
          <x:t xml:space="preserve">Many:Many</x:t>
        </x:is>
      </x:c>
      <x:c r="J55" s="5" t="n">
        <x:v>1</x:v>
      </x:c>
      <x:c r="K55" s="5" t="inlineStr">
        <x:is>
          <x:t xml:space="preserve">45 CFR § 164.310(d)(2)(ii)</x:t>
        </x:is>
      </x:c>
      <x:c r="L55" s="5" t="inlineStr">
        <x:is>
          <x:t xml:space="preserve">Device and Media Controls — Media Re-use</x:t>
        </x:is>
      </x:c>
      <x:c r="M55" s="5" t="n">
        <x:v>1</x:v>
      </x:c>
      <x:c r="N55" s="5" t="inlineStr">
        <x:is>
          <x:t xml:space="preserve">45 C.F.R. § 164.310(d)(2)(ii)</x:t>
        </x:is>
      </x:c>
      <x:c r="O55" s="5" t="inlineStr">
        <x:is>
          <x:t xml:space="preserve">Device and Media Controls — Media Re-use</x:t>
        </x:is>
      </x:c>
      <x:c r="P55" s="5" t="inlineStr">
        <x:is>
          <x:t xml:space="preserve">Implement procedures for removing ePHI from electronic media before the media are made available for re-use.</x:t>
        </x:is>
      </x:c>
      <x:c r="Q55" s="5" t="inlineStr">
        <x:is>
          <x:t xml:space="preserve">Required implementation specification</x:t>
        </x:is>
      </x:c>
      <x:c r="R55" s="5" t="inlineStr">
        <x:is>
          <x:t xml:space="preserve">Physical Safeguards</x:t>
        </x:is>
      </x:c>
      <x:c r="S55" s="28" t="inlineStr">
        <x:is>
          <x:t xml:space="preserve">https://www.ecfr.gov/current/title-45/subtitle-A/subchapter-C/part-164/section-164.310</x:t>
        </x:is>
      </x:c>
      <x:c r="T55" s="28" t="inlineStr">
        <x:is>
          <x:t xml:space="preserve">https://www.hhs.gov/hipaa/for-professionals/faq/575/what-does-hipaa-require-of-covered-entities-when-they-dispose-information/index.html</x:t>
        </x:is>
      </x:c>
      <x:c r="U55" s="5" t="inlineStr">
        <x:is>
          <x:t xml:space="preserve">Best-fit</x:t>
        </x:is>
      </x:c>
      <x:c r="V55" s="5" t="inlineStr">
        <x:is>
          <x:t xml:space="preserve">Within the data-retention/disposal action item, this internal control is best matched to sanitization/reuse of media; HIPAA does not separately name classification or retention.</x:t>
        </x:is>
      </x:c>
      <x:c r="W55" s="5" t="inlineStr">
        <x:is>
          <x:t xml:space="preserve">Only the media-reuse/sanitization aspect maps directly to an express HIPAA specification.</x:t>
        </x:is>
      </x:c>
      <x:c r="X55" s="5" t="n"/>
    </x:row>
    <x:row r="56" ht="30" customHeight="1">
      <x:c r="A56" s="5" t="inlineStr">
        <x:is>
          <x:t xml:space="preserve">ER-108|REQ-66-HIPAA|19142.06c1Organizational.8|Data Classification, Retention and Disposal</x:t>
        </x:is>
      </x:c>
      <x:c r="B56" s="5" t="inlineStr">
        <x:is>
          <x:t xml:space="preserve">HITRUST e1.csv</x:t>
        </x:is>
      </x:c>
      <x:c r="C56" s="5" t="inlineStr">
        <x:is>
          <x:t xml:space="preserve">ER-108</x:t>
        </x:is>
      </x:c>
      <x:c r="D56" s="5" t="inlineStr">
        <x:is>
          <x:t xml:space="preserve">Policy</x:t>
        </x:is>
      </x:c>
      <x:c r="E56" s="5" t="inlineStr">
        <x:is>
          <x:t xml:space="preserve">Data Classification, Retention and Disposal</x:t>
        </x:is>
      </x:c>
      <x:c r="F56" s="5" t="inlineStr">
        <x:is>
          <x:t xml:space="preserve">REQ-66-HIPAA</x:t>
        </x:is>
      </x:c>
      <x:c r="G56" s="5" t="inlineStr">
        <x:is>
          <x:t xml:space="preserve">19142.06c1Organizational.8</x:t>
        </x:is>
      </x:c>
      <x:c r="H56" s="5" t="inlineStr">
        <x:is>
          <x:t xml:space="preserve">19142.06c1 Organizational.8</x:t>
        </x:is>
      </x:c>
      <x:c r="I56" s="5" t="inlineStr">
        <x:is>
          <x:t xml:space="preserve">Many:Many</x:t>
        </x:is>
      </x:c>
      <x:c r="J56" s="5" t="n">
        <x:v>1</x:v>
      </x:c>
      <x:c r="K56" s="5" t="inlineStr">
        <x:is>
          <x:t xml:space="preserve">45 CFR § 164.310(d)(2)(ii)</x:t>
        </x:is>
      </x:c>
      <x:c r="L56" s="5" t="inlineStr">
        <x:is>
          <x:t xml:space="preserve">Device and Media Controls — Media Re-use</x:t>
        </x:is>
      </x:c>
      <x:c r="M56" s="5" t="n">
        <x:v>1</x:v>
      </x:c>
      <x:c r="N56" s="5" t="inlineStr">
        <x:is>
          <x:t xml:space="preserve">45 C.F.R. § 164.310(d)(2)(ii)</x:t>
        </x:is>
      </x:c>
      <x:c r="O56" s="5" t="inlineStr">
        <x:is>
          <x:t xml:space="preserve">Device and Media Controls — Media Re-use</x:t>
        </x:is>
      </x:c>
      <x:c r="P56" s="5" t="inlineStr">
        <x:is>
          <x:t xml:space="preserve">Implement procedures for removing ePHI from electronic media before the media are made available for re-use.</x:t>
        </x:is>
      </x:c>
      <x:c r="Q56" s="5" t="inlineStr">
        <x:is>
          <x:t xml:space="preserve">Required implementation specification</x:t>
        </x:is>
      </x:c>
      <x:c r="R56" s="5" t="inlineStr">
        <x:is>
          <x:t xml:space="preserve">Physical Safeguards</x:t>
        </x:is>
      </x:c>
      <x:c r="S56" s="28" t="inlineStr">
        <x:is>
          <x:t xml:space="preserve">https://www.ecfr.gov/current/title-45/subtitle-A/subchapter-C/part-164/section-164.310</x:t>
        </x:is>
      </x:c>
      <x:c r="T56" s="28" t="inlineStr">
        <x:is>
          <x:t xml:space="preserve">https://www.hhs.gov/hipaa/for-professionals/faq/575/what-does-hipaa-require-of-covered-entities-when-they-dispose-information/index.html</x:t>
        </x:is>
      </x:c>
      <x:c r="U56" s="5" t="inlineStr">
        <x:is>
          <x:t xml:space="preserve">Best-fit</x:t>
        </x:is>
      </x:c>
      <x:c r="V56" s="5" t="inlineStr">
        <x:is>
          <x:t xml:space="preserve">Within the data-retention/disposal action item, this internal control is best matched to sanitization/reuse of media; HIPAA does not separately name classification or retention.</x:t>
        </x:is>
      </x:c>
      <x:c r="W56" s="5" t="inlineStr">
        <x:is>
          <x:t xml:space="preserve">Only the media-reuse/sanitization aspect maps directly to an express HIPAA specification.</x:t>
        </x:is>
      </x:c>
      <x:c r="X56" s="5" t="n"/>
    </x:row>
    <x:row r="57" ht="30" customHeight="1">
      <x:c r="A57" s="5" t="inlineStr">
        <x:is>
          <x:t xml:space="preserve">ER-108|REQ-67-HIPAA|0305.09q1Organizational.12|Data Classification, Retention and Disposal</x:t>
        </x:is>
      </x:c>
      <x:c r="B57" s="5" t="inlineStr">
        <x:is>
          <x:t xml:space="preserve">HITRUST e1.csv</x:t>
        </x:is>
      </x:c>
      <x:c r="C57" s="5" t="inlineStr">
        <x:is>
          <x:t xml:space="preserve">ER-108</x:t>
        </x:is>
      </x:c>
      <x:c r="D57" s="5" t="inlineStr">
        <x:is>
          <x:t xml:space="preserve">Policy</x:t>
        </x:is>
      </x:c>
      <x:c r="E57" s="5" t="inlineStr">
        <x:is>
          <x:t xml:space="preserve">Data Classification, Retention and Disposal</x:t>
        </x:is>
      </x:c>
      <x:c r="F57" s="5" t="inlineStr">
        <x:is>
          <x:t xml:space="preserve">REQ-67-HIPAA</x:t>
        </x:is>
      </x:c>
      <x:c r="G57" s="5" t="inlineStr">
        <x:is>
          <x:t xml:space="preserve">0305.09q1Organizational.12</x:t>
        </x:is>
      </x:c>
      <x:c r="H57" s="5" t="inlineStr">
        <x:is>
          <x:t xml:space="preserve">0305.09q1 Organizational.12</x:t>
        </x:is>
      </x:c>
      <x:c r="I57" s="5" t="inlineStr">
        <x:is>
          <x:t xml:space="preserve">Many:Many</x:t>
        </x:is>
      </x:c>
      <x:c r="J57" s="5" t="n">
        <x:v>1</x:v>
      </x:c>
      <x:c r="K57" s="5" t="inlineStr">
        <x:is>
          <x:t xml:space="preserve">45 CFR § 164.310(d)(2)(i)</x:t>
        </x:is>
      </x:c>
      <x:c r="L57" s="5" t="inlineStr">
        <x:is>
          <x:t xml:space="preserve">Device and Media Controls — Disposal</x:t>
        </x:is>
      </x:c>
      <x:c r="M57" s="5" t="n">
        <x:v>1</x:v>
      </x:c>
      <x:c r="N57" s="5" t="inlineStr">
        <x:is>
          <x:t xml:space="preserve">45 C.F.R. § 164.310(d)(2)(i)</x:t>
        </x:is>
      </x:c>
      <x:c r="O57" s="5" t="inlineStr">
        <x:is>
          <x:t xml:space="preserve">Device and Media Controls — Disposal</x:t>
        </x:is>
      </x:c>
      <x:c r="P57" s="5" t="inlineStr">
        <x:is>
          <x:t xml:space="preserve">Implement policies and procedures to address the final disposition of ePHI and the hardware or electronic media on which it is stored.</x:t>
        </x:is>
      </x:c>
      <x:c r="Q57" s="5" t="inlineStr">
        <x:is>
          <x:t xml:space="preserve">Required implementation specification</x:t>
        </x:is>
      </x:c>
      <x:c r="R57" s="5" t="inlineStr">
        <x:is>
          <x:t xml:space="preserve">Physical Safeguards</x:t>
        </x:is>
      </x:c>
      <x:c r="S57" s="28" t="inlineStr">
        <x:is>
          <x:t xml:space="preserve">https://www.ecfr.gov/current/title-45/subtitle-A/subchapter-C/part-164/section-164.310</x:t>
        </x:is>
      </x:c>
      <x:c r="T57" s="28" t="inlineStr">
        <x:is>
          <x:t xml:space="preserve">https://www.hhs.gov/hipaa/for-professionals/faq/575/what-does-hipaa-require-of-covered-entities-when-they-dispose-information/index.html</x:t>
        </x:is>
      </x:c>
      <x:c r="U57" s="5" t="inlineStr">
        <x:is>
          <x:t xml:space="preserve">Best-fit</x:t>
        </x:is>
      </x:c>
      <x:c r="V57" s="5" t="inlineStr">
        <x:is>
          <x:t xml:space="preserve">In this overlap set, the control appears through a data-retention/disposal action item, so disposal is the closest direct HIPAA citation.</x:t>
        </x:is>
      </x:c>
      <x:c r="W57" s="5" t="inlineStr">
        <x:is>
          <x:t xml:space="preserve">This same internal control also appears on customer-contract rows elsewhere in the uploaded spreadsheets, but that contractual context is not the shared action item here.</x:t>
        </x:is>
      </x:c>
      <x:c r="X57" s="5" t="n"/>
    </x:row>
    <x:row r="58" ht="30" customHeight="1">
      <x:c r="A58" s="5" t="inlineStr">
        <x:is>
          <x:t xml:space="preserve">ER-108|REQ-67-HIPAA|1239.09aa1System.4|Data Classification, Retention and Disposal</x:t>
        </x:is>
      </x:c>
      <x:c r="B58" s="5" t="inlineStr">
        <x:is>
          <x:t xml:space="preserve">HITRUST e1.csv</x:t>
        </x:is>
      </x:c>
      <x:c r="C58" s="5" t="inlineStr">
        <x:is>
          <x:t xml:space="preserve">ER-108</x:t>
        </x:is>
      </x:c>
      <x:c r="D58" s="5" t="inlineStr">
        <x:is>
          <x:t xml:space="preserve">Policy</x:t>
        </x:is>
      </x:c>
      <x:c r="E58" s="5" t="inlineStr">
        <x:is>
          <x:t xml:space="preserve">Data Classification, Retention and Disposal</x:t>
        </x:is>
      </x:c>
      <x:c r="F58" s="5" t="inlineStr">
        <x:is>
          <x:t xml:space="preserve">REQ-67-HIPAA</x:t>
        </x:is>
      </x:c>
      <x:c r="G58" s="5" t="inlineStr">
        <x:is>
          <x:t xml:space="preserve">1239.09aa1System.4</x:t>
        </x:is>
      </x:c>
      <x:c r="H58" s="5" t="inlineStr">
        <x:is>
          <x:t xml:space="preserve">1239.09aa1 System.4</x:t>
        </x:is>
      </x:c>
      <x:c r="I58" s="5" t="inlineStr">
        <x:is>
          <x:t xml:space="preserve">Many:Many</x:t>
        </x:is>
      </x:c>
      <x:c r="J58" s="5" t="n">
        <x:v>1</x:v>
      </x:c>
      <x:c r="K58" s="5" t="inlineStr">
        <x:is>
          <x:t xml:space="preserve">45 CFR § 164.310(d)(2)(i)</x:t>
        </x:is>
      </x:c>
      <x:c r="L58" s="5" t="inlineStr">
        <x:is>
          <x:t xml:space="preserve">Device and Media Controls — Disposal</x:t>
        </x:is>
      </x:c>
      <x:c r="M58" s="5" t="n">
        <x:v>1</x:v>
      </x:c>
      <x:c r="N58" s="5" t="inlineStr">
        <x:is>
          <x:t xml:space="preserve">45 C.F.R. § 164.310(d)(2)(i)</x:t>
        </x:is>
      </x:c>
      <x:c r="O58" s="5" t="inlineStr">
        <x:is>
          <x:t xml:space="preserve">Device and Media Controls — Disposal</x:t>
        </x:is>
      </x:c>
      <x:c r="P58" s="5" t="inlineStr">
        <x:is>
          <x:t xml:space="preserve">Implement policies and procedures to address the final disposition of ePHI and the hardware or electronic media on which it is stored.</x:t>
        </x:is>
      </x:c>
      <x:c r="Q58" s="5" t="inlineStr">
        <x:is>
          <x:t xml:space="preserve">Required implementation specification</x:t>
        </x:is>
      </x:c>
      <x:c r="R58" s="5" t="inlineStr">
        <x:is>
          <x:t xml:space="preserve">Physical Safeguards</x:t>
        </x:is>
      </x:c>
      <x:c r="S58" s="28" t="inlineStr">
        <x:is>
          <x:t xml:space="preserve">https://www.ecfr.gov/current/title-45/subtitle-A/subchapter-C/part-164/section-164.310</x:t>
        </x:is>
      </x:c>
      <x:c r="T58" s="28" t="inlineStr">
        <x:is>
          <x:t xml:space="preserve">https://www.hhs.gov/hipaa/for-professionals/faq/575/what-does-hipaa-require-of-covered-entities-when-they-dispose-information/index.html</x:t>
        </x:is>
      </x:c>
      <x:c r="U58" s="5" t="inlineStr">
        <x:is>
          <x:t xml:space="preserve">Best-fit</x:t>
        </x:is>
      </x:c>
      <x:c r="V58" s="5" t="inlineStr">
        <x:is>
          <x:t xml:space="preserve">In this overlap set, the control appears through a data-retention/disposal action item, so disposal is the closest direct HIPAA citation.</x:t>
        </x:is>
      </x:c>
      <x:c r="W58" s="5" t="inlineStr">
        <x:is>
          <x:t xml:space="preserve">This same internal control also appears on customer-contract rows elsewhere in the uploaded spreadsheets, but that contractual context is not the shared action item here.</x:t>
        </x:is>
      </x:c>
      <x:c r="X58" s="5" t="n"/>
    </x:row>
    <x:row r="59" ht="30" customHeight="1">
      <x:c r="A59" s="5" t="inlineStr">
        <x:is>
          <x:t xml:space="preserve">ER-108|REQ-67-HIPAA|1616.09l1Organizational.16|Data Classification, Retention and Disposal</x:t>
        </x:is>
      </x:c>
      <x:c r="B59" s="5" t="inlineStr">
        <x:is>
          <x:t xml:space="preserve">HITRUST e1.csv</x:t>
        </x:is>
      </x:c>
      <x:c r="C59" s="5" t="inlineStr">
        <x:is>
          <x:t xml:space="preserve">ER-108</x:t>
        </x:is>
      </x:c>
      <x:c r="D59" s="5" t="inlineStr">
        <x:is>
          <x:t xml:space="preserve">Policy</x:t>
        </x:is>
      </x:c>
      <x:c r="E59" s="5" t="inlineStr">
        <x:is>
          <x:t xml:space="preserve">Data Classification, Retention and Disposal</x:t>
        </x:is>
      </x:c>
      <x:c r="F59" s="5" t="inlineStr">
        <x:is>
          <x:t xml:space="preserve">REQ-67-HIPAA</x:t>
        </x:is>
      </x:c>
      <x:c r="G59" s="5" t="inlineStr">
        <x:is>
          <x:t xml:space="preserve">1616.09l1Organizational.16</x:t>
        </x:is>
      </x:c>
      <x:c r="H59" s="5" t="inlineStr">
        <x:is>
          <x:t xml:space="preserve">1616.09l1 Organizational.16</x:t>
        </x:is>
      </x:c>
      <x:c r="I59" s="5" t="inlineStr">
        <x:is>
          <x:t xml:space="preserve">Many:Many</x:t>
        </x:is>
      </x:c>
      <x:c r="J59" s="5" t="n">
        <x:v>1</x:v>
      </x:c>
      <x:c r="K59" s="5" t="inlineStr">
        <x:is>
          <x:t xml:space="preserve">45 CFR § 164.310(d)(2)(i)</x:t>
        </x:is>
      </x:c>
      <x:c r="L59" s="5" t="inlineStr">
        <x:is>
          <x:t xml:space="preserve">Device and Media Controls — Disposal</x:t>
        </x:is>
      </x:c>
      <x:c r="M59" s="5" t="n">
        <x:v>1</x:v>
      </x:c>
      <x:c r="N59" s="5" t="inlineStr">
        <x:is>
          <x:t xml:space="preserve">45 C.F.R. § 164.310(d)(2)(i)</x:t>
        </x:is>
      </x:c>
      <x:c r="O59" s="5" t="inlineStr">
        <x:is>
          <x:t xml:space="preserve">Device and Media Controls — Disposal</x:t>
        </x:is>
      </x:c>
      <x:c r="P59" s="5" t="inlineStr">
        <x:is>
          <x:t xml:space="preserve">Implement policies and procedures to address the final disposition of ePHI and the hardware or electronic media on which it is stored.</x:t>
        </x:is>
      </x:c>
      <x:c r="Q59" s="5" t="inlineStr">
        <x:is>
          <x:t xml:space="preserve">Required implementation specification</x:t>
        </x:is>
      </x:c>
      <x:c r="R59" s="5" t="inlineStr">
        <x:is>
          <x:t xml:space="preserve">Physical Safeguards</x:t>
        </x:is>
      </x:c>
      <x:c r="S59" s="28" t="inlineStr">
        <x:is>
          <x:t xml:space="preserve">https://www.ecfr.gov/current/title-45/subtitle-A/subchapter-C/part-164/section-164.310</x:t>
        </x:is>
      </x:c>
      <x:c r="T59" s="28" t="inlineStr">
        <x:is>
          <x:t xml:space="preserve">https://www.hhs.gov/hipaa/for-professionals/faq/575/what-does-hipaa-require-of-covered-entities-when-they-dispose-information/index.html</x:t>
        </x:is>
      </x:c>
      <x:c r="U59" s="5" t="inlineStr">
        <x:is>
          <x:t xml:space="preserve">Best-fit</x:t>
        </x:is>
      </x:c>
      <x:c r="V59" s="5" t="inlineStr">
        <x:is>
          <x:t xml:space="preserve">In this overlap set, the control appears through a data-retention/disposal action item, so disposal is the closest direct HIPAA citation.</x:t>
        </x:is>
      </x:c>
      <x:c r="W59" s="5" t="inlineStr">
        <x:is>
          <x:t xml:space="preserve">This same internal control also appears on customer-contract rows elsewhere in the uploaded spreadsheets, but that contractual context is not the shared action item here.</x:t>
        </x:is>
      </x:c>
      <x:c r="X59" s="5" t="n"/>
    </x:row>
    <x:row r="60" ht="30" customHeight="1">
      <x:c r="A60" s="5" t="inlineStr">
        <x:is>
          <x:t xml:space="preserve">ER-108|REQ-67-HIPAA|1767.07d1Organizational.2|Data Classification, Retention and Disposal</x:t>
        </x:is>
      </x:c>
      <x:c r="B60" s="5" t="inlineStr">
        <x:is>
          <x:t xml:space="preserve">HITRUST e1.csv</x:t>
        </x:is>
      </x:c>
      <x:c r="C60" s="5" t="inlineStr">
        <x:is>
          <x:t xml:space="preserve">ER-108</x:t>
        </x:is>
      </x:c>
      <x:c r="D60" s="5" t="inlineStr">
        <x:is>
          <x:t xml:space="preserve">Policy</x:t>
        </x:is>
      </x:c>
      <x:c r="E60" s="5" t="inlineStr">
        <x:is>
          <x:t xml:space="preserve">Data Classification, Retention and Disposal</x:t>
        </x:is>
      </x:c>
      <x:c r="F60" s="5" t="inlineStr">
        <x:is>
          <x:t xml:space="preserve">REQ-67-HIPAA</x:t>
        </x:is>
      </x:c>
      <x:c r="G60" s="5" t="inlineStr">
        <x:is>
          <x:t xml:space="preserve">1767.07d1Organizational.2</x:t>
        </x:is>
      </x:c>
      <x:c r="H60" s="5" t="inlineStr">
        <x:is>
          <x:t xml:space="preserve">1767.07d1 Organizational.2</x:t>
        </x:is>
      </x:c>
      <x:c r="I60" s="5" t="inlineStr">
        <x:is>
          <x:t xml:space="preserve">Many:Many</x:t>
        </x:is>
      </x:c>
      <x:c r="J60" s="5" t="n">
        <x:v>1</x:v>
      </x:c>
      <x:c r="K60" s="5" t="inlineStr">
        <x:is>
          <x:t xml:space="preserve">45 CFR § 164.310(d)(2)(i)</x:t>
        </x:is>
      </x:c>
      <x:c r="L60" s="5" t="inlineStr">
        <x:is>
          <x:t xml:space="preserve">Device and Media Controls — Disposal</x:t>
        </x:is>
      </x:c>
      <x:c r="M60" s="5" t="n">
        <x:v>1</x:v>
      </x:c>
      <x:c r="N60" s="5" t="inlineStr">
        <x:is>
          <x:t xml:space="preserve">45 C.F.R. § 164.310(d)(2)(i)</x:t>
        </x:is>
      </x:c>
      <x:c r="O60" s="5" t="inlineStr">
        <x:is>
          <x:t xml:space="preserve">Device and Media Controls — Disposal</x:t>
        </x:is>
      </x:c>
      <x:c r="P60" s="5" t="inlineStr">
        <x:is>
          <x:t xml:space="preserve">Implement policies and procedures to address the final disposition of ePHI and the hardware or electronic media on which it is stored.</x:t>
        </x:is>
      </x:c>
      <x:c r="Q60" s="5" t="inlineStr">
        <x:is>
          <x:t xml:space="preserve">Required implementation specification</x:t>
        </x:is>
      </x:c>
      <x:c r="R60" s="5" t="inlineStr">
        <x:is>
          <x:t xml:space="preserve">Physical Safeguards</x:t>
        </x:is>
      </x:c>
      <x:c r="S60" s="28" t="inlineStr">
        <x:is>
          <x:t xml:space="preserve">https://www.ecfr.gov/current/title-45/subtitle-A/subchapter-C/part-164/section-164.310</x:t>
        </x:is>
      </x:c>
      <x:c r="T60" s="28" t="inlineStr">
        <x:is>
          <x:t xml:space="preserve">https://www.hhs.gov/hipaa/for-professionals/faq/575/what-does-hipaa-require-of-covered-entities-when-they-dispose-information/index.html</x:t>
        </x:is>
      </x:c>
      <x:c r="U60" s="5" t="inlineStr">
        <x:is>
          <x:t xml:space="preserve">Best-fit</x:t>
        </x:is>
      </x:c>
      <x:c r="V60" s="5" t="inlineStr">
        <x:is>
          <x:t xml:space="preserve">In this overlap set, the control appears through a data-retention/disposal action item, so disposal is the closest direct HIPAA citation.</x:t>
        </x:is>
      </x:c>
      <x:c r="W60" s="5" t="inlineStr">
        <x:is>
          <x:t xml:space="preserve">This same internal control also appears on customer-contract rows elsewhere in the uploaded spreadsheets, but that contractual context is not the shared action item here.</x:t>
        </x:is>
      </x:c>
      <x:c r="X60" s="5" t="n"/>
    </x:row>
    <x:row r="61" ht="30" customHeight="1">
      <x:c r="A61" s="5" t="inlineStr">
        <x:is>
          <x:t xml:space="preserve">ER-108|REQ-67-HIPAA|19142.06c1Organizational.8|Data Classification, Retention and Disposal</x:t>
        </x:is>
      </x:c>
      <x:c r="B61" s="5" t="inlineStr">
        <x:is>
          <x:t xml:space="preserve">HITRUST e1.csv</x:t>
        </x:is>
      </x:c>
      <x:c r="C61" s="5" t="inlineStr">
        <x:is>
          <x:t xml:space="preserve">ER-108</x:t>
        </x:is>
      </x:c>
      <x:c r="D61" s="5" t="inlineStr">
        <x:is>
          <x:t xml:space="preserve">Policy</x:t>
        </x:is>
      </x:c>
      <x:c r="E61" s="5" t="inlineStr">
        <x:is>
          <x:t xml:space="preserve">Data Classification, Retention and Disposal</x:t>
        </x:is>
      </x:c>
      <x:c r="F61" s="5" t="inlineStr">
        <x:is>
          <x:t xml:space="preserve">REQ-67-HIPAA</x:t>
        </x:is>
      </x:c>
      <x:c r="G61" s="5" t="inlineStr">
        <x:is>
          <x:t xml:space="preserve">19142.06c1Organizational.8</x:t>
        </x:is>
      </x:c>
      <x:c r="H61" s="5" t="inlineStr">
        <x:is>
          <x:t xml:space="preserve">19142.06c1 Organizational.8</x:t>
        </x:is>
      </x:c>
      <x:c r="I61" s="5" t="inlineStr">
        <x:is>
          <x:t xml:space="preserve">Many:Many</x:t>
        </x:is>
      </x:c>
      <x:c r="J61" s="5" t="n">
        <x:v>1</x:v>
      </x:c>
      <x:c r="K61" s="5" t="inlineStr">
        <x:is>
          <x:t xml:space="preserve">45 CFR § 164.310(d)(2)(i)</x:t>
        </x:is>
      </x:c>
      <x:c r="L61" s="5" t="inlineStr">
        <x:is>
          <x:t xml:space="preserve">Device and Media Controls — Disposal</x:t>
        </x:is>
      </x:c>
      <x:c r="M61" s="5" t="n">
        <x:v>1</x:v>
      </x:c>
      <x:c r="N61" s="5" t="inlineStr">
        <x:is>
          <x:t xml:space="preserve">45 C.F.R. § 164.310(d)(2)(i)</x:t>
        </x:is>
      </x:c>
      <x:c r="O61" s="5" t="inlineStr">
        <x:is>
          <x:t xml:space="preserve">Device and Media Controls — Disposal</x:t>
        </x:is>
      </x:c>
      <x:c r="P61" s="5" t="inlineStr">
        <x:is>
          <x:t xml:space="preserve">Implement policies and procedures to address the final disposition of ePHI and the hardware or electronic media on which it is stored.</x:t>
        </x:is>
      </x:c>
      <x:c r="Q61" s="5" t="inlineStr">
        <x:is>
          <x:t xml:space="preserve">Required implementation specification</x:t>
        </x:is>
      </x:c>
      <x:c r="R61" s="5" t="inlineStr">
        <x:is>
          <x:t xml:space="preserve">Physical Safeguards</x:t>
        </x:is>
      </x:c>
      <x:c r="S61" s="28" t="inlineStr">
        <x:is>
          <x:t xml:space="preserve">https://www.ecfr.gov/current/title-45/subtitle-A/subchapter-C/part-164/section-164.310</x:t>
        </x:is>
      </x:c>
      <x:c r="T61" s="28" t="inlineStr">
        <x:is>
          <x:t xml:space="preserve">https://www.hhs.gov/hipaa/for-professionals/faq/575/what-does-hipaa-require-of-covered-entities-when-they-dispose-information/index.html</x:t>
        </x:is>
      </x:c>
      <x:c r="U61" s="5" t="inlineStr">
        <x:is>
          <x:t xml:space="preserve">Best-fit</x:t>
        </x:is>
      </x:c>
      <x:c r="V61" s="5" t="inlineStr">
        <x:is>
          <x:t xml:space="preserve">In this overlap set, the control appears through a data-retention/disposal action item, so disposal is the closest direct HIPAA citation.</x:t>
        </x:is>
      </x:c>
      <x:c r="W61" s="5" t="inlineStr">
        <x:is>
          <x:t xml:space="preserve">This same internal control also appears on customer-contract rows elsewhere in the uploaded spreadsheets, but that contractual context is not the shared action item here.</x:t>
        </x:is>
      </x:c>
      <x:c r="X61" s="5" t="n"/>
    </x:row>
    <x:row r="62" ht="30" customHeight="1">
      <x:c r="A62" s="5" t="inlineStr">
        <x:is>
          <x:t xml:space="preserve">ER-1|REQ-33-HIPAA|04.01x1Organizational.5|Data Encryption at Rest</x:t>
        </x:is>
      </x:c>
      <x:c r="B62" s="5" t="inlineStr">
        <x:is>
          <x:t xml:space="preserve">HITRUST e1.csv</x:t>
        </x:is>
      </x:c>
      <x:c r="C62" s="5" t="inlineStr">
        <x:is>
          <x:t xml:space="preserve">ER-1</x:t>
        </x:is>
      </x:c>
      <x:c r="D62" s="5" t="inlineStr">
        <x:is>
          <x:t xml:space="preserve">Configuration</x:t>
        </x:is>
      </x:c>
      <x:c r="E62" s="5" t="inlineStr">
        <x:is>
          <x:t xml:space="preserve">Data Encryption at Rest</x:t>
        </x:is>
      </x:c>
      <x:c r="F62" s="5" t="inlineStr">
        <x:is>
          <x:t xml:space="preserve">REQ-33-HIPAA</x:t>
        </x:is>
      </x:c>
      <x:c r="G62" s="5" t="inlineStr">
        <x:is>
          <x:t xml:space="preserve">04.01x1Organizational.5</x:t>
        </x:is>
      </x:c>
      <x:c r="H62" s="5" t="inlineStr">
        <x:is>
          <x:t xml:space="preserve">04.01x1 Organizational.5</x:t>
        </x:is>
      </x:c>
      <x:c r="I62" s="5" t="inlineStr">
        <x:is>
          <x:t xml:space="preserve">Many:Many</x:t>
        </x:is>
      </x:c>
      <x:c r="J62" s="5" t="n">
        <x:v>2</x:v>
      </x:c>
      <x:c r="K62" s="5" t="inlineStr">
        <x:is>
          <x:t xml:space="preserve">45 CFR § 164.312(a)(2)(iv)</x:t>
        </x:is>
      </x:c>
      <x:c r="L62" s="5" t="inlineStr">
        <x:is>
          <x:t xml:space="preserve">Access Control — Encryption and Decryption</x:t>
        </x:is>
      </x:c>
      <x:c r="M62" s="5" t="n">
        <x:v>1</x:v>
      </x:c>
      <x:c r="N62" s="5" t="inlineStr">
        <x:is>
          <x:t xml:space="preserve">45 C.F.R. § 164.312(a)(2)(iv)</x:t>
        </x:is>
      </x:c>
      <x:c r="O62" s="5" t="inlineStr">
        <x:is>
          <x:t xml:space="preserve">Access Control — Encryption and Decryption</x:t>
        </x:is>
      </x:c>
      <x:c r="P62" s="5" t="inlineStr">
        <x:is>
          <x:t xml:space="preserve">Implement a mechanism to encrypt and decrypt ePHI.</x:t>
        </x:is>
      </x:c>
      <x:c r="Q62" s="5" t="inlineStr">
        <x:is>
          <x:t xml:space="preserve">Addressable implementation specification</x:t>
        </x:is>
      </x:c>
      <x:c r="R62" s="5" t="inlineStr">
        <x:is>
          <x:t xml:space="preserve">Technical Safeguards</x:t>
        </x:is>
      </x:c>
      <x:c r="S62" s="28" t="inlineStr">
        <x:is>
          <x:t xml:space="preserve">https://www.ecfr.gov/current/title-45/subtitle-A/subchapter-C/part-164/section-164.312</x:t>
        </x:is>
      </x:c>
      <x:c r="T62" s="28" t="inlineStr">
        <x:is>
          <x:t xml:space="preserve">https://www.hhs.gov/hipaa/for-professionals/faq/2001/is-the-use-of-encryption-mandatory-in-the-security-rule/index.html</x:t>
        </x:is>
      </x:c>
      <x:c r="U62" s="5" t="inlineStr">
        <x:is>
          <x:t xml:space="preserve">Direct</x:t>
        </x:is>
      </x:c>
      <x:c r="V62" s="5" t="inlineStr">
        <x:is>
          <x:t xml:space="preserve">At-rest encryption evidence aligns directly to the encryption/decryption implementation specification under access control.</x:t>
        </x:is>
      </x:c>
      <x:c r="W62" s="5" t="inlineStr">
        <x:is>
          <x:t xml:space="preserve">Used when the shared action item is explicitly at-rest encryption.</x:t>
        </x:is>
      </x:c>
      <x:c r="X62" s="5" t="n"/>
    </x:row>
    <x:row r="63" ht="30" customHeight="1">
      <x:c r="A63" s="5" t="inlineStr">
        <x:is>
          <x:t xml:space="preserve">ER-1|REQ-33-HIPAA|1903.06d1Organizational.3456711|Data Encryption at Rest</x:t>
        </x:is>
      </x:c>
      <x:c r="B63" s="5" t="inlineStr">
        <x:is>
          <x:t xml:space="preserve">HITRUST e1.csv</x:t>
        </x:is>
      </x:c>
      <x:c r="C63" s="5" t="inlineStr">
        <x:is>
          <x:t xml:space="preserve">ER-1</x:t>
        </x:is>
      </x:c>
      <x:c r="D63" s="5" t="inlineStr">
        <x:is>
          <x:t xml:space="preserve">Configuration</x:t>
        </x:is>
      </x:c>
      <x:c r="E63" s="5" t="inlineStr">
        <x:is>
          <x:t xml:space="preserve">Data Encryption at Rest</x:t>
        </x:is>
      </x:c>
      <x:c r="F63" s="5" t="inlineStr">
        <x:is>
          <x:t xml:space="preserve">REQ-33-HIPAA</x:t>
        </x:is>
      </x:c>
      <x:c r="G63" s="5" t="inlineStr">
        <x:is>
          <x:t xml:space="preserve">1903.06d1Organizational.3456711</x:t>
        </x:is>
      </x:c>
      <x:c r="H63" s="5" t="inlineStr">
        <x:is>
          <x:t xml:space="preserve">1903.06d1 Organizational.3456711</x:t>
        </x:is>
      </x:c>
      <x:c r="I63" s="5" t="inlineStr">
        <x:is>
          <x:t xml:space="preserve">Many:Many</x:t>
        </x:is>
      </x:c>
      <x:c r="J63" s="5" t="n">
        <x:v>1</x:v>
      </x:c>
      <x:c r="K63" s="5" t="inlineStr">
        <x:is>
          <x:t xml:space="preserve">45 CFR § 164.312(a)(2)(iv)</x:t>
        </x:is>
      </x:c>
      <x:c r="L63" s="5" t="inlineStr">
        <x:is>
          <x:t xml:space="preserve">Access Control — Encryption and Decryption</x:t>
        </x:is>
      </x:c>
      <x:c r="M63" s="5" t="n">
        <x:v>1</x:v>
      </x:c>
      <x:c r="N63" s="5" t="inlineStr">
        <x:is>
          <x:t xml:space="preserve">45 C.F.R. § 164.312(a)(2)(iv)</x:t>
        </x:is>
      </x:c>
      <x:c r="O63" s="5" t="inlineStr">
        <x:is>
          <x:t xml:space="preserve">Access Control — Encryption and Decryption</x:t>
        </x:is>
      </x:c>
      <x:c r="P63" s="5" t="inlineStr">
        <x:is>
          <x:t xml:space="preserve">Implement a mechanism to encrypt and decrypt ePHI.</x:t>
        </x:is>
      </x:c>
      <x:c r="Q63" s="5" t="inlineStr">
        <x:is>
          <x:t xml:space="preserve">Addressable implementation specification</x:t>
        </x:is>
      </x:c>
      <x:c r="R63" s="5" t="inlineStr">
        <x:is>
          <x:t xml:space="preserve">Technical Safeguards</x:t>
        </x:is>
      </x:c>
      <x:c r="S63" s="28" t="inlineStr">
        <x:is>
          <x:t xml:space="preserve">https://www.ecfr.gov/current/title-45/subtitle-A/subchapter-C/part-164/section-164.312</x:t>
        </x:is>
      </x:c>
      <x:c r="T63" s="28" t="inlineStr">
        <x:is>
          <x:t xml:space="preserve">https://www.hhs.gov/hipaa/for-professionals/faq/2001/is-the-use-of-encryption-mandatory-in-the-security-rule/index.html</x:t>
        </x:is>
      </x:c>
      <x:c r="U63" s="5" t="inlineStr">
        <x:is>
          <x:t xml:space="preserve">Direct</x:t>
        </x:is>
      </x:c>
      <x:c r="V63" s="5" t="inlineStr">
        <x:is>
          <x:t xml:space="preserve">At-rest encryption evidence aligns directly to the encryption/decryption implementation specification under access control.</x:t>
        </x:is>
      </x:c>
      <x:c r="W63" s="5" t="inlineStr">
        <x:is>
          <x:t xml:space="preserve">Used when the shared action item is explicitly at-rest encryption.</x:t>
        </x:is>
      </x:c>
      <x:c r="X63" s="5" t="n"/>
    </x:row>
    <x:row r="64" ht="30" customHeight="1">
      <x:c r="A64" s="5" t="inlineStr">
        <x:is>
          <x:t xml:space="preserve">ER-1|REQ-34-HIPAA|04.01x1Organizational.5|Data Encryption at Rest</x:t>
        </x:is>
      </x:c>
      <x:c r="B64" s="5" t="inlineStr">
        <x:is>
          <x:t xml:space="preserve">HITRUST e1.csv</x:t>
        </x:is>
      </x:c>
      <x:c r="C64" s="5" t="inlineStr">
        <x:is>
          <x:t xml:space="preserve">ER-1</x:t>
        </x:is>
      </x:c>
      <x:c r="D64" s="5" t="inlineStr">
        <x:is>
          <x:t xml:space="preserve">Configuration</x:t>
        </x:is>
      </x:c>
      <x:c r="E64" s="5" t="inlineStr">
        <x:is>
          <x:t xml:space="preserve">Data Encryption at Rest</x:t>
        </x:is>
      </x:c>
      <x:c r="F64" s="5" t="inlineStr">
        <x:is>
          <x:t xml:space="preserve">REQ-34-HIPAA</x:t>
        </x:is>
      </x:c>
      <x:c r="G64" s="5" t="inlineStr">
        <x:is>
          <x:t xml:space="preserve">04.01x1Organizational.5</x:t>
        </x:is>
      </x:c>
      <x:c r="H64" s="5" t="inlineStr">
        <x:is>
          <x:t xml:space="preserve">04.01x1 Organizational.5</x:t>
        </x:is>
      </x:c>
      <x:c r="I64" s="5" t="inlineStr">
        <x:is>
          <x:t xml:space="preserve">Many:Many</x:t>
        </x:is>
      </x:c>
      <x:c r="J64" s="5" t="n">
        <x:v>1</x:v>
      </x:c>
      <x:c r="K64" s="5" t="inlineStr">
        <x:is>
          <x:t xml:space="preserve">45 CFR § 164.312(a)(2)(iv)</x:t>
        </x:is>
      </x:c>
      <x:c r="L64" s="5" t="inlineStr">
        <x:is>
          <x:t xml:space="preserve">Access Control — Encryption and Decryption</x:t>
        </x:is>
      </x:c>
      <x:c r="M64" s="5" t="n">
        <x:v>1</x:v>
      </x:c>
      <x:c r="N64" s="5" t="inlineStr">
        <x:is>
          <x:t xml:space="preserve">45 C.F.R. § 164.312(a)(2)(iv)</x:t>
        </x:is>
      </x:c>
      <x:c r="O64" s="5" t="inlineStr">
        <x:is>
          <x:t xml:space="preserve">Access Control — Encryption and Decryption</x:t>
        </x:is>
      </x:c>
      <x:c r="P64" s="5" t="inlineStr">
        <x:is>
          <x:t xml:space="preserve">Implement a mechanism to encrypt and decrypt ePHI.</x:t>
        </x:is>
      </x:c>
      <x:c r="Q64" s="5" t="inlineStr">
        <x:is>
          <x:t xml:space="preserve">Addressable implementation specification</x:t>
        </x:is>
      </x:c>
      <x:c r="R64" s="5" t="inlineStr">
        <x:is>
          <x:t xml:space="preserve">Technical Safeguards</x:t>
        </x:is>
      </x:c>
      <x:c r="S64" s="28" t="inlineStr">
        <x:is>
          <x:t xml:space="preserve">https://www.ecfr.gov/current/title-45/subtitle-A/subchapter-C/part-164/section-164.312</x:t>
        </x:is>
      </x:c>
      <x:c r="T64" s="28" t="inlineStr">
        <x:is>
          <x:t xml:space="preserve">https://www.hhs.gov/hipaa/for-professionals/faq/2001/is-the-use-of-encryption-mandatory-in-the-security-rule/index.html</x:t>
        </x:is>
      </x:c>
      <x:c r="U64" s="5" t="inlineStr">
        <x:is>
          <x:t xml:space="preserve">Direct</x:t>
        </x:is>
      </x:c>
      <x:c r="V64" s="5" t="inlineStr">
        <x:is>
          <x:t xml:space="preserve">Control/action-item context aligns to at-rest encryption.</x:t>
        </x:is>
      </x:c>
      <x:c r="W64" s="5" t="inlineStr">
        <x:is>
          <x:t xml:space="preserve">Used for data-encryption-at-rest rows.</x:t>
        </x:is>
      </x:c>
      <x:c r="X64" s="5" t="n"/>
    </x:row>
    <x:row r="65" ht="30" customHeight="1">
      <x:c r="A65" s="5" t="inlineStr">
        <x:is>
          <x:t xml:space="preserve">ER-1|REQ-34-HIPAA|1903.06d1Organizational.3456711|Data Encryption at Rest</x:t>
        </x:is>
      </x:c>
      <x:c r="B65" s="5" t="inlineStr">
        <x:is>
          <x:t xml:space="preserve">HITRUST e1.csv</x:t>
        </x:is>
      </x:c>
      <x:c r="C65" s="5" t="inlineStr">
        <x:is>
          <x:t xml:space="preserve">ER-1</x:t>
        </x:is>
      </x:c>
      <x:c r="D65" s="5" t="inlineStr">
        <x:is>
          <x:t xml:space="preserve">Configuration</x:t>
        </x:is>
      </x:c>
      <x:c r="E65" s="5" t="inlineStr">
        <x:is>
          <x:t xml:space="preserve">Data Encryption at Rest</x:t>
        </x:is>
      </x:c>
      <x:c r="F65" s="5" t="inlineStr">
        <x:is>
          <x:t xml:space="preserve">REQ-34-HIPAA</x:t>
        </x:is>
      </x:c>
      <x:c r="G65" s="5" t="inlineStr">
        <x:is>
          <x:t xml:space="preserve">1903.06d1Organizational.3456711</x:t>
        </x:is>
      </x:c>
      <x:c r="H65" s="5" t="inlineStr">
        <x:is>
          <x:t xml:space="preserve">1903.06d1 Organizational.3456711</x:t>
        </x:is>
      </x:c>
      <x:c r="I65" s="5" t="inlineStr">
        <x:is>
          <x:t xml:space="preserve">Many:Many</x:t>
        </x:is>
      </x:c>
      <x:c r="J65" s="5" t="n">
        <x:v>1</x:v>
      </x:c>
      <x:c r="K65" s="5" t="inlineStr">
        <x:is>
          <x:t xml:space="preserve">45 CFR § 164.312(a)(2)(iv)</x:t>
        </x:is>
      </x:c>
      <x:c r="L65" s="5" t="inlineStr">
        <x:is>
          <x:t xml:space="preserve">Access Control — Encryption and Decryption</x:t>
        </x:is>
      </x:c>
      <x:c r="M65" s="5" t="n">
        <x:v>1</x:v>
      </x:c>
      <x:c r="N65" s="5" t="inlineStr">
        <x:is>
          <x:t xml:space="preserve">45 C.F.R. § 164.312(a)(2)(iv)</x:t>
        </x:is>
      </x:c>
      <x:c r="O65" s="5" t="inlineStr">
        <x:is>
          <x:t xml:space="preserve">Access Control — Encryption and Decryption</x:t>
        </x:is>
      </x:c>
      <x:c r="P65" s="5" t="inlineStr">
        <x:is>
          <x:t xml:space="preserve">Implement a mechanism to encrypt and decrypt ePHI.</x:t>
        </x:is>
      </x:c>
      <x:c r="Q65" s="5" t="inlineStr">
        <x:is>
          <x:t xml:space="preserve">Addressable implementation specification</x:t>
        </x:is>
      </x:c>
      <x:c r="R65" s="5" t="inlineStr">
        <x:is>
          <x:t xml:space="preserve">Technical Safeguards</x:t>
        </x:is>
      </x:c>
      <x:c r="S65" s="28" t="inlineStr">
        <x:is>
          <x:t xml:space="preserve">https://www.ecfr.gov/current/title-45/subtitle-A/subchapter-C/part-164/section-164.312</x:t>
        </x:is>
      </x:c>
      <x:c r="T65" s="28" t="inlineStr">
        <x:is>
          <x:t xml:space="preserve">https://www.hhs.gov/hipaa/for-professionals/faq/2001/is-the-use-of-encryption-mandatory-in-the-security-rule/index.html</x:t>
        </x:is>
      </x:c>
      <x:c r="U65" s="5" t="inlineStr">
        <x:is>
          <x:t xml:space="preserve">Direct</x:t>
        </x:is>
      </x:c>
      <x:c r="V65" s="5" t="inlineStr">
        <x:is>
          <x:t xml:space="preserve">Control/action-item context aligns to at-rest encryption.</x:t>
        </x:is>
      </x:c>
      <x:c r="W65" s="5" t="inlineStr">
        <x:is>
          <x:t xml:space="preserve">Used for data-encryption-at-rest rows.</x:t>
        </x:is>
      </x:c>
      <x:c r="X65" s="5" t="n"/>
    </x:row>
    <x:row r="66" ht="30" customHeight="1">
      <x:c r="A66" s="5" t="inlineStr">
        <x:is>
          <x:t xml:space="preserve">ER-1|REQ-35-HIPAA|04.01x1Organizational.5|Data Encryption at Rest</x:t>
        </x:is>
      </x:c>
      <x:c r="B66" s="5" t="inlineStr">
        <x:is>
          <x:t xml:space="preserve">HITRUST e1.csv</x:t>
        </x:is>
      </x:c>
      <x:c r="C66" s="5" t="inlineStr">
        <x:is>
          <x:t xml:space="preserve">ER-1</x:t>
        </x:is>
      </x:c>
      <x:c r="D66" s="5" t="inlineStr">
        <x:is>
          <x:t xml:space="preserve">Configuration</x:t>
        </x:is>
      </x:c>
      <x:c r="E66" s="5" t="inlineStr">
        <x:is>
          <x:t xml:space="preserve">Data Encryption at Rest</x:t>
        </x:is>
      </x:c>
      <x:c r="F66" s="5" t="inlineStr">
        <x:is>
          <x:t xml:space="preserve">REQ-35-HIPAA</x:t>
        </x:is>
      </x:c>
      <x:c r="G66" s="5" t="inlineStr">
        <x:is>
          <x:t xml:space="preserve">04.01x1Organizational.5</x:t>
        </x:is>
      </x:c>
      <x:c r="H66" s="5" t="inlineStr">
        <x:is>
          <x:t xml:space="preserve">04.01x1 Organizational.5</x:t>
        </x:is>
      </x:c>
      <x:c r="I66" s="5" t="inlineStr">
        <x:is>
          <x:t xml:space="preserve">Many:Many</x:t>
        </x:is>
      </x:c>
      <x:c r="J66" s="5" t="n">
        <x:v>2</x:v>
      </x:c>
      <x:c r="K66" s="5" t="inlineStr">
        <x:is>
          <x:t xml:space="preserve">45 CFR § 164.312(a)(2)(iv)</x:t>
        </x:is>
      </x:c>
      <x:c r="L66" s="5" t="inlineStr">
        <x:is>
          <x:t xml:space="preserve">Access Control — Encryption and Decryption</x:t>
        </x:is>
      </x:c>
      <x:c r="M66" s="5" t="n">
        <x:v>1</x:v>
      </x:c>
      <x:c r="N66" s="5" t="inlineStr">
        <x:is>
          <x:t xml:space="preserve">45 C.F.R. § 164.312(a)(2)(iv)</x:t>
        </x:is>
      </x:c>
      <x:c r="O66" s="5" t="inlineStr">
        <x:is>
          <x:t xml:space="preserve">Access Control — Encryption and Decryption</x:t>
        </x:is>
      </x:c>
      <x:c r="P66" s="5" t="inlineStr">
        <x:is>
          <x:t xml:space="preserve">Implement a mechanism to encrypt and decrypt ePHI.</x:t>
        </x:is>
      </x:c>
      <x:c r="Q66" s="5" t="inlineStr">
        <x:is>
          <x:t xml:space="preserve">Addressable implementation specification</x:t>
        </x:is>
      </x:c>
      <x:c r="R66" s="5" t="inlineStr">
        <x:is>
          <x:t xml:space="preserve">Technical Safeguards</x:t>
        </x:is>
      </x:c>
      <x:c r="S66" s="28" t="inlineStr">
        <x:is>
          <x:t xml:space="preserve">https://www.ecfr.gov/current/title-45/subtitle-A/subchapter-C/part-164/section-164.312</x:t>
        </x:is>
      </x:c>
      <x:c r="T66" s="28" t="inlineStr">
        <x:is>
          <x:t xml:space="preserve">https://www.hhs.gov/hipaa/for-professionals/faq/2001/is-the-use-of-encryption-mandatory-in-the-security-rule/index.html</x:t>
        </x:is>
      </x:c>
      <x:c r="U66" s="5" t="inlineStr">
        <x:is>
          <x:t xml:space="preserve">Best-fit</x:t>
        </x:is>
      </x:c>
      <x:c r="V66" s="5" t="inlineStr">
        <x:is>
          <x:t xml:space="preserve">This internal control ID also appears on an at-rest encryption row in the source spreadsheets, so the row context points to at-rest encryption even though the same control family also covers transmission encryption elsewhere.</x:t>
        </x:is>
      </x:c>
      <x:c r="W66" s="5" t="inlineStr">
        <x:is>
          <x:t xml:space="preserve">Row-context mapping takes precedence over the broader internal control family.</x:t>
        </x:is>
      </x:c>
      <x:c r="X66" s="5" t="n"/>
    </x:row>
    <x:row r="67" ht="30" customHeight="1">
      <x:c r="A67" s="5" t="inlineStr">
        <x:is>
          <x:t xml:space="preserve">ER-1|REQ-35-HIPAA|1903.06d1Organizational.3456711|Data Encryption at Rest</x:t>
        </x:is>
      </x:c>
      <x:c r="B67" s="5" t="inlineStr">
        <x:is>
          <x:t xml:space="preserve">HITRUST e1.csv</x:t>
        </x:is>
      </x:c>
      <x:c r="C67" s="5" t="inlineStr">
        <x:is>
          <x:t xml:space="preserve">ER-1</x:t>
        </x:is>
      </x:c>
      <x:c r="D67" s="5" t="inlineStr">
        <x:is>
          <x:t xml:space="preserve">Configuration</x:t>
        </x:is>
      </x:c>
      <x:c r="E67" s="5" t="inlineStr">
        <x:is>
          <x:t xml:space="preserve">Data Encryption at Rest</x:t>
        </x:is>
      </x:c>
      <x:c r="F67" s="5" t="inlineStr">
        <x:is>
          <x:t xml:space="preserve">REQ-35-HIPAA</x:t>
        </x:is>
      </x:c>
      <x:c r="G67" s="5" t="inlineStr">
        <x:is>
          <x:t xml:space="preserve">1903.06d1Organizational.3456711</x:t>
        </x:is>
      </x:c>
      <x:c r="H67" s="5" t="inlineStr">
        <x:is>
          <x:t xml:space="preserve">1903.06d1 Organizational.3456711</x:t>
        </x:is>
      </x:c>
      <x:c r="I67" s="5" t="inlineStr">
        <x:is>
          <x:t xml:space="preserve">Many:Many</x:t>
        </x:is>
      </x:c>
      <x:c r="J67" s="5" t="n">
        <x:v>1</x:v>
      </x:c>
      <x:c r="K67" s="5" t="inlineStr">
        <x:is>
          <x:t xml:space="preserve">45 CFR § 164.312(a)(2)(iv)</x:t>
        </x:is>
      </x:c>
      <x:c r="L67" s="5" t="inlineStr">
        <x:is>
          <x:t xml:space="preserve">Access Control — Encryption and Decryption</x:t>
        </x:is>
      </x:c>
      <x:c r="M67" s="5" t="n">
        <x:v>1</x:v>
      </x:c>
      <x:c r="N67" s="5" t="inlineStr">
        <x:is>
          <x:t xml:space="preserve">45 C.F.R. § 164.312(a)(2)(iv)</x:t>
        </x:is>
      </x:c>
      <x:c r="O67" s="5" t="inlineStr">
        <x:is>
          <x:t xml:space="preserve">Access Control — Encryption and Decryption</x:t>
        </x:is>
      </x:c>
      <x:c r="P67" s="5" t="inlineStr">
        <x:is>
          <x:t xml:space="preserve">Implement a mechanism to encrypt and decrypt ePHI.</x:t>
        </x:is>
      </x:c>
      <x:c r="Q67" s="5" t="inlineStr">
        <x:is>
          <x:t xml:space="preserve">Addressable implementation specification</x:t>
        </x:is>
      </x:c>
      <x:c r="R67" s="5" t="inlineStr">
        <x:is>
          <x:t xml:space="preserve">Technical Safeguards</x:t>
        </x:is>
      </x:c>
      <x:c r="S67" s="28" t="inlineStr">
        <x:is>
          <x:t xml:space="preserve">https://www.ecfr.gov/current/title-45/subtitle-A/subchapter-C/part-164/section-164.312</x:t>
        </x:is>
      </x:c>
      <x:c r="T67" s="28" t="inlineStr">
        <x:is>
          <x:t xml:space="preserve">https://www.hhs.gov/hipaa/for-professionals/faq/2001/is-the-use-of-encryption-mandatory-in-the-security-rule/index.html</x:t>
        </x:is>
      </x:c>
      <x:c r="U67" s="5" t="inlineStr">
        <x:is>
          <x:t xml:space="preserve">Best-fit</x:t>
        </x:is>
      </x:c>
      <x:c r="V67" s="5" t="inlineStr">
        <x:is>
          <x:t xml:space="preserve">This internal control ID also appears on an at-rest encryption row in the source spreadsheets, so the row context points to at-rest encryption even though the same control family also covers transmission encryption elsewhere.</x:t>
        </x:is>
      </x:c>
      <x:c r="W67" s="5" t="inlineStr">
        <x:is>
          <x:t xml:space="preserve">Row-context mapping takes precedence over the broader internal control family.</x:t>
        </x:is>
      </x:c>
      <x:c r="X67" s="5" t="n"/>
    </x:row>
    <x:row r="68" ht="30" customHeight="1">
      <x:c r="A68" s="5" t="inlineStr">
        <x:is>
          <x:t xml:space="preserve">ER-84|REQ-31-HIPAA|11143.02i1Organizational.3|Employee Termination Ticket</x:t>
        </x:is>
      </x:c>
      <x:c r="B68" s="5" t="inlineStr">
        <x:is>
          <x:t xml:space="preserve">HITRUST e1.csv</x:t>
        </x:is>
      </x:c>
      <x:c r="C68" s="5" t="inlineStr">
        <x:is>
          <x:t xml:space="preserve">ER-84</x:t>
        </x:is>
      </x:c>
      <x:c r="D68" s="5" t="inlineStr">
        <x:is>
          <x:t xml:space="preserve">Sample</x:t>
        </x:is>
      </x:c>
      <x:c r="E68" s="5" t="inlineStr">
        <x:is>
          <x:t xml:space="preserve">Employee Termination Ticket</x:t>
        </x:is>
      </x:c>
      <x:c r="F68" s="5" t="inlineStr">
        <x:is>
          <x:t xml:space="preserve">REQ-31-HIPAA</x:t>
        </x:is>
      </x:c>
      <x:c r="G68" s="5" t="inlineStr">
        <x:is>
          <x:t xml:space="preserve">11143.02i1Organizational.3</x:t>
        </x:is>
      </x:c>
      <x:c r="H68" s="5" t="inlineStr">
        <x:is>
          <x:t xml:space="preserve">11143.02i1 Organizational.3</x:t>
        </x:is>
      </x:c>
      <x:c r="I68" s="5" t="inlineStr">
        <x:is>
          <x:t xml:space="preserve">1:1</x:t>
        </x:is>
      </x:c>
      <x:c r="J68" s="5" t="n">
        <x:v>2</x:v>
      </x:c>
      <x:c r="K68" s="5" t="inlineStr">
        <x:is>
          <x:t xml:space="preserve">45 CFR § 164.308(a)(3)(ii)(C); 45 CFR § 164.316(b)(1)</x:t>
        </x:is>
      </x:c>
      <x:c r="L68" s="5" t="inlineStr">
        <x:is>
          <x:t xml:space="preserve">Workforce Security — Termination Procedures; Documentation</x:t>
        </x:is>
      </x:c>
      <x:c r="M68" s="5" t="n">
        <x:v>1</x:v>
      </x:c>
      <x:c r="N68" s="5" t="inlineStr">
        <x:is>
          <x:t xml:space="preserve">45 C.F.R. § 164.308(a)(3)(ii)(C)</x:t>
        </x:is>
      </x:c>
      <x:c r="O68" s="5" t="inlineStr">
        <x:is>
          <x:t xml:space="preserve">Workforce Security — Termination Procedures</x:t>
        </x:is>
      </x:c>
      <x:c r="P68" s="5" t="inlineStr">
        <x:is>
          <x:t xml:space="preserve">Implement procedures for terminating a workforce member’s access to ePHI when employment ends or when access should otherwise be removed.</x:t>
        </x:is>
      </x:c>
      <x:c r="Q68" s="5" t="inlineStr">
        <x:is>
          <x:t xml:space="preserve">Addressable implementation specification</x:t>
        </x:is>
      </x:c>
      <x:c r="R68" s="5" t="inlineStr">
        <x:is>
          <x:t xml:space="preserve">Administrative Safeguards</x:t>
        </x:is>
      </x:c>
      <x:c r="S68" s="28" t="inlineStr">
        <x:is>
          <x:t xml:space="preserve">https://www.ecfr.gov/current/title-45/subtitle-A/subchapter-C/part-164/section-164.308</x:t>
        </x:is>
      </x:c>
      <x:c r="T68" s="28" t="inlineStr">
        <x:is>
          <x:t xml:space="preserve">https://www.hhs.gov/hipaa/for-professionals/security/guidance/cybersecurity-newsletter-summer-2019/index.html</x:t>
        </x:is>
      </x:c>
      <x:c r="U68" s="5" t="inlineStr">
        <x:is>
          <x:t xml:space="preserve">Composite</x:t>
        </x:is>
      </x:c>
      <x:c r="V68" s="5" t="inlineStr">
        <x:is>
          <x:t xml:space="preserve">Termination tickets/population evidence align directly to terminating access and documenting the action taken.</x:t>
        </x:is>
      </x:c>
      <x:c r="W68" s="5" t="inlineStr">
        <x:is>
          <x:t xml:space="preserve">Documentation is added because the row is explicit evidence that access-removal events were carried out and recorded.</x:t>
        </x:is>
      </x:c>
      <x:c r="X68" s="5" t="n"/>
    </x:row>
    <x:row r="69" ht="30" customHeight="1">
      <x:c r="A69" s="5" t="inlineStr">
        <x:is>
          <x:t xml:space="preserve">ER-84|REQ-31-HIPAA|11143.02i1Organizational.3|Employee Termination Ticket</x:t>
        </x:is>
      </x:c>
      <x:c r="B69" s="5" t="inlineStr">
        <x:is>
          <x:t xml:space="preserve">HITRUST e1.csv</x:t>
        </x:is>
      </x:c>
      <x:c r="C69" s="5" t="inlineStr">
        <x:is>
          <x:t xml:space="preserve">ER-84</x:t>
        </x:is>
      </x:c>
      <x:c r="D69" s="5" t="inlineStr">
        <x:is>
          <x:t xml:space="preserve">Sample</x:t>
        </x:is>
      </x:c>
      <x:c r="E69" s="5" t="inlineStr">
        <x:is>
          <x:t xml:space="preserve">Employee Termination Ticket</x:t>
        </x:is>
      </x:c>
      <x:c r="F69" s="5" t="inlineStr">
        <x:is>
          <x:t xml:space="preserve">REQ-31-HIPAA</x:t>
        </x:is>
      </x:c>
      <x:c r="G69" s="5" t="inlineStr">
        <x:is>
          <x:t xml:space="preserve">11143.02i1Organizational.3</x:t>
        </x:is>
      </x:c>
      <x:c r="H69" s="5" t="inlineStr">
        <x:is>
          <x:t xml:space="preserve">11143.02i1 Organizational.3</x:t>
        </x:is>
      </x:c>
      <x:c r="I69" s="5" t="inlineStr">
        <x:is>
          <x:t xml:space="preserve">1:1</x:t>
        </x:is>
      </x:c>
      <x:c r="J69" s="5" t="n">
        <x:v>2</x:v>
      </x:c>
      <x:c r="K69" s="5" t="inlineStr">
        <x:is>
          <x:t xml:space="preserve">45 CFR § 164.308(a)(3)(ii)(C); 45 CFR § 164.316(b)(1)</x:t>
        </x:is>
      </x:c>
      <x:c r="L69" s="5" t="inlineStr">
        <x:is>
          <x:t xml:space="preserve">Workforce Security — Termination Procedures; Documentation</x:t>
        </x:is>
      </x:c>
      <x:c r="M69" s="5" t="n">
        <x:v>2</x:v>
      </x:c>
      <x:c r="N69" s="5" t="inlineStr">
        <x:is>
          <x:t xml:space="preserve">45 C.F.R. § 164.316(b)(1)</x:t>
        </x:is>
      </x:c>
      <x:c r="O69" s="5" t="inlineStr">
        <x:is>
          <x:t xml:space="preserve">Documentation</x:t>
        </x:is>
      </x:c>
      <x:c r="P69" s="5" t="inlineStr">
        <x:is>
          <x:t xml:space="preserve">Maintain written or electronic policies and procedures implemented to comply with the Security Rule and written or electronic records of required actions, activities, and assessments.</x:t>
        </x:is>
      </x:c>
      <x:c r="Q69" s="5" t="inlineStr">
        <x:is>
          <x:t xml:space="preserve">Standard</x:t>
        </x:is>
      </x:c>
      <x:c r="R69" s="5" t="inlineStr">
        <x:is>
          <x:t xml:space="preserve">Policies / Documentation</x:t>
        </x:is>
      </x:c>
      <x:c r="S69" s="28" t="inlineStr">
        <x:is>
          <x:t xml:space="preserve">https://www.ecfr.gov/current/title-45/subtitle-A/subchapter-C/part-164/section-164.316</x:t>
        </x:is>
      </x:c>
      <x:c r="T69" s="28" t="inlineStr">
        <x:is>
          <x:t xml:space="preserve">https://www.hhs.gov/sites/default/files/ocr/privacy/hipaa/administrative/securityrule/pprequirements.pdf</x:t>
        </x:is>
      </x:c>
      <x:c r="U69" s="5" t="inlineStr">
        <x:is>
          <x:t xml:space="preserve">Composite</x:t>
        </x:is>
      </x:c>
      <x:c r="V69" s="5" t="inlineStr">
        <x:is>
          <x:t xml:space="preserve">Termination tickets/population evidence align directly to terminating access and documenting the action taken.</x:t>
        </x:is>
      </x:c>
      <x:c r="W69" s="5" t="inlineStr">
        <x:is>
          <x:t xml:space="preserve">Documentation is added because the row is explicit evidence that access-removal events were carried out and recorded.</x:t>
        </x:is>
      </x:c>
      <x:c r="X69" s="5" t="n"/>
    </x:row>
    <x:row r="70" ht="30" customHeight="1">
      <x:c r="A70" s="5" t="inlineStr">
        <x:is>
          <x:t xml:space="preserve">ER-3|REQ-33-HIPAA|04.01x1Organizational.5|Encryption In Transit (Ex. TLS Protocols)</x:t>
        </x:is>
      </x:c>
      <x:c r="B70" s="5" t="inlineStr">
        <x:is>
          <x:t xml:space="preserve">HITRUST e1.csv</x:t>
        </x:is>
      </x:c>
      <x:c r="C70" s="5" t="inlineStr">
        <x:is>
          <x:t xml:space="preserve">ER-3</x:t>
        </x:is>
      </x:c>
      <x:c r="D70" s="5" t="inlineStr">
        <x:is>
          <x:t xml:space="preserve">Configuration</x:t>
        </x:is>
      </x:c>
      <x:c r="E70" s="5" t="inlineStr">
        <x:is>
          <x:t xml:space="preserve">Encryption In Transit (Ex. TLS Protocols)</x:t>
        </x:is>
      </x:c>
      <x:c r="F70" s="5" t="inlineStr">
        <x:is>
          <x:t xml:space="preserve">REQ-33-HIPAA</x:t>
        </x:is>
      </x:c>
      <x:c r="G70" s="5" t="inlineStr">
        <x:is>
          <x:t xml:space="preserve">04.01x1Organizational.5</x:t>
        </x:is>
      </x:c>
      <x:c r="H70" s="5" t="inlineStr">
        <x:is>
          <x:t xml:space="preserve">04.01x1 Organizational.5</x:t>
        </x:is>
      </x:c>
      <x:c r="I70" s="5" t="inlineStr">
        <x:is>
          <x:t xml:space="preserve">Many:Many</x:t>
        </x:is>
      </x:c>
      <x:c r="J70" s="5" t="n">
        <x:v>2</x:v>
      </x:c>
      <x:c r="K70" s="5" t="inlineStr">
        <x:is>
          <x:t xml:space="preserve">45 CFR § 164.312(e)(2)(ii)</x:t>
        </x:is>
      </x:c>
      <x:c r="L70" s="5" t="inlineStr">
        <x:is>
          <x:t xml:space="preserve">Transmission Security — Encryption</x:t>
        </x:is>
      </x:c>
      <x:c r="M70" s="5" t="n">
        <x:v>1</x:v>
      </x:c>
      <x:c r="N70" s="5" t="inlineStr">
        <x:is>
          <x:t xml:space="preserve">45 C.F.R. § 164.312(e)(2)(ii)</x:t>
        </x:is>
      </x:c>
      <x:c r="O70" s="5" t="inlineStr">
        <x:is>
          <x:t xml:space="preserve">Transmission Security — Encryption</x:t>
        </x:is>
      </x:c>
      <x:c r="P70" s="5" t="inlineStr">
        <x:is>
          <x:t xml:space="preserve">Implement a mechanism to encrypt ePHI whenever deemed appropriate during electronic transmission.</x:t>
        </x:is>
      </x:c>
      <x:c r="Q70" s="5" t="inlineStr">
        <x:is>
          <x:t xml:space="preserve">Addressable implementation specification</x:t>
        </x:is>
      </x:c>
      <x:c r="R70" s="5" t="inlineStr">
        <x:is>
          <x:t xml:space="preserve">Technical Safeguards</x:t>
        </x:is>
      </x:c>
      <x:c r="S70" s="28" t="inlineStr">
        <x:is>
          <x:t xml:space="preserve">https://www.ecfr.gov/current/title-45/subtitle-A/subchapter-C/part-164/section-164.312</x:t>
        </x:is>
      </x:c>
      <x:c r="T70" s="28" t="inlineStr">
        <x:is>
          <x:t xml:space="preserve">https://www.hhs.gov/hipaa/for-professionals/faq/2001/is-the-use-of-encryption-mandatory-in-the-security-rule/index.html</x:t>
        </x:is>
      </x:c>
      <x:c r="U70" s="5" t="inlineStr">
        <x:is>
          <x:t xml:space="preserve">Direct</x:t>
        </x:is>
      </x:c>
      <x:c r="V70" s="5" t="inlineStr">
        <x:is>
          <x:t xml:space="preserve">Transmission-encryption evidence aligns directly to the transmission-security encryption implementation specification.</x:t>
        </x:is>
      </x:c>
      <x:c r="W70" s="5" t="inlineStr">
        <x:is>
          <x:t xml:space="preserve">Used when the shared action item is explicitly in-transit encryption.</x:t>
        </x:is>
      </x:c>
      <x:c r="X70" s="5" t="n"/>
    </x:row>
    <x:row r="71" ht="30" customHeight="1">
      <x:c r="A71" s="5" t="inlineStr">
        <x:is>
          <x:t xml:space="preserve">ER-3|REQ-33-HIPAA|0862.09m2Organizational.8|Encryption In Transit (Ex. TLS Protocols)</x:t>
        </x:is>
      </x:c>
      <x:c r="B71" s="5" t="inlineStr">
        <x:is>
          <x:t xml:space="preserve">HITRUST e1.csv</x:t>
        </x:is>
      </x:c>
      <x:c r="C71" s="5" t="inlineStr">
        <x:is>
          <x:t xml:space="preserve">ER-3</x:t>
        </x:is>
      </x:c>
      <x:c r="D71" s="5" t="inlineStr">
        <x:is>
          <x:t xml:space="preserve">Configuration</x:t>
        </x:is>
      </x:c>
      <x:c r="E71" s="5" t="inlineStr">
        <x:is>
          <x:t xml:space="preserve">Encryption In Transit (Ex. TLS Protocols)</x:t>
        </x:is>
      </x:c>
      <x:c r="F71" s="5" t="inlineStr">
        <x:is>
          <x:t xml:space="preserve">REQ-33-HIPAA</x:t>
        </x:is>
      </x:c>
      <x:c r="G71" s="5" t="inlineStr">
        <x:is>
          <x:t xml:space="preserve">0862.09m2Organizational.8</x:t>
        </x:is>
      </x:c>
      <x:c r="H71" s="5" t="inlineStr">
        <x:is>
          <x:t xml:space="preserve">0862.09m2 Organizational.8</x:t>
        </x:is>
      </x:c>
      <x:c r="I71" s="5" t="inlineStr">
        <x:is>
          <x:t xml:space="preserve">Many:Many</x:t>
        </x:is>
      </x:c>
      <x:c r="J71" s="5" t="n">
        <x:v>1</x:v>
      </x:c>
      <x:c r="K71" s="5" t="inlineStr">
        <x:is>
          <x:t xml:space="preserve">45 CFR § 164.312(e)(2)(ii)</x:t>
        </x:is>
      </x:c>
      <x:c r="L71" s="5" t="inlineStr">
        <x:is>
          <x:t xml:space="preserve">Transmission Security — Encryption</x:t>
        </x:is>
      </x:c>
      <x:c r="M71" s="5" t="n">
        <x:v>1</x:v>
      </x:c>
      <x:c r="N71" s="5" t="inlineStr">
        <x:is>
          <x:t xml:space="preserve">45 C.F.R. § 164.312(e)(2)(ii)</x:t>
        </x:is>
      </x:c>
      <x:c r="O71" s="5" t="inlineStr">
        <x:is>
          <x:t xml:space="preserve">Transmission Security — Encryption</x:t>
        </x:is>
      </x:c>
      <x:c r="P71" s="5" t="inlineStr">
        <x:is>
          <x:t xml:space="preserve">Implement a mechanism to encrypt ePHI whenever deemed appropriate during electronic transmission.</x:t>
        </x:is>
      </x:c>
      <x:c r="Q71" s="5" t="inlineStr">
        <x:is>
          <x:t xml:space="preserve">Addressable implementation specification</x:t>
        </x:is>
      </x:c>
      <x:c r="R71" s="5" t="inlineStr">
        <x:is>
          <x:t xml:space="preserve">Technical Safeguards</x:t>
        </x:is>
      </x:c>
      <x:c r="S71" s="28" t="inlineStr">
        <x:is>
          <x:t xml:space="preserve">https://www.ecfr.gov/current/title-45/subtitle-A/subchapter-C/part-164/section-164.312</x:t>
        </x:is>
      </x:c>
      <x:c r="T71" s="28" t="inlineStr">
        <x:is>
          <x:t xml:space="preserve">https://www.hhs.gov/hipaa/for-professionals/faq/2001/is-the-use-of-encryption-mandatory-in-the-security-rule/index.html</x:t>
        </x:is>
      </x:c>
      <x:c r="U71" s="5" t="inlineStr">
        <x:is>
          <x:t xml:space="preserve">Direct</x:t>
        </x:is>
      </x:c>
      <x:c r="V71" s="5" t="inlineStr">
        <x:is>
          <x:t xml:space="preserve">Transmission-encryption evidence aligns directly to the transmission-security encryption implementation specification.</x:t>
        </x:is>
      </x:c>
      <x:c r="W71" s="5" t="inlineStr">
        <x:is>
          <x:t xml:space="preserve">Used when the shared action item is explicitly in-transit encryption.</x:t>
        </x:is>
      </x:c>
      <x:c r="X71" s="5" t="n"/>
    </x:row>
    <x:row r="72" ht="30" customHeight="1">
      <x:c r="A72" s="5" t="inlineStr">
        <x:is>
          <x:t xml:space="preserve">ER-3|REQ-33-HIPAA|0903.10f1Organizational.1.a|Encryption In Transit (Ex. TLS Protocols)</x:t>
        </x:is>
      </x:c>
      <x:c r="B72" s="5" t="inlineStr">
        <x:is>
          <x:t xml:space="preserve">HITRUST e1.csv</x:t>
        </x:is>
      </x:c>
      <x:c r="C72" s="5" t="inlineStr">
        <x:is>
          <x:t xml:space="preserve">ER-3</x:t>
        </x:is>
      </x:c>
      <x:c r="D72" s="5" t="inlineStr">
        <x:is>
          <x:t xml:space="preserve">Configuration</x:t>
        </x:is>
      </x:c>
      <x:c r="E72" s="5" t="inlineStr">
        <x:is>
          <x:t xml:space="preserve">Encryption In Transit (Ex. TLS Protocols)</x:t>
        </x:is>
      </x:c>
      <x:c r="F72" s="5" t="inlineStr">
        <x:is>
          <x:t xml:space="preserve">REQ-33-HIPAA</x:t>
        </x:is>
      </x:c>
      <x:c r="G72" s="5" t="inlineStr">
        <x:is>
          <x:t xml:space="preserve">0903.10f1Organizational.1.a</x:t>
        </x:is>
      </x:c>
      <x:c r="H72" s="5" t="inlineStr">
        <x:is>
          <x:t xml:space="preserve">0903.10f1 Organizational.1.a</x:t>
        </x:is>
      </x:c>
      <x:c r="I72" s="5" t="inlineStr">
        <x:is>
          <x:t xml:space="preserve">Many:Many</x:t>
        </x:is>
      </x:c>
      <x:c r="J72" s="5" t="n">
        <x:v>1</x:v>
      </x:c>
      <x:c r="K72" s="5" t="inlineStr">
        <x:is>
          <x:t xml:space="preserve">45 CFR § 164.312(e)(2)(ii)</x:t>
        </x:is>
      </x:c>
      <x:c r="L72" s="5" t="inlineStr">
        <x:is>
          <x:t xml:space="preserve">Transmission Security — Encryption</x:t>
        </x:is>
      </x:c>
      <x:c r="M72" s="5" t="n">
        <x:v>1</x:v>
      </x:c>
      <x:c r="N72" s="5" t="inlineStr">
        <x:is>
          <x:t xml:space="preserve">45 C.F.R. § 164.312(e)(2)(ii)</x:t>
        </x:is>
      </x:c>
      <x:c r="O72" s="5" t="inlineStr">
        <x:is>
          <x:t xml:space="preserve">Transmission Security — Encryption</x:t>
        </x:is>
      </x:c>
      <x:c r="P72" s="5" t="inlineStr">
        <x:is>
          <x:t xml:space="preserve">Implement a mechanism to encrypt ePHI whenever deemed appropriate during electronic transmission.</x:t>
        </x:is>
      </x:c>
      <x:c r="Q72" s="5" t="inlineStr">
        <x:is>
          <x:t xml:space="preserve">Addressable implementation specification</x:t>
        </x:is>
      </x:c>
      <x:c r="R72" s="5" t="inlineStr">
        <x:is>
          <x:t xml:space="preserve">Technical Safeguards</x:t>
        </x:is>
      </x:c>
      <x:c r="S72" s="28" t="inlineStr">
        <x:is>
          <x:t xml:space="preserve">https://www.ecfr.gov/current/title-45/subtitle-A/subchapter-C/part-164/section-164.312</x:t>
        </x:is>
      </x:c>
      <x:c r="T72" s="28" t="inlineStr">
        <x:is>
          <x:t xml:space="preserve">https://www.hhs.gov/hipaa/for-professionals/faq/2001/is-the-use-of-encryption-mandatory-in-the-security-rule/index.html</x:t>
        </x:is>
      </x:c>
      <x:c r="U72" s="5" t="inlineStr">
        <x:is>
          <x:t xml:space="preserve">Direct</x:t>
        </x:is>
      </x:c>
      <x:c r="V72" s="5" t="inlineStr">
        <x:is>
          <x:t xml:space="preserve">Transmission-encryption evidence aligns directly to the transmission-security encryption implementation specification.</x:t>
        </x:is>
      </x:c>
      <x:c r="W72" s="5" t="inlineStr">
        <x:is>
          <x:t xml:space="preserve">Used when the shared action item is explicitly in-transit encryption.</x:t>
        </x:is>
      </x:c>
      <x:c r="X72" s="5" t="n"/>
    </x:row>
    <x:row r="73" ht="30" customHeight="1">
      <x:c r="A73" s="5" t="inlineStr">
        <x:is>
          <x:t xml:space="preserve">ER-3|REQ-33-HIPAA|0913.09s1Organizational.5|Encryption In Transit (Ex. TLS Protocols)</x:t>
        </x:is>
      </x:c>
      <x:c r="B73" s="5" t="inlineStr">
        <x:is>
          <x:t xml:space="preserve">HITRUST e1.csv</x:t>
        </x:is>
      </x:c>
      <x:c r="C73" s="5" t="inlineStr">
        <x:is>
          <x:t xml:space="preserve">ER-3</x:t>
        </x:is>
      </x:c>
      <x:c r="D73" s="5" t="inlineStr">
        <x:is>
          <x:t xml:space="preserve">Configuration</x:t>
        </x:is>
      </x:c>
      <x:c r="E73" s="5" t="inlineStr">
        <x:is>
          <x:t xml:space="preserve">Encryption In Transit (Ex. TLS Protocols)</x:t>
        </x:is>
      </x:c>
      <x:c r="F73" s="5" t="inlineStr">
        <x:is>
          <x:t xml:space="preserve">REQ-33-HIPAA</x:t>
        </x:is>
      </x:c>
      <x:c r="G73" s="5" t="inlineStr">
        <x:is>
          <x:t xml:space="preserve">0913.09s1Organizational.5</x:t>
        </x:is>
      </x:c>
      <x:c r="H73" s="5" t="inlineStr">
        <x:is>
          <x:t xml:space="preserve">0913.09s1 Organizational.5</x:t>
        </x:is>
      </x:c>
      <x:c r="I73" s="5" t="inlineStr">
        <x:is>
          <x:t xml:space="preserve">Many:Many</x:t>
        </x:is>
      </x:c>
      <x:c r="J73" s="5" t="n">
        <x:v>1</x:v>
      </x:c>
      <x:c r="K73" s="5" t="inlineStr">
        <x:is>
          <x:t xml:space="preserve">45 CFR § 164.312(e)(2)(ii)</x:t>
        </x:is>
      </x:c>
      <x:c r="L73" s="5" t="inlineStr">
        <x:is>
          <x:t xml:space="preserve">Transmission Security — Encryption</x:t>
        </x:is>
      </x:c>
      <x:c r="M73" s="5" t="n">
        <x:v>1</x:v>
      </x:c>
      <x:c r="N73" s="5" t="inlineStr">
        <x:is>
          <x:t xml:space="preserve">45 C.F.R. § 164.312(e)(2)(ii)</x:t>
        </x:is>
      </x:c>
      <x:c r="O73" s="5" t="inlineStr">
        <x:is>
          <x:t xml:space="preserve">Transmission Security — Encryption</x:t>
        </x:is>
      </x:c>
      <x:c r="P73" s="5" t="inlineStr">
        <x:is>
          <x:t xml:space="preserve">Implement a mechanism to encrypt ePHI whenever deemed appropriate during electronic transmission.</x:t>
        </x:is>
      </x:c>
      <x:c r="Q73" s="5" t="inlineStr">
        <x:is>
          <x:t xml:space="preserve">Addressable implementation specification</x:t>
        </x:is>
      </x:c>
      <x:c r="R73" s="5" t="inlineStr">
        <x:is>
          <x:t xml:space="preserve">Technical Safeguards</x:t>
        </x:is>
      </x:c>
      <x:c r="S73" s="28" t="inlineStr">
        <x:is>
          <x:t xml:space="preserve">https://www.ecfr.gov/current/title-45/subtitle-A/subchapter-C/part-164/section-164.312</x:t>
        </x:is>
      </x:c>
      <x:c r="T73" s="28" t="inlineStr">
        <x:is>
          <x:t xml:space="preserve">https://www.hhs.gov/hipaa/for-professionals/faq/2001/is-the-use-of-encryption-mandatory-in-the-security-rule/index.html</x:t>
        </x:is>
      </x:c>
      <x:c r="U73" s="5" t="inlineStr">
        <x:is>
          <x:t xml:space="preserve">Direct</x:t>
        </x:is>
      </x:c>
      <x:c r="V73" s="5" t="inlineStr">
        <x:is>
          <x:t xml:space="preserve">Transmission-encryption evidence aligns directly to the transmission-security encryption implementation specification.</x:t>
        </x:is>
      </x:c>
      <x:c r="W73" s="5" t="inlineStr">
        <x:is>
          <x:t xml:space="preserve">Used when the shared action item is explicitly in-transit encryption.</x:t>
        </x:is>
      </x:c>
      <x:c r="X73" s="5" t="n"/>
    </x:row>
    <x:row r="74" ht="30" customHeight="1">
      <x:c r="A74" s="5" t="inlineStr">
        <x:is>
          <x:t xml:space="preserve">ER-3|REQ-33-HIPAA|0928.09v2Organizational.1|Encryption In Transit (Ex. TLS Protocols)</x:t>
        </x:is>
      </x:c>
      <x:c r="B74" s="5" t="inlineStr">
        <x:is>
          <x:t xml:space="preserve">HITRUST e1.csv</x:t>
        </x:is>
      </x:c>
      <x:c r="C74" s="5" t="inlineStr">
        <x:is>
          <x:t xml:space="preserve">ER-3</x:t>
        </x:is>
      </x:c>
      <x:c r="D74" s="5" t="inlineStr">
        <x:is>
          <x:t xml:space="preserve">Configuration</x:t>
        </x:is>
      </x:c>
      <x:c r="E74" s="5" t="inlineStr">
        <x:is>
          <x:t xml:space="preserve">Encryption In Transit (Ex. TLS Protocols)</x:t>
        </x:is>
      </x:c>
      <x:c r="F74" s="5" t="inlineStr">
        <x:is>
          <x:t xml:space="preserve">REQ-33-HIPAA</x:t>
        </x:is>
      </x:c>
      <x:c r="G74" s="5" t="inlineStr">
        <x:is>
          <x:t xml:space="preserve">0928.09v2Organizational.1</x:t>
        </x:is>
      </x:c>
      <x:c r="H74" s="5" t="inlineStr">
        <x:is>
          <x:t xml:space="preserve">0928.09v2 Organizational.1</x:t>
        </x:is>
      </x:c>
      <x:c r="I74" s="5" t="inlineStr">
        <x:is>
          <x:t xml:space="preserve">Many:Many</x:t>
        </x:is>
      </x:c>
      <x:c r="J74" s="5" t="n">
        <x:v>1</x:v>
      </x:c>
      <x:c r="K74" s="5" t="inlineStr">
        <x:is>
          <x:t xml:space="preserve">45 CFR § 164.312(e)(2)(ii)</x:t>
        </x:is>
      </x:c>
      <x:c r="L74" s="5" t="inlineStr">
        <x:is>
          <x:t xml:space="preserve">Transmission Security — Encryption</x:t>
        </x:is>
      </x:c>
      <x:c r="M74" s="5" t="n">
        <x:v>1</x:v>
      </x:c>
      <x:c r="N74" s="5" t="inlineStr">
        <x:is>
          <x:t xml:space="preserve">45 C.F.R. § 164.312(e)(2)(ii)</x:t>
        </x:is>
      </x:c>
      <x:c r="O74" s="5" t="inlineStr">
        <x:is>
          <x:t xml:space="preserve">Transmission Security — Encryption</x:t>
        </x:is>
      </x:c>
      <x:c r="P74" s="5" t="inlineStr">
        <x:is>
          <x:t xml:space="preserve">Implement a mechanism to encrypt ePHI whenever deemed appropriate during electronic transmission.</x:t>
        </x:is>
      </x:c>
      <x:c r="Q74" s="5" t="inlineStr">
        <x:is>
          <x:t xml:space="preserve">Addressable implementation specification</x:t>
        </x:is>
      </x:c>
      <x:c r="R74" s="5" t="inlineStr">
        <x:is>
          <x:t xml:space="preserve">Technical Safeguards</x:t>
        </x:is>
      </x:c>
      <x:c r="S74" s="28" t="inlineStr">
        <x:is>
          <x:t xml:space="preserve">https://www.ecfr.gov/current/title-45/subtitle-A/subchapter-C/part-164/section-164.312</x:t>
        </x:is>
      </x:c>
      <x:c r="T74" s="28" t="inlineStr">
        <x:is>
          <x:t xml:space="preserve">https://www.hhs.gov/hipaa/for-professionals/faq/2001/is-the-use-of-encryption-mandatory-in-the-security-rule/index.html</x:t>
        </x:is>
      </x:c>
      <x:c r="U74" s="5" t="inlineStr">
        <x:is>
          <x:t xml:space="preserve">Direct</x:t>
        </x:is>
      </x:c>
      <x:c r="V74" s="5" t="inlineStr">
        <x:is>
          <x:t xml:space="preserve">Transmission-encryption evidence aligns directly to the transmission-security encryption implementation specification.</x:t>
        </x:is>
      </x:c>
      <x:c r="W74" s="5" t="inlineStr">
        <x:is>
          <x:t xml:space="preserve">Used when the shared action item is explicitly in-transit encryption.</x:t>
        </x:is>
      </x:c>
      <x:c r="X74" s="5" t="n"/>
    </x:row>
    <x:row r="75" ht="30" customHeight="1">
      <x:c r="A75" s="5" t="inlineStr">
        <x:is>
          <x:t xml:space="preserve">ER-3|REQ-33-HIPAA|0945.09y1Organizational.3|Encryption In Transit (Ex. TLS Protocols)</x:t>
        </x:is>
      </x:c>
      <x:c r="B75" s="5" t="inlineStr">
        <x:is>
          <x:t xml:space="preserve">HITRUST e1.csv</x:t>
        </x:is>
      </x:c>
      <x:c r="C75" s="5" t="inlineStr">
        <x:is>
          <x:t xml:space="preserve">ER-3</x:t>
        </x:is>
      </x:c>
      <x:c r="D75" s="5" t="inlineStr">
        <x:is>
          <x:t xml:space="preserve">Configuration</x:t>
        </x:is>
      </x:c>
      <x:c r="E75" s="5" t="inlineStr">
        <x:is>
          <x:t xml:space="preserve">Encryption In Transit (Ex. TLS Protocols)</x:t>
        </x:is>
      </x:c>
      <x:c r="F75" s="5" t="inlineStr">
        <x:is>
          <x:t xml:space="preserve">REQ-33-HIPAA</x:t>
        </x:is>
      </x:c>
      <x:c r="G75" s="5" t="inlineStr">
        <x:is>
          <x:t xml:space="preserve">0945.09y1Organizational.3</x:t>
        </x:is>
      </x:c>
      <x:c r="H75" s="5" t="inlineStr">
        <x:is>
          <x:t xml:space="preserve">0945.09y1 Organizational.3</x:t>
        </x:is>
      </x:c>
      <x:c r="I75" s="5" t="inlineStr">
        <x:is>
          <x:t xml:space="preserve">Many:Many</x:t>
        </x:is>
      </x:c>
      <x:c r="J75" s="5" t="n">
        <x:v>1</x:v>
      </x:c>
      <x:c r="K75" s="5" t="inlineStr">
        <x:is>
          <x:t xml:space="preserve">45 CFR § 164.312(e)(2)(ii)</x:t>
        </x:is>
      </x:c>
      <x:c r="L75" s="5" t="inlineStr">
        <x:is>
          <x:t xml:space="preserve">Transmission Security — Encryption</x:t>
        </x:is>
      </x:c>
      <x:c r="M75" s="5" t="n">
        <x:v>1</x:v>
      </x:c>
      <x:c r="N75" s="5" t="inlineStr">
        <x:is>
          <x:t xml:space="preserve">45 C.F.R. § 164.312(e)(2)(ii)</x:t>
        </x:is>
      </x:c>
      <x:c r="O75" s="5" t="inlineStr">
        <x:is>
          <x:t xml:space="preserve">Transmission Security — Encryption</x:t>
        </x:is>
      </x:c>
      <x:c r="P75" s="5" t="inlineStr">
        <x:is>
          <x:t xml:space="preserve">Implement a mechanism to encrypt ePHI whenever deemed appropriate during electronic transmission.</x:t>
        </x:is>
      </x:c>
      <x:c r="Q75" s="5" t="inlineStr">
        <x:is>
          <x:t xml:space="preserve">Addressable implementation specification</x:t>
        </x:is>
      </x:c>
      <x:c r="R75" s="5" t="inlineStr">
        <x:is>
          <x:t xml:space="preserve">Technical Safeguards</x:t>
        </x:is>
      </x:c>
      <x:c r="S75" s="28" t="inlineStr">
        <x:is>
          <x:t xml:space="preserve">https://www.ecfr.gov/current/title-45/subtitle-A/subchapter-C/part-164/section-164.312</x:t>
        </x:is>
      </x:c>
      <x:c r="T75" s="28" t="inlineStr">
        <x:is>
          <x:t xml:space="preserve">https://www.hhs.gov/hipaa/for-professionals/faq/2001/is-the-use-of-encryption-mandatory-in-the-security-rule/index.html</x:t>
        </x:is>
      </x:c>
      <x:c r="U75" s="5" t="inlineStr">
        <x:is>
          <x:t xml:space="preserve">Direct</x:t>
        </x:is>
      </x:c>
      <x:c r="V75" s="5" t="inlineStr">
        <x:is>
          <x:t xml:space="preserve">Transmission-encryption evidence aligns directly to the transmission-security encryption implementation specification.</x:t>
        </x:is>
      </x:c>
      <x:c r="W75" s="5" t="inlineStr">
        <x:is>
          <x:t xml:space="preserve">Used when the shared action item is explicitly in-transit encryption.</x:t>
        </x:is>
      </x:c>
      <x:c r="X75" s="5" t="n"/>
    </x:row>
    <x:row r="76" ht="30" customHeight="1">
      <x:c r="A76" s="5" t="inlineStr">
        <x:is>
          <x:t xml:space="preserve">ER-3|REQ-33-HIPAA|0954.10d1System.1|Encryption In Transit (Ex. TLS Protocols)</x:t>
        </x:is>
      </x:c>
      <x:c r="B76" s="5" t="inlineStr">
        <x:is>
          <x:t xml:space="preserve">HITRUST e1.csv</x:t>
        </x:is>
      </x:c>
      <x:c r="C76" s="5" t="inlineStr">
        <x:is>
          <x:t xml:space="preserve">ER-3</x:t>
        </x:is>
      </x:c>
      <x:c r="D76" s="5" t="inlineStr">
        <x:is>
          <x:t xml:space="preserve">Configuration</x:t>
        </x:is>
      </x:c>
      <x:c r="E76" s="5" t="inlineStr">
        <x:is>
          <x:t xml:space="preserve">Encryption In Transit (Ex. TLS Protocols)</x:t>
        </x:is>
      </x:c>
      <x:c r="F76" s="5" t="inlineStr">
        <x:is>
          <x:t xml:space="preserve">REQ-33-HIPAA</x:t>
        </x:is>
      </x:c>
      <x:c r="G76" s="5" t="inlineStr">
        <x:is>
          <x:t xml:space="preserve">0954.10d1System.1</x:t>
        </x:is>
      </x:c>
      <x:c r="H76" s="5" t="inlineStr">
        <x:is>
          <x:t xml:space="preserve">0954.10d1 System.1</x:t>
        </x:is>
      </x:c>
      <x:c r="I76" s="5" t="inlineStr">
        <x:is>
          <x:t xml:space="preserve">Many:Many</x:t>
        </x:is>
      </x:c>
      <x:c r="J76" s="5" t="n">
        <x:v>1</x:v>
      </x:c>
      <x:c r="K76" s="5" t="inlineStr">
        <x:is>
          <x:t xml:space="preserve">45 CFR § 164.312(e)(2)(ii)</x:t>
        </x:is>
      </x:c>
      <x:c r="L76" s="5" t="inlineStr">
        <x:is>
          <x:t xml:space="preserve">Transmission Security — Encryption</x:t>
        </x:is>
      </x:c>
      <x:c r="M76" s="5" t="n">
        <x:v>1</x:v>
      </x:c>
      <x:c r="N76" s="5" t="inlineStr">
        <x:is>
          <x:t xml:space="preserve">45 C.F.R. § 164.312(e)(2)(ii)</x:t>
        </x:is>
      </x:c>
      <x:c r="O76" s="5" t="inlineStr">
        <x:is>
          <x:t xml:space="preserve">Transmission Security — Encryption</x:t>
        </x:is>
      </x:c>
      <x:c r="P76" s="5" t="inlineStr">
        <x:is>
          <x:t xml:space="preserve">Implement a mechanism to encrypt ePHI whenever deemed appropriate during electronic transmission.</x:t>
        </x:is>
      </x:c>
      <x:c r="Q76" s="5" t="inlineStr">
        <x:is>
          <x:t xml:space="preserve">Addressable implementation specification</x:t>
        </x:is>
      </x:c>
      <x:c r="R76" s="5" t="inlineStr">
        <x:is>
          <x:t xml:space="preserve">Technical Safeguards</x:t>
        </x:is>
      </x:c>
      <x:c r="S76" s="28" t="inlineStr">
        <x:is>
          <x:t xml:space="preserve">https://www.ecfr.gov/current/title-45/subtitle-A/subchapter-C/part-164/section-164.312</x:t>
        </x:is>
      </x:c>
      <x:c r="T76" s="28" t="inlineStr">
        <x:is>
          <x:t xml:space="preserve">https://www.hhs.gov/hipaa/for-professionals/faq/2001/is-the-use-of-encryption-mandatory-in-the-security-rule/index.html</x:t>
        </x:is>
      </x:c>
      <x:c r="U76" s="5" t="inlineStr">
        <x:is>
          <x:t xml:space="preserve">Direct</x:t>
        </x:is>
      </x:c>
      <x:c r="V76" s="5" t="inlineStr">
        <x:is>
          <x:t xml:space="preserve">Transmission-encryption evidence aligns directly to the transmission-security encryption implementation specification.</x:t>
        </x:is>
      </x:c>
      <x:c r="W76" s="5" t="inlineStr">
        <x:is>
          <x:t xml:space="preserve">Used when the shared action item is explicitly in-transit encryption.</x:t>
        </x:is>
      </x:c>
      <x:c r="X76" s="5" t="n"/>
    </x:row>
    <x:row r="77" ht="30" customHeight="1">
      <x:c r="A77" s="5" t="inlineStr">
        <x:is>
          <x:t xml:space="preserve">ER-3|REQ-33-HIPAA|1013.01r1System.2|Encryption In Transit (Ex. TLS Protocols)</x:t>
        </x:is>
      </x:c>
      <x:c r="B77" s="5" t="inlineStr">
        <x:is>
          <x:t xml:space="preserve">HITRUST e1.csv</x:t>
        </x:is>
      </x:c>
      <x:c r="C77" s="5" t="inlineStr">
        <x:is>
          <x:t xml:space="preserve">ER-3</x:t>
        </x:is>
      </x:c>
      <x:c r="D77" s="5" t="inlineStr">
        <x:is>
          <x:t xml:space="preserve">Configuration</x:t>
        </x:is>
      </x:c>
      <x:c r="E77" s="5" t="inlineStr">
        <x:is>
          <x:t xml:space="preserve">Encryption In Transit (Ex. TLS Protocols)</x:t>
        </x:is>
      </x:c>
      <x:c r="F77" s="5" t="inlineStr">
        <x:is>
          <x:t xml:space="preserve">REQ-33-HIPAA</x:t>
        </x:is>
      </x:c>
      <x:c r="G77" s="5" t="inlineStr">
        <x:is>
          <x:t xml:space="preserve">1013.01r1System.2</x:t>
        </x:is>
      </x:c>
      <x:c r="H77" s="5" t="inlineStr">
        <x:is>
          <x:t xml:space="preserve">1013.01r1 System.2</x:t>
        </x:is>
      </x:c>
      <x:c r="I77" s="5" t="inlineStr">
        <x:is>
          <x:t xml:space="preserve">Many:Many</x:t>
        </x:is>
      </x:c>
      <x:c r="J77" s="5" t="n">
        <x:v>1</x:v>
      </x:c>
      <x:c r="K77" s="5" t="inlineStr">
        <x:is>
          <x:t xml:space="preserve">45 CFR § 164.312(e)(2)(ii)</x:t>
        </x:is>
      </x:c>
      <x:c r="L77" s="5" t="inlineStr">
        <x:is>
          <x:t xml:space="preserve">Transmission Security — Encryption</x:t>
        </x:is>
      </x:c>
      <x:c r="M77" s="5" t="n">
        <x:v>1</x:v>
      </x:c>
      <x:c r="N77" s="5" t="inlineStr">
        <x:is>
          <x:t xml:space="preserve">45 C.F.R. § 164.312(e)(2)(ii)</x:t>
        </x:is>
      </x:c>
      <x:c r="O77" s="5" t="inlineStr">
        <x:is>
          <x:t xml:space="preserve">Transmission Security — Encryption</x:t>
        </x:is>
      </x:c>
      <x:c r="P77" s="5" t="inlineStr">
        <x:is>
          <x:t xml:space="preserve">Implement a mechanism to encrypt ePHI whenever deemed appropriate during electronic transmission.</x:t>
        </x:is>
      </x:c>
      <x:c r="Q77" s="5" t="inlineStr">
        <x:is>
          <x:t xml:space="preserve">Addressable implementation specification</x:t>
        </x:is>
      </x:c>
      <x:c r="R77" s="5" t="inlineStr">
        <x:is>
          <x:t xml:space="preserve">Technical Safeguards</x:t>
        </x:is>
      </x:c>
      <x:c r="S77" s="28" t="inlineStr">
        <x:is>
          <x:t xml:space="preserve">https://www.ecfr.gov/current/title-45/subtitle-A/subchapter-C/part-164/section-164.312</x:t>
        </x:is>
      </x:c>
      <x:c r="T77" s="28" t="inlineStr">
        <x:is>
          <x:t xml:space="preserve">https://www.hhs.gov/hipaa/for-professionals/faq/2001/is-the-use-of-encryption-mandatory-in-the-security-rule/index.html</x:t>
        </x:is>
      </x:c>
      <x:c r="U77" s="5" t="inlineStr">
        <x:is>
          <x:t xml:space="preserve">Direct</x:t>
        </x:is>
      </x:c>
      <x:c r="V77" s="5" t="inlineStr">
        <x:is>
          <x:t xml:space="preserve">Transmission-encryption evidence aligns directly to the transmission-security encryption implementation specification.</x:t>
        </x:is>
      </x:c>
      <x:c r="W77" s="5" t="inlineStr">
        <x:is>
          <x:t xml:space="preserve">Used when the shared action item is explicitly in-transit encryption.</x:t>
        </x:is>
      </x:c>
      <x:c r="X77" s="5" t="n"/>
    </x:row>
    <x:row r="78" ht="30" customHeight="1">
      <x:c r="A78" s="5" t="inlineStr">
        <x:is>
          <x:t xml:space="preserve">ER-3|REQ-35-HIPAA|04.01x1Organizational.5|Encryption In Transit (Ex. TLS Protocols)</x:t>
        </x:is>
      </x:c>
      <x:c r="B78" s="5" t="inlineStr">
        <x:is>
          <x:t xml:space="preserve">HITRUST e1.csv</x:t>
        </x:is>
      </x:c>
      <x:c r="C78" s="5" t="inlineStr">
        <x:is>
          <x:t xml:space="preserve">ER-3</x:t>
        </x:is>
      </x:c>
      <x:c r="D78" s="5" t="inlineStr">
        <x:is>
          <x:t xml:space="preserve">Configuration</x:t>
        </x:is>
      </x:c>
      <x:c r="E78" s="5" t="inlineStr">
        <x:is>
          <x:t xml:space="preserve">Encryption In Transit (Ex. TLS Protocols)</x:t>
        </x:is>
      </x:c>
      <x:c r="F78" s="5" t="inlineStr">
        <x:is>
          <x:t xml:space="preserve">REQ-35-HIPAA</x:t>
        </x:is>
      </x:c>
      <x:c r="G78" s="5" t="inlineStr">
        <x:is>
          <x:t xml:space="preserve">04.01x1Organizational.5</x:t>
        </x:is>
      </x:c>
      <x:c r="H78" s="5" t="inlineStr">
        <x:is>
          <x:t xml:space="preserve">04.01x1 Organizational.5</x:t>
        </x:is>
      </x:c>
      <x:c r="I78" s="5" t="inlineStr">
        <x:is>
          <x:t xml:space="preserve">Many:Many</x:t>
        </x:is>
      </x:c>
      <x:c r="J78" s="5" t="n">
        <x:v>2</x:v>
      </x:c>
      <x:c r="K78" s="5" t="inlineStr">
        <x:is>
          <x:t xml:space="preserve">45 CFR § 164.312(e)(2)(ii)</x:t>
        </x:is>
      </x:c>
      <x:c r="L78" s="5" t="inlineStr">
        <x:is>
          <x:t xml:space="preserve">Transmission Security — Encryption</x:t>
        </x:is>
      </x:c>
      <x:c r="M78" s="5" t="n">
        <x:v>1</x:v>
      </x:c>
      <x:c r="N78" s="5" t="inlineStr">
        <x:is>
          <x:t xml:space="preserve">45 C.F.R. § 164.312(e)(2)(ii)</x:t>
        </x:is>
      </x:c>
      <x:c r="O78" s="5" t="inlineStr">
        <x:is>
          <x:t xml:space="preserve">Transmission Security — Encryption</x:t>
        </x:is>
      </x:c>
      <x:c r="P78" s="5" t="inlineStr">
        <x:is>
          <x:t xml:space="preserve">Implement a mechanism to encrypt ePHI whenever deemed appropriate during electronic transmission.</x:t>
        </x:is>
      </x:c>
      <x:c r="Q78" s="5" t="inlineStr">
        <x:is>
          <x:t xml:space="preserve">Addressable implementation specification</x:t>
        </x:is>
      </x:c>
      <x:c r="R78" s="5" t="inlineStr">
        <x:is>
          <x:t xml:space="preserve">Technical Safeguards</x:t>
        </x:is>
      </x:c>
      <x:c r="S78" s="28" t="inlineStr">
        <x:is>
          <x:t xml:space="preserve">https://www.ecfr.gov/current/title-45/subtitle-A/subchapter-C/part-164/section-164.312</x:t>
        </x:is>
      </x:c>
      <x:c r="T78" s="28" t="inlineStr">
        <x:is>
          <x:t xml:space="preserve">https://www.hhs.gov/hipaa/for-professionals/faq/2001/is-the-use-of-encryption-mandatory-in-the-security-rule/index.html</x:t>
        </x:is>
      </x:c>
      <x:c r="U78" s="5" t="inlineStr">
        <x:is>
          <x:t xml:space="preserve">Direct</x:t>
        </x:is>
      </x:c>
      <x:c r="V78" s="5" t="inlineStr">
        <x:is>
          <x:t xml:space="preserve">Action item explicitly addresses encryption in transit.</x:t>
        </x:is>
      </x:c>
      <x:c r="W78" s="5" t="inlineStr">
        <x:is>
          <x:t xml:space="preserve">Used for transport/TLS evidence.</x:t>
        </x:is>
      </x:c>
      <x:c r="X78" s="5" t="n"/>
    </x:row>
    <x:row r="79" ht="30" customHeight="1">
      <x:c r="A79" s="5" t="inlineStr">
        <x:is>
          <x:t xml:space="preserve">ER-3|REQ-35-HIPAA|0862.09m2Organizational.8|Encryption In Transit (Ex. TLS Protocols)</x:t>
        </x:is>
      </x:c>
      <x:c r="B79" s="5" t="inlineStr">
        <x:is>
          <x:t xml:space="preserve">HITRUST e1.csv</x:t>
        </x:is>
      </x:c>
      <x:c r="C79" s="5" t="inlineStr">
        <x:is>
          <x:t xml:space="preserve">ER-3</x:t>
        </x:is>
      </x:c>
      <x:c r="D79" s="5" t="inlineStr">
        <x:is>
          <x:t xml:space="preserve">Configuration</x:t>
        </x:is>
      </x:c>
      <x:c r="E79" s="5" t="inlineStr">
        <x:is>
          <x:t xml:space="preserve">Encryption In Transit (Ex. TLS Protocols)</x:t>
        </x:is>
      </x:c>
      <x:c r="F79" s="5" t="inlineStr">
        <x:is>
          <x:t xml:space="preserve">REQ-35-HIPAA</x:t>
        </x:is>
      </x:c>
      <x:c r="G79" s="5" t="inlineStr">
        <x:is>
          <x:t xml:space="preserve">0862.09m2Organizational.8</x:t>
        </x:is>
      </x:c>
      <x:c r="H79" s="5" t="inlineStr">
        <x:is>
          <x:t xml:space="preserve">0862.09m2 Organizational.8</x:t>
        </x:is>
      </x:c>
      <x:c r="I79" s="5" t="inlineStr">
        <x:is>
          <x:t xml:space="preserve">Many:Many</x:t>
        </x:is>
      </x:c>
      <x:c r="J79" s="5" t="n">
        <x:v>1</x:v>
      </x:c>
      <x:c r="K79" s="5" t="inlineStr">
        <x:is>
          <x:t xml:space="preserve">45 CFR § 164.312(e)(2)(ii)</x:t>
        </x:is>
      </x:c>
      <x:c r="L79" s="5" t="inlineStr">
        <x:is>
          <x:t xml:space="preserve">Transmission Security — Encryption</x:t>
        </x:is>
      </x:c>
      <x:c r="M79" s="5" t="n">
        <x:v>1</x:v>
      </x:c>
      <x:c r="N79" s="5" t="inlineStr">
        <x:is>
          <x:t xml:space="preserve">45 C.F.R. § 164.312(e)(2)(ii)</x:t>
        </x:is>
      </x:c>
      <x:c r="O79" s="5" t="inlineStr">
        <x:is>
          <x:t xml:space="preserve">Transmission Security — Encryption</x:t>
        </x:is>
      </x:c>
      <x:c r="P79" s="5" t="inlineStr">
        <x:is>
          <x:t xml:space="preserve">Implement a mechanism to encrypt ePHI whenever deemed appropriate during electronic transmission.</x:t>
        </x:is>
      </x:c>
      <x:c r="Q79" s="5" t="inlineStr">
        <x:is>
          <x:t xml:space="preserve">Addressable implementation specification</x:t>
        </x:is>
      </x:c>
      <x:c r="R79" s="5" t="inlineStr">
        <x:is>
          <x:t xml:space="preserve">Technical Safeguards</x:t>
        </x:is>
      </x:c>
      <x:c r="S79" s="28" t="inlineStr">
        <x:is>
          <x:t xml:space="preserve">https://www.ecfr.gov/current/title-45/subtitle-A/subchapter-C/part-164/section-164.312</x:t>
        </x:is>
      </x:c>
      <x:c r="T79" s="28" t="inlineStr">
        <x:is>
          <x:t xml:space="preserve">https://www.hhs.gov/hipaa/for-professionals/faq/2001/is-the-use-of-encryption-mandatory-in-the-security-rule/index.html</x:t>
        </x:is>
      </x:c>
      <x:c r="U79" s="5" t="inlineStr">
        <x:is>
          <x:t xml:space="preserve">Direct</x:t>
        </x:is>
      </x:c>
      <x:c r="V79" s="5" t="inlineStr">
        <x:is>
          <x:t xml:space="preserve">Action item explicitly addresses encryption in transit.</x:t>
        </x:is>
      </x:c>
      <x:c r="W79" s="5" t="inlineStr">
        <x:is>
          <x:t xml:space="preserve">Used for transport/TLS evidence.</x:t>
        </x:is>
      </x:c>
      <x:c r="X79" s="5" t="n"/>
    </x:row>
    <x:row r="80" ht="30" customHeight="1">
      <x:c r="A80" s="5" t="inlineStr">
        <x:is>
          <x:t xml:space="preserve">ER-3|REQ-35-HIPAA|0903.10f1Organizational.1.a|Encryption In Transit (Ex. TLS Protocols)</x:t>
        </x:is>
      </x:c>
      <x:c r="B80" s="5" t="inlineStr">
        <x:is>
          <x:t xml:space="preserve">HITRUST e1.csv</x:t>
        </x:is>
      </x:c>
      <x:c r="C80" s="5" t="inlineStr">
        <x:is>
          <x:t xml:space="preserve">ER-3</x:t>
        </x:is>
      </x:c>
      <x:c r="D80" s="5" t="inlineStr">
        <x:is>
          <x:t xml:space="preserve">Configuration</x:t>
        </x:is>
      </x:c>
      <x:c r="E80" s="5" t="inlineStr">
        <x:is>
          <x:t xml:space="preserve">Encryption In Transit (Ex. TLS Protocols)</x:t>
        </x:is>
      </x:c>
      <x:c r="F80" s="5" t="inlineStr">
        <x:is>
          <x:t xml:space="preserve">REQ-35-HIPAA</x:t>
        </x:is>
      </x:c>
      <x:c r="G80" s="5" t="inlineStr">
        <x:is>
          <x:t xml:space="preserve">0903.10f1Organizational.1.a</x:t>
        </x:is>
      </x:c>
      <x:c r="H80" s="5" t="inlineStr">
        <x:is>
          <x:t xml:space="preserve">0903.10f1 Organizational.1.a</x:t>
        </x:is>
      </x:c>
      <x:c r="I80" s="5" t="inlineStr">
        <x:is>
          <x:t xml:space="preserve">Many:Many</x:t>
        </x:is>
      </x:c>
      <x:c r="J80" s="5" t="n">
        <x:v>1</x:v>
      </x:c>
      <x:c r="K80" s="5" t="inlineStr">
        <x:is>
          <x:t xml:space="preserve">45 CFR § 164.312(e)(2)(ii)</x:t>
        </x:is>
      </x:c>
      <x:c r="L80" s="5" t="inlineStr">
        <x:is>
          <x:t xml:space="preserve">Transmission Security — Encryption</x:t>
        </x:is>
      </x:c>
      <x:c r="M80" s="5" t="n">
        <x:v>1</x:v>
      </x:c>
      <x:c r="N80" s="5" t="inlineStr">
        <x:is>
          <x:t xml:space="preserve">45 C.F.R. § 164.312(e)(2)(ii)</x:t>
        </x:is>
      </x:c>
      <x:c r="O80" s="5" t="inlineStr">
        <x:is>
          <x:t xml:space="preserve">Transmission Security — Encryption</x:t>
        </x:is>
      </x:c>
      <x:c r="P80" s="5" t="inlineStr">
        <x:is>
          <x:t xml:space="preserve">Implement a mechanism to encrypt ePHI whenever deemed appropriate during electronic transmission.</x:t>
        </x:is>
      </x:c>
      <x:c r="Q80" s="5" t="inlineStr">
        <x:is>
          <x:t xml:space="preserve">Addressable implementation specification</x:t>
        </x:is>
      </x:c>
      <x:c r="R80" s="5" t="inlineStr">
        <x:is>
          <x:t xml:space="preserve">Technical Safeguards</x:t>
        </x:is>
      </x:c>
      <x:c r="S80" s="28" t="inlineStr">
        <x:is>
          <x:t xml:space="preserve">https://www.ecfr.gov/current/title-45/subtitle-A/subchapter-C/part-164/section-164.312</x:t>
        </x:is>
      </x:c>
      <x:c r="T80" s="28" t="inlineStr">
        <x:is>
          <x:t xml:space="preserve">https://www.hhs.gov/hipaa/for-professionals/faq/2001/is-the-use-of-encryption-mandatory-in-the-security-rule/index.html</x:t>
        </x:is>
      </x:c>
      <x:c r="U80" s="5" t="inlineStr">
        <x:is>
          <x:t xml:space="preserve">Direct</x:t>
        </x:is>
      </x:c>
      <x:c r="V80" s="5" t="inlineStr">
        <x:is>
          <x:t xml:space="preserve">Action item explicitly addresses encryption in transit.</x:t>
        </x:is>
      </x:c>
      <x:c r="W80" s="5" t="inlineStr">
        <x:is>
          <x:t xml:space="preserve">Used for transport/TLS evidence.</x:t>
        </x:is>
      </x:c>
      <x:c r="X80" s="5" t="n"/>
    </x:row>
    <x:row r="81" ht="30" customHeight="1">
      <x:c r="A81" s="5" t="inlineStr">
        <x:is>
          <x:t xml:space="preserve">ER-3|REQ-35-HIPAA|0913.09s1Organizational.5|Encryption In Transit (Ex. TLS Protocols)</x:t>
        </x:is>
      </x:c>
      <x:c r="B81" s="5" t="inlineStr">
        <x:is>
          <x:t xml:space="preserve">HITRUST e1.csv</x:t>
        </x:is>
      </x:c>
      <x:c r="C81" s="5" t="inlineStr">
        <x:is>
          <x:t xml:space="preserve">ER-3</x:t>
        </x:is>
      </x:c>
      <x:c r="D81" s="5" t="inlineStr">
        <x:is>
          <x:t xml:space="preserve">Configuration</x:t>
        </x:is>
      </x:c>
      <x:c r="E81" s="5" t="inlineStr">
        <x:is>
          <x:t xml:space="preserve">Encryption In Transit (Ex. TLS Protocols)</x:t>
        </x:is>
      </x:c>
      <x:c r="F81" s="5" t="inlineStr">
        <x:is>
          <x:t xml:space="preserve">REQ-35-HIPAA</x:t>
        </x:is>
      </x:c>
      <x:c r="G81" s="5" t="inlineStr">
        <x:is>
          <x:t xml:space="preserve">0913.09s1Organizational.5</x:t>
        </x:is>
      </x:c>
      <x:c r="H81" s="5" t="inlineStr">
        <x:is>
          <x:t xml:space="preserve">0913.09s1 Organizational.5</x:t>
        </x:is>
      </x:c>
      <x:c r="I81" s="5" t="inlineStr">
        <x:is>
          <x:t xml:space="preserve">Many:Many</x:t>
        </x:is>
      </x:c>
      <x:c r="J81" s="5" t="n">
        <x:v>1</x:v>
      </x:c>
      <x:c r="K81" s="5" t="inlineStr">
        <x:is>
          <x:t xml:space="preserve">45 CFR § 164.312(e)(2)(ii)</x:t>
        </x:is>
      </x:c>
      <x:c r="L81" s="5" t="inlineStr">
        <x:is>
          <x:t xml:space="preserve">Transmission Security — Encryption</x:t>
        </x:is>
      </x:c>
      <x:c r="M81" s="5" t="n">
        <x:v>1</x:v>
      </x:c>
      <x:c r="N81" s="5" t="inlineStr">
        <x:is>
          <x:t xml:space="preserve">45 C.F.R. § 164.312(e)(2)(ii)</x:t>
        </x:is>
      </x:c>
      <x:c r="O81" s="5" t="inlineStr">
        <x:is>
          <x:t xml:space="preserve">Transmission Security — Encryption</x:t>
        </x:is>
      </x:c>
      <x:c r="P81" s="5" t="inlineStr">
        <x:is>
          <x:t xml:space="preserve">Implement a mechanism to encrypt ePHI whenever deemed appropriate during electronic transmission.</x:t>
        </x:is>
      </x:c>
      <x:c r="Q81" s="5" t="inlineStr">
        <x:is>
          <x:t xml:space="preserve">Addressable implementation specification</x:t>
        </x:is>
      </x:c>
      <x:c r="R81" s="5" t="inlineStr">
        <x:is>
          <x:t xml:space="preserve">Technical Safeguards</x:t>
        </x:is>
      </x:c>
      <x:c r="S81" s="28" t="inlineStr">
        <x:is>
          <x:t xml:space="preserve">https://www.ecfr.gov/current/title-45/subtitle-A/subchapter-C/part-164/section-164.312</x:t>
        </x:is>
      </x:c>
      <x:c r="T81" s="28" t="inlineStr">
        <x:is>
          <x:t xml:space="preserve">https://www.hhs.gov/hipaa/for-professionals/faq/2001/is-the-use-of-encryption-mandatory-in-the-security-rule/index.html</x:t>
        </x:is>
      </x:c>
      <x:c r="U81" s="5" t="inlineStr">
        <x:is>
          <x:t xml:space="preserve">Direct</x:t>
        </x:is>
      </x:c>
      <x:c r="V81" s="5" t="inlineStr">
        <x:is>
          <x:t xml:space="preserve">Action item explicitly addresses encryption in transit.</x:t>
        </x:is>
      </x:c>
      <x:c r="W81" s="5" t="inlineStr">
        <x:is>
          <x:t xml:space="preserve">Used for transport/TLS evidence.</x:t>
        </x:is>
      </x:c>
      <x:c r="X81" s="5" t="n"/>
    </x:row>
    <x:row r="82" ht="30" customHeight="1">
      <x:c r="A82" s="5" t="inlineStr">
        <x:is>
          <x:t xml:space="preserve">ER-3|REQ-35-HIPAA|0928.09v2Organizational.1|Encryption In Transit (Ex. TLS Protocols)</x:t>
        </x:is>
      </x:c>
      <x:c r="B82" s="5" t="inlineStr">
        <x:is>
          <x:t xml:space="preserve">HITRUST e1.csv</x:t>
        </x:is>
      </x:c>
      <x:c r="C82" s="5" t="inlineStr">
        <x:is>
          <x:t xml:space="preserve">ER-3</x:t>
        </x:is>
      </x:c>
      <x:c r="D82" s="5" t="inlineStr">
        <x:is>
          <x:t xml:space="preserve">Configuration</x:t>
        </x:is>
      </x:c>
      <x:c r="E82" s="5" t="inlineStr">
        <x:is>
          <x:t xml:space="preserve">Encryption In Transit (Ex. TLS Protocols)</x:t>
        </x:is>
      </x:c>
      <x:c r="F82" s="5" t="inlineStr">
        <x:is>
          <x:t xml:space="preserve">REQ-35-HIPAA</x:t>
        </x:is>
      </x:c>
      <x:c r="G82" s="5" t="inlineStr">
        <x:is>
          <x:t xml:space="preserve">0928.09v2Organizational.1</x:t>
        </x:is>
      </x:c>
      <x:c r="H82" s="5" t="inlineStr">
        <x:is>
          <x:t xml:space="preserve">0928.09v2 Organizational.1</x:t>
        </x:is>
      </x:c>
      <x:c r="I82" s="5" t="inlineStr">
        <x:is>
          <x:t xml:space="preserve">Many:Many</x:t>
        </x:is>
      </x:c>
      <x:c r="J82" s="5" t="n">
        <x:v>1</x:v>
      </x:c>
      <x:c r="K82" s="5" t="inlineStr">
        <x:is>
          <x:t xml:space="preserve">45 CFR § 164.312(e)(2)(ii)</x:t>
        </x:is>
      </x:c>
      <x:c r="L82" s="5" t="inlineStr">
        <x:is>
          <x:t xml:space="preserve">Transmission Security — Encryption</x:t>
        </x:is>
      </x:c>
      <x:c r="M82" s="5" t="n">
        <x:v>1</x:v>
      </x:c>
      <x:c r="N82" s="5" t="inlineStr">
        <x:is>
          <x:t xml:space="preserve">45 C.F.R. § 164.312(e)(2)(ii)</x:t>
        </x:is>
      </x:c>
      <x:c r="O82" s="5" t="inlineStr">
        <x:is>
          <x:t xml:space="preserve">Transmission Security — Encryption</x:t>
        </x:is>
      </x:c>
      <x:c r="P82" s="5" t="inlineStr">
        <x:is>
          <x:t xml:space="preserve">Implement a mechanism to encrypt ePHI whenever deemed appropriate during electronic transmission.</x:t>
        </x:is>
      </x:c>
      <x:c r="Q82" s="5" t="inlineStr">
        <x:is>
          <x:t xml:space="preserve">Addressable implementation specification</x:t>
        </x:is>
      </x:c>
      <x:c r="R82" s="5" t="inlineStr">
        <x:is>
          <x:t xml:space="preserve">Technical Safeguards</x:t>
        </x:is>
      </x:c>
      <x:c r="S82" s="28" t="inlineStr">
        <x:is>
          <x:t xml:space="preserve">https://www.ecfr.gov/current/title-45/subtitle-A/subchapter-C/part-164/section-164.312</x:t>
        </x:is>
      </x:c>
      <x:c r="T82" s="28" t="inlineStr">
        <x:is>
          <x:t xml:space="preserve">https://www.hhs.gov/hipaa/for-professionals/faq/2001/is-the-use-of-encryption-mandatory-in-the-security-rule/index.html</x:t>
        </x:is>
      </x:c>
      <x:c r="U82" s="5" t="inlineStr">
        <x:is>
          <x:t xml:space="preserve">Direct</x:t>
        </x:is>
      </x:c>
      <x:c r="V82" s="5" t="inlineStr">
        <x:is>
          <x:t xml:space="preserve">Action item explicitly addresses encryption in transit.</x:t>
        </x:is>
      </x:c>
      <x:c r="W82" s="5" t="inlineStr">
        <x:is>
          <x:t xml:space="preserve">Used for transport/TLS evidence.</x:t>
        </x:is>
      </x:c>
      <x:c r="X82" s="5" t="n"/>
    </x:row>
    <x:row r="83" ht="30" customHeight="1">
      <x:c r="A83" s="5" t="inlineStr">
        <x:is>
          <x:t xml:space="preserve">ER-3|REQ-35-HIPAA|0945.09y1Organizational.3|Encryption In Transit (Ex. TLS Protocols)</x:t>
        </x:is>
      </x:c>
      <x:c r="B83" s="5" t="inlineStr">
        <x:is>
          <x:t xml:space="preserve">HITRUST e1.csv</x:t>
        </x:is>
      </x:c>
      <x:c r="C83" s="5" t="inlineStr">
        <x:is>
          <x:t xml:space="preserve">ER-3</x:t>
        </x:is>
      </x:c>
      <x:c r="D83" s="5" t="inlineStr">
        <x:is>
          <x:t xml:space="preserve">Configuration</x:t>
        </x:is>
      </x:c>
      <x:c r="E83" s="5" t="inlineStr">
        <x:is>
          <x:t xml:space="preserve">Encryption In Transit (Ex. TLS Protocols)</x:t>
        </x:is>
      </x:c>
      <x:c r="F83" s="5" t="inlineStr">
        <x:is>
          <x:t xml:space="preserve">REQ-35-HIPAA</x:t>
        </x:is>
      </x:c>
      <x:c r="G83" s="5" t="inlineStr">
        <x:is>
          <x:t xml:space="preserve">0945.09y1Organizational.3</x:t>
        </x:is>
      </x:c>
      <x:c r="H83" s="5" t="inlineStr">
        <x:is>
          <x:t xml:space="preserve">0945.09y1 Organizational.3</x:t>
        </x:is>
      </x:c>
      <x:c r="I83" s="5" t="inlineStr">
        <x:is>
          <x:t xml:space="preserve">Many:Many</x:t>
        </x:is>
      </x:c>
      <x:c r="J83" s="5" t="n">
        <x:v>1</x:v>
      </x:c>
      <x:c r="K83" s="5" t="inlineStr">
        <x:is>
          <x:t xml:space="preserve">45 CFR § 164.312(e)(2)(ii)</x:t>
        </x:is>
      </x:c>
      <x:c r="L83" s="5" t="inlineStr">
        <x:is>
          <x:t xml:space="preserve">Transmission Security — Encryption</x:t>
        </x:is>
      </x:c>
      <x:c r="M83" s="5" t="n">
        <x:v>1</x:v>
      </x:c>
      <x:c r="N83" s="5" t="inlineStr">
        <x:is>
          <x:t xml:space="preserve">45 C.F.R. § 164.312(e)(2)(ii)</x:t>
        </x:is>
      </x:c>
      <x:c r="O83" s="5" t="inlineStr">
        <x:is>
          <x:t xml:space="preserve">Transmission Security — Encryption</x:t>
        </x:is>
      </x:c>
      <x:c r="P83" s="5" t="inlineStr">
        <x:is>
          <x:t xml:space="preserve">Implement a mechanism to encrypt ePHI whenever deemed appropriate during electronic transmission.</x:t>
        </x:is>
      </x:c>
      <x:c r="Q83" s="5" t="inlineStr">
        <x:is>
          <x:t xml:space="preserve">Addressable implementation specification</x:t>
        </x:is>
      </x:c>
      <x:c r="R83" s="5" t="inlineStr">
        <x:is>
          <x:t xml:space="preserve">Technical Safeguards</x:t>
        </x:is>
      </x:c>
      <x:c r="S83" s="28" t="inlineStr">
        <x:is>
          <x:t xml:space="preserve">https://www.ecfr.gov/current/title-45/subtitle-A/subchapter-C/part-164/section-164.312</x:t>
        </x:is>
      </x:c>
      <x:c r="T83" s="28" t="inlineStr">
        <x:is>
          <x:t xml:space="preserve">https://www.hhs.gov/hipaa/for-professionals/faq/2001/is-the-use-of-encryption-mandatory-in-the-security-rule/index.html</x:t>
        </x:is>
      </x:c>
      <x:c r="U83" s="5" t="inlineStr">
        <x:is>
          <x:t xml:space="preserve">Direct</x:t>
        </x:is>
      </x:c>
      <x:c r="V83" s="5" t="inlineStr">
        <x:is>
          <x:t xml:space="preserve">Action item explicitly addresses encryption in transit.</x:t>
        </x:is>
      </x:c>
      <x:c r="W83" s="5" t="inlineStr">
        <x:is>
          <x:t xml:space="preserve">Used for transport/TLS evidence.</x:t>
        </x:is>
      </x:c>
      <x:c r="X83" s="5" t="n"/>
    </x:row>
    <x:row r="84" ht="30" customHeight="1">
      <x:c r="A84" s="5" t="inlineStr">
        <x:is>
          <x:t xml:space="preserve">ER-3|REQ-35-HIPAA|0954.10d1System.1|Encryption In Transit (Ex. TLS Protocols)</x:t>
        </x:is>
      </x:c>
      <x:c r="B84" s="5" t="inlineStr">
        <x:is>
          <x:t xml:space="preserve">HITRUST e1.csv</x:t>
        </x:is>
      </x:c>
      <x:c r="C84" s="5" t="inlineStr">
        <x:is>
          <x:t xml:space="preserve">ER-3</x:t>
        </x:is>
      </x:c>
      <x:c r="D84" s="5" t="inlineStr">
        <x:is>
          <x:t xml:space="preserve">Configuration</x:t>
        </x:is>
      </x:c>
      <x:c r="E84" s="5" t="inlineStr">
        <x:is>
          <x:t xml:space="preserve">Encryption In Transit (Ex. TLS Protocols)</x:t>
        </x:is>
      </x:c>
      <x:c r="F84" s="5" t="inlineStr">
        <x:is>
          <x:t xml:space="preserve">REQ-35-HIPAA</x:t>
        </x:is>
      </x:c>
      <x:c r="G84" s="5" t="inlineStr">
        <x:is>
          <x:t xml:space="preserve">0954.10d1System.1</x:t>
        </x:is>
      </x:c>
      <x:c r="H84" s="5" t="inlineStr">
        <x:is>
          <x:t xml:space="preserve">0954.10d1 System.1</x:t>
        </x:is>
      </x:c>
      <x:c r="I84" s="5" t="inlineStr">
        <x:is>
          <x:t xml:space="preserve">Many:Many</x:t>
        </x:is>
      </x:c>
      <x:c r="J84" s="5" t="n">
        <x:v>1</x:v>
      </x:c>
      <x:c r="K84" s="5" t="inlineStr">
        <x:is>
          <x:t xml:space="preserve">45 CFR § 164.312(e)(2)(ii)</x:t>
        </x:is>
      </x:c>
      <x:c r="L84" s="5" t="inlineStr">
        <x:is>
          <x:t xml:space="preserve">Transmission Security — Encryption</x:t>
        </x:is>
      </x:c>
      <x:c r="M84" s="5" t="n">
        <x:v>1</x:v>
      </x:c>
      <x:c r="N84" s="5" t="inlineStr">
        <x:is>
          <x:t xml:space="preserve">45 C.F.R. § 164.312(e)(2)(ii)</x:t>
        </x:is>
      </x:c>
      <x:c r="O84" s="5" t="inlineStr">
        <x:is>
          <x:t xml:space="preserve">Transmission Security — Encryption</x:t>
        </x:is>
      </x:c>
      <x:c r="P84" s="5" t="inlineStr">
        <x:is>
          <x:t xml:space="preserve">Implement a mechanism to encrypt ePHI whenever deemed appropriate during electronic transmission.</x:t>
        </x:is>
      </x:c>
      <x:c r="Q84" s="5" t="inlineStr">
        <x:is>
          <x:t xml:space="preserve">Addressable implementation specification</x:t>
        </x:is>
      </x:c>
      <x:c r="R84" s="5" t="inlineStr">
        <x:is>
          <x:t xml:space="preserve">Technical Safeguards</x:t>
        </x:is>
      </x:c>
      <x:c r="S84" s="28" t="inlineStr">
        <x:is>
          <x:t xml:space="preserve">https://www.ecfr.gov/current/title-45/subtitle-A/subchapter-C/part-164/section-164.312</x:t>
        </x:is>
      </x:c>
      <x:c r="T84" s="28" t="inlineStr">
        <x:is>
          <x:t xml:space="preserve">https://www.hhs.gov/hipaa/for-professionals/faq/2001/is-the-use-of-encryption-mandatory-in-the-security-rule/index.html</x:t>
        </x:is>
      </x:c>
      <x:c r="U84" s="5" t="inlineStr">
        <x:is>
          <x:t xml:space="preserve">Direct</x:t>
        </x:is>
      </x:c>
      <x:c r="V84" s="5" t="inlineStr">
        <x:is>
          <x:t xml:space="preserve">Action item explicitly addresses encryption in transit.</x:t>
        </x:is>
      </x:c>
      <x:c r="W84" s="5" t="inlineStr">
        <x:is>
          <x:t xml:space="preserve">Used for transport/TLS evidence.</x:t>
        </x:is>
      </x:c>
      <x:c r="X84" s="5" t="n"/>
    </x:row>
    <x:row r="85" ht="30" customHeight="1">
      <x:c r="A85" s="5" t="inlineStr">
        <x:is>
          <x:t xml:space="preserve">ER-3|REQ-35-HIPAA|1013.01r1System.2|Encryption In Transit (Ex. TLS Protocols)</x:t>
        </x:is>
      </x:c>
      <x:c r="B85" s="5" t="inlineStr">
        <x:is>
          <x:t xml:space="preserve">HITRUST e1.csv</x:t>
        </x:is>
      </x:c>
      <x:c r="C85" s="5" t="inlineStr">
        <x:is>
          <x:t xml:space="preserve">ER-3</x:t>
        </x:is>
      </x:c>
      <x:c r="D85" s="5" t="inlineStr">
        <x:is>
          <x:t xml:space="preserve">Configuration</x:t>
        </x:is>
      </x:c>
      <x:c r="E85" s="5" t="inlineStr">
        <x:is>
          <x:t xml:space="preserve">Encryption In Transit (Ex. TLS Protocols)</x:t>
        </x:is>
      </x:c>
      <x:c r="F85" s="5" t="inlineStr">
        <x:is>
          <x:t xml:space="preserve">REQ-35-HIPAA</x:t>
        </x:is>
      </x:c>
      <x:c r="G85" s="5" t="inlineStr">
        <x:is>
          <x:t xml:space="preserve">1013.01r1System.2</x:t>
        </x:is>
      </x:c>
      <x:c r="H85" s="5" t="inlineStr">
        <x:is>
          <x:t xml:space="preserve">1013.01r1 System.2</x:t>
        </x:is>
      </x:c>
      <x:c r="I85" s="5" t="inlineStr">
        <x:is>
          <x:t xml:space="preserve">Many:Many</x:t>
        </x:is>
      </x:c>
      <x:c r="J85" s="5" t="n">
        <x:v>1</x:v>
      </x:c>
      <x:c r="K85" s="5" t="inlineStr">
        <x:is>
          <x:t xml:space="preserve">45 CFR § 164.312(e)(2)(ii)</x:t>
        </x:is>
      </x:c>
      <x:c r="L85" s="5" t="inlineStr">
        <x:is>
          <x:t xml:space="preserve">Transmission Security — Encryption</x:t>
        </x:is>
      </x:c>
      <x:c r="M85" s="5" t="n">
        <x:v>1</x:v>
      </x:c>
      <x:c r="N85" s="5" t="inlineStr">
        <x:is>
          <x:t xml:space="preserve">45 C.F.R. § 164.312(e)(2)(ii)</x:t>
        </x:is>
      </x:c>
      <x:c r="O85" s="5" t="inlineStr">
        <x:is>
          <x:t xml:space="preserve">Transmission Security — Encryption</x:t>
        </x:is>
      </x:c>
      <x:c r="P85" s="5" t="inlineStr">
        <x:is>
          <x:t xml:space="preserve">Implement a mechanism to encrypt ePHI whenever deemed appropriate during electronic transmission.</x:t>
        </x:is>
      </x:c>
      <x:c r="Q85" s="5" t="inlineStr">
        <x:is>
          <x:t xml:space="preserve">Addressable implementation specification</x:t>
        </x:is>
      </x:c>
      <x:c r="R85" s="5" t="inlineStr">
        <x:is>
          <x:t xml:space="preserve">Technical Safeguards</x:t>
        </x:is>
      </x:c>
      <x:c r="S85" s="28" t="inlineStr">
        <x:is>
          <x:t xml:space="preserve">https://www.ecfr.gov/current/title-45/subtitle-A/subchapter-C/part-164/section-164.312</x:t>
        </x:is>
      </x:c>
      <x:c r="T85" s="28" t="inlineStr">
        <x:is>
          <x:t xml:space="preserve">https://www.hhs.gov/hipaa/for-professionals/faq/2001/is-the-use-of-encryption-mandatory-in-the-security-rule/index.html</x:t>
        </x:is>
      </x:c>
      <x:c r="U85" s="5" t="inlineStr">
        <x:is>
          <x:t xml:space="preserve">Direct</x:t>
        </x:is>
      </x:c>
      <x:c r="V85" s="5" t="inlineStr">
        <x:is>
          <x:t xml:space="preserve">Action item explicitly addresses encryption in transit.</x:t>
        </x:is>
      </x:c>
      <x:c r="W85" s="5" t="inlineStr">
        <x:is>
          <x:t xml:space="preserve">Used for transport/TLS evidence.</x:t>
        </x:is>
      </x:c>
      <x:c r="X85" s="5" t="n"/>
    </x:row>
    <x:row r="86" ht="30" customHeight="1">
      <x:c r="A86" s="5" t="inlineStr">
        <x:is>
          <x:t xml:space="preserve">ER-88|REQ-27-HIPAA|11.01q1System.3|Evidence of Multi-Factor Authentication</x:t>
        </x:is>
      </x:c>
      <x:c r="B86" s="5" t="inlineStr">
        <x:is>
          <x:t xml:space="preserve">HITRUST e1.csv</x:t>
        </x:is>
      </x:c>
      <x:c r="C86" s="5" t="inlineStr">
        <x:is>
          <x:t xml:space="preserve">ER-88</x:t>
        </x:is>
      </x:c>
      <x:c r="D86" s="5" t="inlineStr">
        <x:is>
          <x:t xml:space="preserve">Configuration</x:t>
        </x:is>
      </x:c>
      <x:c r="E86" s="5" t="inlineStr">
        <x:is>
          <x:t xml:space="preserve">Evidence of Multi-Factor Authentication</x:t>
        </x:is>
      </x:c>
      <x:c r="F86" s="5" t="inlineStr">
        <x:is>
          <x:t xml:space="preserve">REQ-27-HIPAA</x:t>
        </x:is>
      </x:c>
      <x:c r="G86" s="5" t="inlineStr">
        <x:is>
          <x:t xml:space="preserve">11.01q1System.3</x:t>
        </x:is>
      </x:c>
      <x:c r="H86" s="5" t="inlineStr">
        <x:is>
          <x:t xml:space="preserve">11.01q1 System.3</x:t>
        </x:is>
      </x:c>
      <x:c r="I86" s="5" t="inlineStr">
        <x:is>
          <x:t xml:space="preserve">1:Many</x:t>
        </x:is>
      </x:c>
      <x:c r="J86" s="5" t="n">
        <x:v>1</x:v>
      </x:c>
      <x:c r="K86" s="5" t="inlineStr">
        <x:is>
          <x:t xml:space="preserve">45 CFR § 164.312(d)</x:t>
        </x:is>
      </x:c>
      <x:c r="L86" s="5" t="inlineStr">
        <x:is>
          <x:t xml:space="preserve">Person or Entity Authentication</x:t>
        </x:is>
      </x:c>
      <x:c r="M86" s="5" t="n">
        <x:v>1</x:v>
      </x:c>
      <x:c r="N86" s="5" t="inlineStr">
        <x:is>
          <x:t xml:space="preserve">45 C.F.R. § 164.312(d)</x:t>
        </x:is>
      </x:c>
      <x:c r="O86" s="5" t="inlineStr">
        <x:is>
          <x:t xml:space="preserve">Person or Entity Authentication</x:t>
        </x:is>
      </x:c>
      <x:c r="P86" s="5" t="inlineStr">
        <x:is>
          <x:t xml:space="preserve">Implement procedures to verify that a person or entity seeking access to ePHI is the one claimed.</x:t>
        </x:is>
      </x:c>
      <x:c r="Q86" s="5" t="inlineStr">
        <x:is>
          <x:t xml:space="preserve">Required standard</x:t>
        </x:is>
      </x:c>
      <x:c r="R86" s="5" t="inlineStr">
        <x:is>
          <x:t xml:space="preserve">Technical Safeguards</x:t>
        </x:is>
      </x:c>
      <x:c r="S86" s="28" t="inlineStr">
        <x:is>
          <x:t xml:space="preserve">https://www.ecfr.gov/current/title-45/subtitle-A/subchapter-C/part-164/section-164.312</x:t>
        </x:is>
      </x:c>
      <x:c r="T86" s="28" t="inlineStr">
        <x:is>
          <x:t xml:space="preserve">https://www.hhs.gov/hipaa/for-professionals/compliance-enforcement/audit/protocol-edited/index.html</x:t>
        </x:is>
      </x:c>
      <x:c r="U86" s="5" t="inlineStr">
        <x:is>
          <x:t xml:space="preserve">Direct</x:t>
        </x:is>
      </x:c>
      <x:c r="V86" s="5" t="inlineStr">
        <x:is>
          <x:t xml:space="preserve">MFA evidence most directly supports verifying that the person or entity seeking access is the one claimed.</x:t>
        </x:is>
      </x:c>
      <x:c r="W86" s="5" t="inlineStr">
        <x:is>
          <x:t xml:space="preserve">HIPAA does not mandate a specific technology such as MFA in all cases, but MFA evidence is a strong implementation of this standard.</x:t>
        </x:is>
      </x:c>
      <x:c r="X86" s="5" t="n"/>
    </x:row>
    <x:row r="87" ht="30" customHeight="1">
      <x:c r="A87" s="5" t="inlineStr">
        <x:is>
          <x:t xml:space="preserve">ER-88|REQ-27-HIPAA|11.01q1System.4|Evidence of Multi-Factor Authentication</x:t>
        </x:is>
      </x:c>
      <x:c r="B87" s="5" t="inlineStr">
        <x:is>
          <x:t xml:space="preserve">HITRUST e1.csv</x:t>
        </x:is>
      </x:c>
      <x:c r="C87" s="5" t="inlineStr">
        <x:is>
          <x:t xml:space="preserve">ER-88</x:t>
        </x:is>
      </x:c>
      <x:c r="D87" s="5" t="inlineStr">
        <x:is>
          <x:t xml:space="preserve">Configuration</x:t>
        </x:is>
      </x:c>
      <x:c r="E87" s="5" t="inlineStr">
        <x:is>
          <x:t xml:space="preserve">Evidence of Multi-Factor Authentication</x:t>
        </x:is>
      </x:c>
      <x:c r="F87" s="5" t="inlineStr">
        <x:is>
          <x:t xml:space="preserve">REQ-27-HIPAA</x:t>
        </x:is>
      </x:c>
      <x:c r="G87" s="5" t="inlineStr">
        <x:is>
          <x:t xml:space="preserve">11.01q1System.4</x:t>
        </x:is>
      </x:c>
      <x:c r="H87" s="5" t="inlineStr">
        <x:is>
          <x:t xml:space="preserve">11.01q1 System.4</x:t>
        </x:is>
      </x:c>
      <x:c r="I87" s="5" t="inlineStr">
        <x:is>
          <x:t xml:space="preserve">1:Many</x:t>
        </x:is>
      </x:c>
      <x:c r="J87" s="5" t="n">
        <x:v>1</x:v>
      </x:c>
      <x:c r="K87" s="5" t="inlineStr">
        <x:is>
          <x:t xml:space="preserve">45 CFR § 164.312(d)</x:t>
        </x:is>
      </x:c>
      <x:c r="L87" s="5" t="inlineStr">
        <x:is>
          <x:t xml:space="preserve">Person or Entity Authentication</x:t>
        </x:is>
      </x:c>
      <x:c r="M87" s="5" t="n">
        <x:v>1</x:v>
      </x:c>
      <x:c r="N87" s="5" t="inlineStr">
        <x:is>
          <x:t xml:space="preserve">45 C.F.R. § 164.312(d)</x:t>
        </x:is>
      </x:c>
      <x:c r="O87" s="5" t="inlineStr">
        <x:is>
          <x:t xml:space="preserve">Person or Entity Authentication</x:t>
        </x:is>
      </x:c>
      <x:c r="P87" s="5" t="inlineStr">
        <x:is>
          <x:t xml:space="preserve">Implement procedures to verify that a person or entity seeking access to ePHI is the one claimed.</x:t>
        </x:is>
      </x:c>
      <x:c r="Q87" s="5" t="inlineStr">
        <x:is>
          <x:t xml:space="preserve">Required standard</x:t>
        </x:is>
      </x:c>
      <x:c r="R87" s="5" t="inlineStr">
        <x:is>
          <x:t xml:space="preserve">Technical Safeguards</x:t>
        </x:is>
      </x:c>
      <x:c r="S87" s="28" t="inlineStr">
        <x:is>
          <x:t xml:space="preserve">https://www.ecfr.gov/current/title-45/subtitle-A/subchapter-C/part-164/section-164.312</x:t>
        </x:is>
      </x:c>
      <x:c r="T87" s="28" t="inlineStr">
        <x:is>
          <x:t xml:space="preserve">https://www.hhs.gov/hipaa/for-professionals/compliance-enforcement/audit/protocol-edited/index.html</x:t>
        </x:is>
      </x:c>
      <x:c r="U87" s="5" t="inlineStr">
        <x:is>
          <x:t xml:space="preserve">Direct</x:t>
        </x:is>
      </x:c>
      <x:c r="V87" s="5" t="inlineStr">
        <x:is>
          <x:t xml:space="preserve">MFA evidence most directly supports verifying that the person or entity seeking access is the one claimed.</x:t>
        </x:is>
      </x:c>
      <x:c r="W87" s="5" t="inlineStr">
        <x:is>
          <x:t xml:space="preserve">HIPAA does not mandate a specific technology such as MFA in all cases, but MFA evidence is a strong implementation of this standard.</x:t>
        </x:is>
      </x:c>
      <x:c r="X87" s="5" t="n"/>
    </x:row>
    <x:row r="88" ht="30" customHeight="1">
      <x:c r="A88" s="5" t="inlineStr">
        <x:is>
          <x:t xml:space="preserve">ER-53|REQ-46-HIPAA|07.10m1Organizational.3|Evidence of Vulnerability Scan Results</x:t>
        </x:is>
      </x:c>
      <x:c r="B88" s="5" t="inlineStr">
        <x:is>
          <x:t xml:space="preserve">HITRUST e1.csv</x:t>
        </x:is>
      </x:c>
      <x:c r="C88" s="5" t="inlineStr">
        <x:is>
          <x:t xml:space="preserve">ER-53</x:t>
        </x:is>
      </x:c>
      <x:c r="D88" s="5" t="inlineStr">
        <x:is>
          <x:t xml:space="preserve">Sample</x:t>
        </x:is>
      </x:c>
      <x:c r="E88" s="5" t="inlineStr">
        <x:is>
          <x:t xml:space="preserve">Evidence of Vulnerability Scan Results</x:t>
        </x:is>
      </x:c>
      <x:c r="F88" s="5" t="inlineStr">
        <x:is>
          <x:t xml:space="preserve">REQ-46-HIPAA</x:t>
        </x:is>
      </x:c>
      <x:c r="G88" s="5" t="inlineStr">
        <x:is>
          <x:t xml:space="preserve">07.10m1Organizational.3</x:t>
        </x:is>
      </x:c>
      <x:c r="H88" s="5" t="inlineStr">
        <x:is>
          <x:t xml:space="preserve">07.10m1 Organizational.3</x:t>
        </x:is>
      </x:c>
      <x:c r="I88" s="5" t="inlineStr">
        <x:is>
          <x:t xml:space="preserve">Many:1</x:t>
        </x:is>
      </x:c>
      <x:c r="J88" s="5" t="n">
        <x:v>1</x:v>
      </x:c>
      <x:c r="K88" s="5" t="inlineStr">
        <x:is>
          <x:t xml:space="preserve">45 CFR § 164.308(a)(1)(ii)(A)</x:t>
        </x:is>
      </x:c>
      <x:c r="L88" s="5" t="inlineStr">
        <x:is>
          <x:t xml:space="preserve">Security Management Process — Risk Analysis</x:t>
        </x:is>
      </x:c>
      <x:c r="M88" s="5" t="n">
        <x:v>1</x:v>
      </x:c>
      <x:c r="N88" s="5" t="inlineStr">
        <x:is>
          <x:t xml:space="preserve">45 C.F.R. § 164.308(a)(1)(ii)(A)</x:t>
        </x:is>
      </x:c>
      <x:c r="O88" s="5" t="inlineStr">
        <x:is>
          <x:t xml:space="preserve">Security Management Process — Risk Analysis</x:t>
        </x:is>
      </x:c>
      <x:c r="P88" s="5" t="inlineStr">
        <x:is>
          <x:t xml:space="preserve">Conduct an accurate and thorough assessment of the potential risks and vulnerabilities to the confidentiality, integrity, and availability of ePHI.</x:t>
        </x:is>
      </x:c>
      <x:c r="Q88" s="5" t="inlineStr">
        <x:is>
          <x:t xml:space="preserve">Required implementation specification</x:t>
        </x:is>
      </x:c>
      <x:c r="R88" s="5" t="inlineStr">
        <x:is>
          <x:t xml:space="preserve">Administrative Safeguards</x:t>
        </x:is>
      </x:c>
      <x:c r="S88" s="28" t="inlineStr">
        <x:is>
          <x:t xml:space="preserve">https://www.ecfr.gov/current/title-45/subtitle-A/subchapter-C/part-164/section-164.308</x:t>
        </x:is>
      </x:c>
      <x:c r="T88" s="28" t="inlineStr">
        <x:is>
          <x:t xml:space="preserve">https://www.hhs.gov/hipaa/for-professionals/security/guidance/guidance-risk-analysis/index.html</x:t>
        </x:is>
      </x:c>
      <x:c r="U88" s="5" t="inlineStr">
        <x:is>
          <x:t xml:space="preserve">Best-fit</x:t>
        </x:is>
      </x:c>
      <x:c r="V88" s="5" t="inlineStr">
        <x:is>
          <x:t xml:space="preserve">OCR guidance identifies vulnerability scanning as one way to identify risks and vulnerabilities to ePHI.</x:t>
        </x:is>
      </x:c>
      <x:c r="W88" s="5" t="inlineStr">
        <x:is>
          <x:t xml:space="preserve">Used for vulnerability-scan result evidence.</x:t>
        </x:is>
      </x:c>
      <x:c r="X88" s="5" t="n"/>
    </x:row>
    <x:row r="89" ht="30" customHeight="1">
      <x:c r="A89" s="5" t="inlineStr">
        <x:is>
          <x:t xml:space="preserve">ER-53|REQ-47-HIPAA|07.10m1Organizational.3|Evidence of Vulnerability Scan Results</x:t>
        </x:is>
      </x:c>
      <x:c r="B89" s="5" t="inlineStr">
        <x:is>
          <x:t xml:space="preserve">HITRUST e1.csv</x:t>
        </x:is>
      </x:c>
      <x:c r="C89" s="5" t="inlineStr">
        <x:is>
          <x:t xml:space="preserve">ER-53</x:t>
        </x:is>
      </x:c>
      <x:c r="D89" s="5" t="inlineStr">
        <x:is>
          <x:t xml:space="preserve">Sample</x:t>
        </x:is>
      </x:c>
      <x:c r="E89" s="5" t="inlineStr">
        <x:is>
          <x:t xml:space="preserve">Evidence of Vulnerability Scan Results</x:t>
        </x:is>
      </x:c>
      <x:c r="F89" s="5" t="inlineStr">
        <x:is>
          <x:t xml:space="preserve">REQ-47-HIPAA</x:t>
        </x:is>
      </x:c>
      <x:c r="G89" s="5" t="inlineStr">
        <x:is>
          <x:t xml:space="preserve">07.10m1Organizational.3</x:t>
        </x:is>
      </x:c>
      <x:c r="H89" s="5" t="inlineStr">
        <x:is>
          <x:t xml:space="preserve">07.10m1 Organizational.3</x:t>
        </x:is>
      </x:c>
      <x:c r="I89" s="5" t="inlineStr">
        <x:is>
          <x:t xml:space="preserve">Many:1</x:t>
        </x:is>
      </x:c>
      <x:c r="J89" s="5" t="n">
        <x:v>1</x:v>
      </x:c>
      <x:c r="K89" s="5" t="inlineStr">
        <x:is>
          <x:t xml:space="preserve">45 CFR § 164.308(a)(1)(ii)(B)</x:t>
        </x:is>
      </x:c>
      <x:c r="L89" s="5" t="inlineStr">
        <x:is>
          <x:t xml:space="preserve">Security Management Process — Risk Management</x:t>
        </x:is>
      </x:c>
      <x:c r="M89" s="5" t="n">
        <x:v>1</x:v>
      </x:c>
      <x:c r="N89" s="5" t="inlineStr">
        <x:is>
          <x:t xml:space="preserve">45 C.F.R. § 164.308(a)(1)(ii)(B)</x:t>
        </x:is>
      </x:c>
      <x:c r="O89" s="5" t="inlineStr">
        <x:is>
          <x:t xml:space="preserve">Security Management Process — Risk Management</x:t>
        </x:is>
      </x:c>
      <x:c r="P89" s="5" t="inlineStr">
        <x:is>
          <x:t xml:space="preserve">Implement security measures sufficient to reduce identified risks and vulnerabilities to a reasonable and appropriate level.</x:t>
        </x:is>
      </x:c>
      <x:c r="Q89" s="5" t="inlineStr">
        <x:is>
          <x:t xml:space="preserve">Required implementation specification</x:t>
        </x:is>
      </x:c>
      <x:c r="R89" s="5" t="inlineStr">
        <x:is>
          <x:t xml:space="preserve">Administrative Safeguards</x:t>
        </x:is>
      </x:c>
      <x:c r="S89" s="28" t="inlineStr">
        <x:is>
          <x:t xml:space="preserve">https://www.ecfr.gov/current/title-45/subtitle-A/subchapter-C/part-164/section-164.308</x:t>
        </x:is>
      </x:c>
      <x:c r="T89" s="28" t="inlineStr">
        <x:is>
          <x:t xml:space="preserve">https://www.hhs.gov/hipaa/for-professionals/security/guidance/guidance-risk-analysis/index.html</x:t>
        </x:is>
      </x:c>
      <x:c r="U89" s="5" t="inlineStr">
        <x:is>
          <x:t xml:space="preserve">Best-fit</x:t>
        </x:is>
      </x:c>
      <x:c r="V89" s="5" t="inlineStr">
        <x:is>
          <x:t xml:space="preserve">Vulnerability remediation is the treatment/mitigation step after risks are identified.</x:t>
        </x:is>
      </x:c>
      <x:c r="W89" s="5" t="inlineStr">
        <x:is>
          <x:t xml:space="preserve">Used for remediation evidence and related patch/vulnerability-management policy rows.</x:t>
        </x:is>
      </x:c>
      <x:c r="X89" s="5" t="n"/>
    </x:row>
    <x:row r="90" ht="30" customHeight="1">
      <x:c r="A90" s="5" t="inlineStr">
        <x:is>
          <x:t xml:space="preserve">ER-91|REQ-37-HIPAA|0265.09m1Organizational.2|Firewall Rules/Security Groups</x:t>
        </x:is>
      </x:c>
      <x:c r="B90" s="5" t="inlineStr">
        <x:is>
          <x:t xml:space="preserve">HITRUST e1.csv</x:t>
        </x:is>
      </x:c>
      <x:c r="C90" s="5" t="inlineStr">
        <x:is>
          <x:t xml:space="preserve">ER-91</x:t>
        </x:is>
      </x:c>
      <x:c r="D90" s="5" t="inlineStr">
        <x:is>
          <x:t xml:space="preserve">Configuration</x:t>
        </x:is>
      </x:c>
      <x:c r="E90" s="5" t="inlineStr">
        <x:is>
          <x:t xml:space="preserve">Firewall Rules/Security Groups</x:t>
        </x:is>
      </x:c>
      <x:c r="F90" s="5" t="inlineStr">
        <x:is>
          <x:t xml:space="preserve">REQ-37-HIPAA</x:t>
        </x:is>
      </x:c>
      <x:c r="G90" s="5" t="inlineStr">
        <x:is>
          <x:t xml:space="preserve">0265.09m1Organizational.2</x:t>
        </x:is>
      </x:c>
      <x:c r="H90" s="5" t="inlineStr">
        <x:is>
          <x:t xml:space="preserve">0265.09m1 Organizational.2</x:t>
        </x:is>
      </x:c>
      <x:c r="I90" s="5" t="inlineStr">
        <x:is>
          <x:t xml:space="preserve">1:Many</x:t>
        </x:is>
      </x:c>
      <x:c r="J90" s="5" t="n">
        <x:v>1</x:v>
      </x:c>
      <x:c r="K90" s="5" t="inlineStr">
        <x:is>
          <x:t xml:space="preserve">45 CFR § 164.312(a)(1)</x:t>
        </x:is>
      </x:c>
      <x:c r="L90" s="5" t="inlineStr">
        <x:is>
          <x:t xml:space="preserve">Access Control</x:t>
        </x:is>
      </x:c>
      <x:c r="M90" s="5" t="n">
        <x:v>1</x:v>
      </x:c>
      <x:c r="N90" s="5" t="inlineStr">
        <x:is>
          <x:t xml:space="preserve">45 C.F.R. § 164.312(a)(1)</x:t>
        </x:is>
      </x:c>
      <x:c r="O90" s="5" t="inlineStr">
        <x:is>
          <x:t xml:space="preserve">Access Control</x:t>
        </x:is>
      </x:c>
      <x:c r="P90" s="5" t="inlineStr">
        <x:is>
          <x:t xml:space="preserve">Implement technical policies and procedures for electronic information systems that maintain ePHI to allow access only to persons or software programs with authorized access rights.</x:t>
        </x:is>
      </x:c>
      <x:c r="Q90" s="5" t="inlineStr">
        <x:is>
          <x:t xml:space="preserve">Standard</x:t>
        </x:is>
      </x:c>
      <x:c r="R90" s="5" t="inlineStr">
        <x:is>
          <x:t xml:space="preserve">Technical Safeguards</x:t>
        </x:is>
      </x:c>
      <x:c r="S90" s="28" t="inlineStr">
        <x:is>
          <x:t xml:space="preserve">https://www.ecfr.gov/current/title-45/subtitle-A/subchapter-C/part-164/section-164.312</x:t>
        </x:is>
      </x:c>
      <x:c r="T90" s="28" t="inlineStr">
        <x:is>
          <x:t xml:space="preserve">https://www.hhs.gov/hipaa/for-professionals/compliance-enforcement/audit/protocol-edited/index.html</x:t>
        </x:is>
      </x:c>
      <x:c r="U90" s="5" t="inlineStr">
        <x:is>
          <x:t xml:space="preserve">Best-fit</x:t>
        </x:is>
      </x:c>
      <x:c r="V90" s="5" t="inlineStr">
        <x:is>
          <x:t xml:space="preserve">Firewall rules/security groups are a technical means of enforcing access restrictions around systems containing ePHI.</x:t>
        </x:is>
      </x:c>
      <x:c r="W90" s="5" t="inlineStr">
        <x:is>
          <x:t xml:space="preserve">Mapped to the broad access-control standard because HIPAA does not list firewall rules as a separate named specification.</x:t>
        </x:is>
      </x:c>
      <x:c r="X90" s="5" t="n"/>
    </x:row>
    <x:row r="91" ht="30" customHeight="1">
      <x:c r="A91" s="5" t="inlineStr">
        <x:is>
          <x:t xml:space="preserve">ER-91|REQ-37-HIPAA|0805.01m1Organizational.12|Firewall Rules/Security Groups</x:t>
        </x:is>
      </x:c>
      <x:c r="B91" s="5" t="inlineStr">
        <x:is>
          <x:t xml:space="preserve">HITRUST e1.csv</x:t>
        </x:is>
      </x:c>
      <x:c r="C91" s="5" t="inlineStr">
        <x:is>
          <x:t xml:space="preserve">ER-91</x:t>
        </x:is>
      </x:c>
      <x:c r="D91" s="5" t="inlineStr">
        <x:is>
          <x:t xml:space="preserve">Configuration</x:t>
        </x:is>
      </x:c>
      <x:c r="E91" s="5" t="inlineStr">
        <x:is>
          <x:t xml:space="preserve">Firewall Rules/Security Groups</x:t>
        </x:is>
      </x:c>
      <x:c r="F91" s="5" t="inlineStr">
        <x:is>
          <x:t xml:space="preserve">REQ-37-HIPAA</x:t>
        </x:is>
      </x:c>
      <x:c r="G91" s="5" t="inlineStr">
        <x:is>
          <x:t xml:space="preserve">0805.01m1Organizational.12</x:t>
        </x:is>
      </x:c>
      <x:c r="H91" s="5" t="inlineStr">
        <x:is>
          <x:t xml:space="preserve">0805.01m1 Organizational.12</x:t>
        </x:is>
      </x:c>
      <x:c r="I91" s="5" t="inlineStr">
        <x:is>
          <x:t xml:space="preserve">1:Many</x:t>
        </x:is>
      </x:c>
      <x:c r="J91" s="5" t="n">
        <x:v>1</x:v>
      </x:c>
      <x:c r="K91" s="5" t="inlineStr">
        <x:is>
          <x:t xml:space="preserve">45 CFR § 164.312(a)(1)</x:t>
        </x:is>
      </x:c>
      <x:c r="L91" s="5" t="inlineStr">
        <x:is>
          <x:t xml:space="preserve">Access Control</x:t>
        </x:is>
      </x:c>
      <x:c r="M91" s="5" t="n">
        <x:v>1</x:v>
      </x:c>
      <x:c r="N91" s="5" t="inlineStr">
        <x:is>
          <x:t xml:space="preserve">45 C.F.R. § 164.312(a)(1)</x:t>
        </x:is>
      </x:c>
      <x:c r="O91" s="5" t="inlineStr">
        <x:is>
          <x:t xml:space="preserve">Access Control</x:t>
        </x:is>
      </x:c>
      <x:c r="P91" s="5" t="inlineStr">
        <x:is>
          <x:t xml:space="preserve">Implement technical policies and procedures for electronic information systems that maintain ePHI to allow access only to persons or software programs with authorized access rights.</x:t>
        </x:is>
      </x:c>
      <x:c r="Q91" s="5" t="inlineStr">
        <x:is>
          <x:t xml:space="preserve">Standard</x:t>
        </x:is>
      </x:c>
      <x:c r="R91" s="5" t="inlineStr">
        <x:is>
          <x:t xml:space="preserve">Technical Safeguards</x:t>
        </x:is>
      </x:c>
      <x:c r="S91" s="28" t="inlineStr">
        <x:is>
          <x:t xml:space="preserve">https://www.ecfr.gov/current/title-45/subtitle-A/subchapter-C/part-164/section-164.312</x:t>
        </x:is>
      </x:c>
      <x:c r="T91" s="28" t="inlineStr">
        <x:is>
          <x:t xml:space="preserve">https://www.hhs.gov/hipaa/for-professionals/compliance-enforcement/audit/protocol-edited/index.html</x:t>
        </x:is>
      </x:c>
      <x:c r="U91" s="5" t="inlineStr">
        <x:is>
          <x:t xml:space="preserve">Best-fit</x:t>
        </x:is>
      </x:c>
      <x:c r="V91" s="5" t="inlineStr">
        <x:is>
          <x:t xml:space="preserve">Firewall rules/security groups are a technical means of enforcing access restrictions around systems containing ePHI.</x:t>
        </x:is>
      </x:c>
      <x:c r="W91" s="5" t="inlineStr">
        <x:is>
          <x:t xml:space="preserve">Mapped to the broad access-control standard because HIPAA does not list firewall rules as a separate named specification.</x:t>
        </x:is>
      </x:c>
      <x:c r="X91" s="5" t="n"/>
    </x:row>
    <x:row r="92" ht="30" customHeight="1">
      <x:c r="A92" s="5" t="inlineStr">
        <x:is>
          <x:t xml:space="preserve">ER-55|REQ-48-HIPAA|1561.11c1Organizational.4|Incident Response</x:t>
        </x:is>
      </x:c>
      <x:c r="B92" s="5" t="inlineStr">
        <x:is>
          <x:t xml:space="preserve">HITRUST e1.csv</x:t>
        </x:is>
      </x:c>
      <x:c r="C92" s="5" t="inlineStr">
        <x:is>
          <x:t xml:space="preserve">ER-55</x:t>
        </x:is>
      </x:c>
      <x:c r="D92" s="5" t="inlineStr">
        <x:is>
          <x:t xml:space="preserve">Policy</x:t>
        </x:is>
      </x:c>
      <x:c r="E92" s="5" t="inlineStr">
        <x:is>
          <x:t xml:space="preserve">Incident Response</x:t>
        </x:is>
      </x:c>
      <x:c r="F92" s="5" t="inlineStr">
        <x:is>
          <x:t xml:space="preserve">REQ-48-HIPAA</x:t>
        </x:is>
      </x:c>
      <x:c r="G92" s="5" t="inlineStr">
        <x:is>
          <x:t xml:space="preserve">1561.11c1Organizational.4</x:t>
        </x:is>
      </x:c>
      <x:c r="H92" s="5" t="inlineStr">
        <x:is>
          <x:t xml:space="preserve">1561.11c1 Organizational.4</x:t>
        </x:is>
      </x:c>
      <x:c r="I92" s="5" t="inlineStr">
        <x:is>
          <x:t xml:space="preserve">Many:Many</x:t>
        </x:is>
      </x:c>
      <x:c r="J92" s="5" t="n">
        <x:v>1</x:v>
      </x:c>
      <x:c r="K92" s="5" t="inlineStr">
        <x:is>
          <x:t xml:space="preserve">45 CFR § 164.308(a)(6)(i)</x:t>
        </x:is>
      </x:c>
      <x:c r="L92" s="5" t="inlineStr">
        <x:is>
          <x:t xml:space="preserve">Security Incident Procedures</x:t>
        </x:is>
      </x:c>
      <x:c r="M92" s="5" t="n">
        <x:v>1</x:v>
      </x:c>
      <x:c r="N92" s="5" t="inlineStr">
        <x:is>
          <x:t xml:space="preserve">45 C.F.R. § 164.308(a)(6)(i)</x:t>
        </x:is>
      </x:c>
      <x:c r="O92" s="5" t="inlineStr">
        <x:is>
          <x:t xml:space="preserve">Security Incident Procedures</x:t>
        </x:is>
      </x:c>
      <x:c r="P92" s="5" t="inlineStr">
        <x:is>
          <x:t xml:space="preserve">Implement policies and procedures to address security incidents.</x:t>
        </x:is>
      </x:c>
      <x:c r="Q92" s="5" t="inlineStr">
        <x:is>
          <x:t xml:space="preserve">Standard</x:t>
        </x:is>
      </x:c>
      <x:c r="R92" s="5" t="inlineStr">
        <x:is>
          <x:t xml:space="preserve">Administrative Safeguards</x:t>
        </x:is>
      </x:c>
      <x:c r="S92" s="28" t="inlineStr">
        <x:is>
          <x:t xml:space="preserve">https://www.ecfr.gov/current/title-45/subtitle-A/subchapter-C/part-164/section-164.308</x:t>
        </x:is>
      </x:c>
      <x:c r="T92" s="28" t="inlineStr">
        <x:is>
          <x:t xml:space="preserve">https://www.hhs.gov/hipaa/for-professionals/faq/2002/what-does-the-security-rule-require-a-covered-entity-to-do-to-comply/index.html</x:t>
        </x:is>
      </x:c>
      <x:c r="U92" s="5" t="inlineStr">
        <x:is>
          <x:t xml:space="preserve">Direct</x:t>
        </x:is>
      </x:c>
      <x:c r="V92" s="5" t="inlineStr">
        <x:is>
          <x:t xml:space="preserve">Incident-response policy aligns directly to the Security Incident Procedures standard.</x:t>
        </x:is>
      </x:c>
      <x:c r="W92" s="5" t="inlineStr">
        <x:is>
          <x:t xml:space="preserve">Used for policy-level incident-response rows.</x:t>
        </x:is>
      </x:c>
      <x:c r="X92" s="5" t="n"/>
    </x:row>
    <x:row r="93" ht="30" customHeight="1">
      <x:c r="A93" s="5" t="inlineStr">
        <x:is>
          <x:t xml:space="preserve">ER-55|REQ-48-HIPAA|1589.11c1Organizational.5|Incident Response</x:t>
        </x:is>
      </x:c>
      <x:c r="B93" s="5" t="inlineStr">
        <x:is>
          <x:t xml:space="preserve">HITRUST e1.csv</x:t>
        </x:is>
      </x:c>
      <x:c r="C93" s="5" t="inlineStr">
        <x:is>
          <x:t xml:space="preserve">ER-55</x:t>
        </x:is>
      </x:c>
      <x:c r="D93" s="5" t="inlineStr">
        <x:is>
          <x:t xml:space="preserve">Policy</x:t>
        </x:is>
      </x:c>
      <x:c r="E93" s="5" t="inlineStr">
        <x:is>
          <x:t xml:space="preserve">Incident Response</x:t>
        </x:is>
      </x:c>
      <x:c r="F93" s="5" t="inlineStr">
        <x:is>
          <x:t xml:space="preserve">REQ-48-HIPAA</x:t>
        </x:is>
      </x:c>
      <x:c r="G93" s="5" t="inlineStr">
        <x:is>
          <x:t xml:space="preserve">1589.11c1Organizational.5</x:t>
        </x:is>
      </x:c>
      <x:c r="H93" s="5" t="inlineStr">
        <x:is>
          <x:t xml:space="preserve">1589.11c1 Organizational.5</x:t>
        </x:is>
      </x:c>
      <x:c r="I93" s="5" t="inlineStr">
        <x:is>
          <x:t xml:space="preserve">Many:Many</x:t>
        </x:is>
      </x:c>
      <x:c r="J93" s="5" t="n">
        <x:v>1</x:v>
      </x:c>
      <x:c r="K93" s="5" t="inlineStr">
        <x:is>
          <x:t xml:space="preserve">45 CFR § 164.308(a)(6)(i)</x:t>
        </x:is>
      </x:c>
      <x:c r="L93" s="5" t="inlineStr">
        <x:is>
          <x:t xml:space="preserve">Security Incident Procedures</x:t>
        </x:is>
      </x:c>
      <x:c r="M93" s="5" t="n">
        <x:v>1</x:v>
      </x:c>
      <x:c r="N93" s="5" t="inlineStr">
        <x:is>
          <x:t xml:space="preserve">45 C.F.R. § 164.308(a)(6)(i)</x:t>
        </x:is>
      </x:c>
      <x:c r="O93" s="5" t="inlineStr">
        <x:is>
          <x:t xml:space="preserve">Security Incident Procedures</x:t>
        </x:is>
      </x:c>
      <x:c r="P93" s="5" t="inlineStr">
        <x:is>
          <x:t xml:space="preserve">Implement policies and procedures to address security incidents.</x:t>
        </x:is>
      </x:c>
      <x:c r="Q93" s="5" t="inlineStr">
        <x:is>
          <x:t xml:space="preserve">Standard</x:t>
        </x:is>
      </x:c>
      <x:c r="R93" s="5" t="inlineStr">
        <x:is>
          <x:t xml:space="preserve">Administrative Safeguards</x:t>
        </x:is>
      </x:c>
      <x:c r="S93" s="28" t="inlineStr">
        <x:is>
          <x:t xml:space="preserve">https://www.ecfr.gov/current/title-45/subtitle-A/subchapter-C/part-164/section-164.308</x:t>
        </x:is>
      </x:c>
      <x:c r="T93" s="28" t="inlineStr">
        <x:is>
          <x:t xml:space="preserve">https://www.hhs.gov/hipaa/for-professionals/faq/2002/what-does-the-security-rule-require-a-covered-entity-to-do-to-comply/index.html</x:t>
        </x:is>
      </x:c>
      <x:c r="U93" s="5" t="inlineStr">
        <x:is>
          <x:t xml:space="preserve">Direct</x:t>
        </x:is>
      </x:c>
      <x:c r="V93" s="5" t="inlineStr">
        <x:is>
          <x:t xml:space="preserve">Incident-response policy aligns directly to the Security Incident Procedures standard.</x:t>
        </x:is>
      </x:c>
      <x:c r="W93" s="5" t="inlineStr">
        <x:is>
          <x:t xml:space="preserve">Used for policy-level incident-response rows.</x:t>
        </x:is>
      </x:c>
      <x:c r="X93" s="5" t="n"/>
    </x:row>
    <x:row r="94" ht="30" customHeight="1">
      <x:c r="A94" s="5" t="inlineStr">
        <x:is>
          <x:t xml:space="preserve">ER-55|REQ-49-HIPAA|1561.11c1Organizational.4|Incident Response</x:t>
        </x:is>
      </x:c>
      <x:c r="B94" s="5" t="inlineStr">
        <x:is>
          <x:t xml:space="preserve">HITRUST e1.csv</x:t>
        </x:is>
      </x:c>
      <x:c r="C94" s="5" t="inlineStr">
        <x:is>
          <x:t xml:space="preserve">ER-55</x:t>
        </x:is>
      </x:c>
      <x:c r="D94" s="5" t="inlineStr">
        <x:is>
          <x:t xml:space="preserve">Policy</x:t>
        </x:is>
      </x:c>
      <x:c r="E94" s="5" t="inlineStr">
        <x:is>
          <x:t xml:space="preserve">Incident Response</x:t>
        </x:is>
      </x:c>
      <x:c r="F94" s="5" t="inlineStr">
        <x:is>
          <x:t xml:space="preserve">REQ-49-HIPAA</x:t>
        </x:is>
      </x:c>
      <x:c r="G94" s="5" t="inlineStr">
        <x:is>
          <x:t xml:space="preserve">1561.11c1Organizational.4</x:t>
        </x:is>
      </x:c>
      <x:c r="H94" s="5" t="inlineStr">
        <x:is>
          <x:t xml:space="preserve">1561.11c1 Organizational.4</x:t>
        </x:is>
      </x:c>
      <x:c r="I94" s="5" t="inlineStr">
        <x:is>
          <x:t xml:space="preserve">Many:Many</x:t>
        </x:is>
      </x:c>
      <x:c r="J94" s="5" t="n">
        <x:v>1</x:v>
      </x:c>
      <x:c r="K94" s="5" t="inlineStr">
        <x:is>
          <x:t xml:space="preserve">45 CFR § 164.308(a)(6)(ii)</x:t>
        </x:is>
      </x:c>
      <x:c r="L94" s="5" t="inlineStr">
        <x:is>
          <x:t xml:space="preserve">Security Incident Procedures — Response and Reporting</x:t>
        </x:is>
      </x:c>
      <x:c r="M94" s="5" t="n">
        <x:v>1</x:v>
      </x:c>
      <x:c r="N94" s="5" t="inlineStr">
        <x:is>
          <x:t xml:space="preserve">45 C.F.R. § 164.308(a)(6)(ii)</x:t>
        </x:is>
      </x:c>
      <x:c r="O94" s="5" t="inlineStr">
        <x:is>
          <x:t xml:space="preserve">Security Incident Procedures — Response and Reporting</x:t>
        </x:is>
      </x:c>
      <x:c r="P94" s="5" t="inlineStr">
        <x:is>
          <x:t xml:space="preserve">Identify and respond to suspected or known security incidents, mitigate harmful effects to the extent practicable, and document incidents and outcomes.</x:t>
        </x:is>
      </x:c>
      <x:c r="Q94" s="5" t="inlineStr">
        <x:is>
          <x:t xml:space="preserve">Required implementation specification</x:t>
        </x:is>
      </x:c>
      <x:c r="R94" s="5" t="inlineStr">
        <x:is>
          <x:t xml:space="preserve">Administrative Safeguards</x:t>
        </x:is>
      </x:c>
      <x:c r="S94" s="28" t="inlineStr">
        <x:is>
          <x:t xml:space="preserve">https://www.ecfr.gov/current/title-45/subtitle-A/subchapter-C/part-164/section-164.308</x:t>
        </x:is>
      </x:c>
      <x:c r="T94" s="28" t="inlineStr">
        <x:is>
          <x:t xml:space="preserve">https://www.hhs.gov/hipaa/for-professionals/faq/2002/what-does-the-security-rule-require-a-covered-entity-to-do-to-comply/index.html</x:t>
        </x:is>
      </x:c>
      <x:c r="U94" s="5" t="inlineStr">
        <x:is>
          <x:t xml:space="preserve">Direct</x:t>
        </x:is>
      </x:c>
      <x:c r="V94" s="5" t="inlineStr">
        <x:is>
          <x:t xml:space="preserve">This internal control best aligns to the response/reporting implementation specification under incident procedures.</x:t>
        </x:is>
      </x:c>
      <x:c r="W94" s="5" t="inlineStr">
        <x:is>
          <x:t xml:space="preserve">Used where the spreadsheet distinguishes the response/reporting component of incident handling.</x:t>
        </x:is>
      </x:c>
      <x:c r="X94" s="5" t="n"/>
    </x:row>
    <x:row r="95" ht="30" customHeight="1">
      <x:c r="A95" s="5" t="inlineStr">
        <x:is>
          <x:t xml:space="preserve">ER-55|REQ-49-HIPAA|1589.11c1Organizational.5|Incident Response</x:t>
        </x:is>
      </x:c>
      <x:c r="B95" s="5" t="inlineStr">
        <x:is>
          <x:t xml:space="preserve">HITRUST e1.csv</x:t>
        </x:is>
      </x:c>
      <x:c r="C95" s="5" t="inlineStr">
        <x:is>
          <x:t xml:space="preserve">ER-55</x:t>
        </x:is>
      </x:c>
      <x:c r="D95" s="5" t="inlineStr">
        <x:is>
          <x:t xml:space="preserve">Policy</x:t>
        </x:is>
      </x:c>
      <x:c r="E95" s="5" t="inlineStr">
        <x:is>
          <x:t xml:space="preserve">Incident Response</x:t>
        </x:is>
      </x:c>
      <x:c r="F95" s="5" t="inlineStr">
        <x:is>
          <x:t xml:space="preserve">REQ-49-HIPAA</x:t>
        </x:is>
      </x:c>
      <x:c r="G95" s="5" t="inlineStr">
        <x:is>
          <x:t xml:space="preserve">1589.11c1Organizational.5</x:t>
        </x:is>
      </x:c>
      <x:c r="H95" s="5" t="inlineStr">
        <x:is>
          <x:t xml:space="preserve">1589.11c1 Organizational.5</x:t>
        </x:is>
      </x:c>
      <x:c r="I95" s="5" t="inlineStr">
        <x:is>
          <x:t xml:space="preserve">Many:Many</x:t>
        </x:is>
      </x:c>
      <x:c r="J95" s="5" t="n">
        <x:v>1</x:v>
      </x:c>
      <x:c r="K95" s="5" t="inlineStr">
        <x:is>
          <x:t xml:space="preserve">45 CFR § 164.308(a)(6)(ii)</x:t>
        </x:is>
      </x:c>
      <x:c r="L95" s="5" t="inlineStr">
        <x:is>
          <x:t xml:space="preserve">Security Incident Procedures — Response and Reporting</x:t>
        </x:is>
      </x:c>
      <x:c r="M95" s="5" t="n">
        <x:v>1</x:v>
      </x:c>
      <x:c r="N95" s="5" t="inlineStr">
        <x:is>
          <x:t xml:space="preserve">45 C.F.R. § 164.308(a)(6)(ii)</x:t>
        </x:is>
      </x:c>
      <x:c r="O95" s="5" t="inlineStr">
        <x:is>
          <x:t xml:space="preserve">Security Incident Procedures — Response and Reporting</x:t>
        </x:is>
      </x:c>
      <x:c r="P95" s="5" t="inlineStr">
        <x:is>
          <x:t xml:space="preserve">Identify and respond to suspected or known security incidents, mitigate harmful effects to the extent practicable, and document incidents and outcomes.</x:t>
        </x:is>
      </x:c>
      <x:c r="Q95" s="5" t="inlineStr">
        <x:is>
          <x:t xml:space="preserve">Required implementation specification</x:t>
        </x:is>
      </x:c>
      <x:c r="R95" s="5" t="inlineStr">
        <x:is>
          <x:t xml:space="preserve">Administrative Safeguards</x:t>
        </x:is>
      </x:c>
      <x:c r="S95" s="28" t="inlineStr">
        <x:is>
          <x:t xml:space="preserve">https://www.ecfr.gov/current/title-45/subtitle-A/subchapter-C/part-164/section-164.308</x:t>
        </x:is>
      </x:c>
      <x:c r="T95" s="28" t="inlineStr">
        <x:is>
          <x:t xml:space="preserve">https://www.hhs.gov/hipaa/for-professionals/faq/2002/what-does-the-security-rule-require-a-covered-entity-to-do-to-comply/index.html</x:t>
        </x:is>
      </x:c>
      <x:c r="U95" s="5" t="inlineStr">
        <x:is>
          <x:t xml:space="preserve">Direct</x:t>
        </x:is>
      </x:c>
      <x:c r="V95" s="5" t="inlineStr">
        <x:is>
          <x:t xml:space="preserve">This internal control best aligns to the response/reporting implementation specification under incident procedures.</x:t>
        </x:is>
      </x:c>
      <x:c r="W95" s="5" t="inlineStr">
        <x:is>
          <x:t xml:space="preserve">Used where the spreadsheet distinguishes the response/reporting component of incident handling.</x:t>
        </x:is>
      </x:c>
      <x:c r="X95" s="5" t="n"/>
    </x:row>
    <x:row r="96" ht="30" customHeight="1">
      <x:c r="A96" s="5" t="inlineStr">
        <x:is>
          <x:t xml:space="preserve">ER-57|REQ-1-HIPAA|0113.04a1Organizational.2|Information Security</x:t>
        </x:is>
      </x:c>
      <x:c r="B96" s="5" t="inlineStr">
        <x:is>
          <x:t xml:space="preserve">HITRUST e1.csv</x:t>
        </x:is>
      </x:c>
      <x:c r="C96" s="5" t="inlineStr">
        <x:is>
          <x:t xml:space="preserve">ER-57</x:t>
        </x:is>
      </x:c>
      <x:c r="D96" s="5" t="inlineStr">
        <x:is>
          <x:t xml:space="preserve">Policy</x:t>
        </x:is>
      </x:c>
      <x:c r="E96" s="5" t="inlineStr">
        <x:is>
          <x:t xml:space="preserve">Information Security</x:t>
        </x:is>
      </x:c>
      <x:c r="F96" s="5" t="inlineStr">
        <x:is>
          <x:t xml:space="preserve">REQ-1-HIPAA</x:t>
        </x:is>
      </x:c>
      <x:c r="G96" s="5" t="inlineStr">
        <x:is>
          <x:t xml:space="preserve">0113.04a1Organizational.2</x:t>
        </x:is>
      </x:c>
      <x:c r="H96" s="5" t="inlineStr">
        <x:is>
          <x:t xml:space="preserve">0113.04a1 Organizational.2</x:t>
        </x:is>
      </x:c>
      <x:c r="I96" s="5" t="inlineStr">
        <x:is>
          <x:t xml:space="preserve">Many:1</x:t>
        </x:is>
      </x:c>
      <x:c r="J96" s="5" t="n">
        <x:v>2</x:v>
      </x:c>
      <x:c r="K96" s="5" t="inlineStr">
        <x:is>
          <x:t xml:space="preserve">45 CFR § 164.316(a); 45 CFR § 164.316(b)(1)</x:t>
        </x:is>
      </x:c>
      <x:c r="L96" s="5" t="inlineStr">
        <x:is>
          <x:t xml:space="preserve">Policies and Procedures; Documentation</x:t>
        </x:is>
      </x:c>
      <x:c r="M96" s="5" t="n">
        <x:v>1</x:v>
      </x:c>
      <x:c r="N96" s="5" t="inlineStr">
        <x:is>
          <x:t xml:space="preserve">45 C.F.R. § 164.316(a)</x:t>
        </x:is>
      </x:c>
      <x:c r="O96" s="5" t="inlineStr">
        <x:is>
          <x:t xml:space="preserve">Policies and Procedures</x:t>
        </x:is>
      </x:c>
      <x:c r="P96" s="5" t="inlineStr">
        <x:is>
          <x:t xml:space="preserve">Implement reasonable and appropriate policies and procedures to comply with the Security Rule standards, implementation specifications, and other requirements.</x:t>
        </x:is>
      </x:c>
      <x:c r="Q96" s="5" t="inlineStr">
        <x:is>
          <x:t xml:space="preserve">Standard</x:t>
        </x:is>
      </x:c>
      <x:c r="R96" s="5" t="inlineStr">
        <x:is>
          <x:t xml:space="preserve">Policies / Documentation</x:t>
        </x:is>
      </x:c>
      <x:c r="S96" s="28" t="inlineStr">
        <x:is>
          <x:t xml:space="preserve">https://www.ecfr.gov/current/title-45/subtitle-A/subchapter-C/part-164/section-164.316</x:t>
        </x:is>
      </x:c>
      <x:c r="T96" s="28" t="inlineStr">
        <x:is>
          <x:t xml:space="preserve">https://www.hhs.gov/sites/default/files/ocr/privacy/hipaa/administrative/securityrule/pprequirements.pdf</x:t>
        </x:is>
      </x:c>
      <x:c r="U96" s="5" t="inlineStr">
        <x:is>
          <x:t xml:space="preserve">Best-fit (broad policy control)</x:t>
        </x:is>
      </x:c>
      <x:c r="V96" s="5" t="inlineStr">
        <x:is>
          <x:t xml:space="preserve">Internal control/action item is a general information-security policy repository rather than a single named HIPAA implementation specification; mapped to the Security Rule's policies/procedures and documentation requirements.</x:t>
        </x:is>
      </x:c>
      <x:c r="W96" s="5" t="inlineStr">
        <x:is>
          <x:t xml:space="preserve">Used as the umbrella HIPAA citation for documented security policies. This is broader than any single safeguard requirement.</x:t>
        </x:is>
      </x:c>
      <x:c r="X96" s="5" t="n"/>
    </x:row>
    <x:row r="97" ht="30" customHeight="1">
      <x:c r="A97" s="5" t="inlineStr">
        <x:is>
          <x:t xml:space="preserve">ER-57|REQ-1-HIPAA|0113.04a1Organizational.2|Information Security</x:t>
        </x:is>
      </x:c>
      <x:c r="B97" s="5" t="inlineStr">
        <x:is>
          <x:t xml:space="preserve">HITRUST e1.csv</x:t>
        </x:is>
      </x:c>
      <x:c r="C97" s="5" t="inlineStr">
        <x:is>
          <x:t xml:space="preserve">ER-57</x:t>
        </x:is>
      </x:c>
      <x:c r="D97" s="5" t="inlineStr">
        <x:is>
          <x:t xml:space="preserve">Policy</x:t>
        </x:is>
      </x:c>
      <x:c r="E97" s="5" t="inlineStr">
        <x:is>
          <x:t xml:space="preserve">Information Security</x:t>
        </x:is>
      </x:c>
      <x:c r="F97" s="5" t="inlineStr">
        <x:is>
          <x:t xml:space="preserve">REQ-1-HIPAA</x:t>
        </x:is>
      </x:c>
      <x:c r="G97" s="5" t="inlineStr">
        <x:is>
          <x:t xml:space="preserve">0113.04a1Organizational.2</x:t>
        </x:is>
      </x:c>
      <x:c r="H97" s="5" t="inlineStr">
        <x:is>
          <x:t xml:space="preserve">0113.04a1 Organizational.2</x:t>
        </x:is>
      </x:c>
      <x:c r="I97" s="5" t="inlineStr">
        <x:is>
          <x:t xml:space="preserve">Many:1</x:t>
        </x:is>
      </x:c>
      <x:c r="J97" s="5" t="n">
        <x:v>2</x:v>
      </x:c>
      <x:c r="K97" s="5" t="inlineStr">
        <x:is>
          <x:t xml:space="preserve">45 CFR § 164.316(a); 45 CFR § 164.316(b)(1)</x:t>
        </x:is>
      </x:c>
      <x:c r="L97" s="5" t="inlineStr">
        <x:is>
          <x:t xml:space="preserve">Policies and Procedures; Documentation</x:t>
        </x:is>
      </x:c>
      <x:c r="M97" s="5" t="n">
        <x:v>2</x:v>
      </x:c>
      <x:c r="N97" s="5" t="inlineStr">
        <x:is>
          <x:t xml:space="preserve">45 C.F.R. § 164.316(b)(1)</x:t>
        </x:is>
      </x:c>
      <x:c r="O97" s="5" t="inlineStr">
        <x:is>
          <x:t xml:space="preserve">Documentation</x:t>
        </x:is>
      </x:c>
      <x:c r="P97" s="5" t="inlineStr">
        <x:is>
          <x:t xml:space="preserve">Maintain written or electronic policies and procedures implemented to comply with the Security Rule and written or electronic records of required actions, activities, and assessments.</x:t>
        </x:is>
      </x:c>
      <x:c r="Q97" s="5" t="inlineStr">
        <x:is>
          <x:t xml:space="preserve">Standard</x:t>
        </x:is>
      </x:c>
      <x:c r="R97" s="5" t="inlineStr">
        <x:is>
          <x:t xml:space="preserve">Policies / Documentation</x:t>
        </x:is>
      </x:c>
      <x:c r="S97" s="28" t="inlineStr">
        <x:is>
          <x:t xml:space="preserve">https://www.ecfr.gov/current/title-45/subtitle-A/subchapter-C/part-164/section-164.316</x:t>
        </x:is>
      </x:c>
      <x:c r="T97" s="28" t="inlineStr">
        <x:is>
          <x:t xml:space="preserve">https://www.hhs.gov/sites/default/files/ocr/privacy/hipaa/administrative/securityrule/pprequirements.pdf</x:t>
        </x:is>
      </x:c>
      <x:c r="U97" s="5" t="inlineStr">
        <x:is>
          <x:t xml:space="preserve">Best-fit (broad policy control)</x:t>
        </x:is>
      </x:c>
      <x:c r="V97" s="5" t="inlineStr">
        <x:is>
          <x:t xml:space="preserve">Internal control/action item is a general information-security policy repository rather than a single named HIPAA implementation specification; mapped to the Security Rule's policies/procedures and documentation requirements.</x:t>
        </x:is>
      </x:c>
      <x:c r="W97" s="5" t="inlineStr">
        <x:is>
          <x:t xml:space="preserve">Used as the umbrella HIPAA citation for documented security policies. This is broader than any single safeguard requirement.</x:t>
        </x:is>
      </x:c>
      <x:c r="X97" s="5" t="n"/>
    </x:row>
    <x:row r="98" ht="30" customHeight="1">
      <x:c r="A98" s="5" t="inlineStr">
        <x:is>
          <x:t xml:space="preserve">ER-57|REQ-12-HIPAA|0113.04a1Organizational.2|Information Security</x:t>
        </x:is>
      </x:c>
      <x:c r="B98" s="5" t="inlineStr">
        <x:is>
          <x:t xml:space="preserve">HITRUST e1.csv</x:t>
        </x:is>
      </x:c>
      <x:c r="C98" s="5" t="inlineStr">
        <x:is>
          <x:t xml:space="preserve">ER-57</x:t>
        </x:is>
      </x:c>
      <x:c r="D98" s="5" t="inlineStr">
        <x:is>
          <x:t xml:space="preserve">Policy</x:t>
        </x:is>
      </x:c>
      <x:c r="E98" s="5" t="inlineStr">
        <x:is>
          <x:t xml:space="preserve">Information Security</x:t>
        </x:is>
      </x:c>
      <x:c r="F98" s="5" t="inlineStr">
        <x:is>
          <x:t xml:space="preserve">REQ-12-HIPAA</x:t>
        </x:is>
      </x:c>
      <x:c r="G98" s="5" t="inlineStr">
        <x:is>
          <x:t xml:space="preserve">0113.04a1Organizational.2</x:t>
        </x:is>
      </x:c>
      <x:c r="H98" s="5" t="inlineStr">
        <x:is>
          <x:t xml:space="preserve">0113.04a1 Organizational.2</x:t>
        </x:is>
      </x:c>
      <x:c r="I98" s="5" t="inlineStr">
        <x:is>
          <x:t xml:space="preserve">Many:1</x:t>
        </x:is>
      </x:c>
      <x:c r="J98" s="5" t="n">
        <x:v>2</x:v>
      </x:c>
      <x:c r="K98" s="5" t="inlineStr">
        <x:is>
          <x:t xml:space="preserve">45 CFR § 164.308(a)(5)</x:t>
        </x:is>
      </x:c>
      <x:c r="L98" s="5" t="inlineStr">
        <x:is>
          <x:t xml:space="preserve">Security Awareness and Training</x:t>
        </x:is>
      </x:c>
      <x:c r="M98" s="5" t="n">
        <x:v>1</x:v>
      </x:c>
      <x:c r="N98" s="5" t="inlineStr">
        <x:is>
          <x:t xml:space="preserve">45 C.F.R. § 164.308(a)(5)</x:t>
        </x:is>
      </x:c>
      <x:c r="O98" s="5" t="inlineStr">
        <x:is>
          <x:t xml:space="preserve">Security Awareness and Training</x:t>
        </x:is>
      </x:c>
      <x:c r="P98" s="5" t="inlineStr">
        <x:is>
          <x:t xml:space="preserve">Implement a security awareness and training program for all members of the workforce, including management.</x:t>
        </x:is>
      </x:c>
      <x:c r="Q98" s="5" t="inlineStr">
        <x:is>
          <x:t xml:space="preserve">Standard</x:t>
        </x:is>
      </x:c>
      <x:c r="R98" s="5" t="inlineStr">
        <x:is>
          <x:t xml:space="preserve">Administrative Safeguards</x:t>
        </x:is>
      </x:c>
      <x:c r="S98" s="28" t="inlineStr">
        <x:is>
          <x:t xml:space="preserve">https://www.ecfr.gov/current/title-45/subtitle-A/subchapter-C/part-164/section-164.308</x:t>
        </x:is>
      </x:c>
      <x:c r="T98" s="28" t="inlineStr">
        <x:is>
          <x:t xml:space="preserve">https://www.hhs.gov/sites/default/files/ocr/privacy/hipaa/administrative/securityrule/adminsafeguards.pdf</x:t>
        </x:is>
      </x:c>
      <x:c r="U98" s="5" t="inlineStr">
        <x:is>
          <x:t xml:space="preserve">Direct</x:t>
        </x:is>
      </x:c>
      <x:c r="V98" s="5" t="inlineStr">
        <x:is>
          <x:t xml:space="preserve">Action item and control context align to workforce security-awareness training for new hires.</x:t>
        </x:is>
      </x:c>
      <x:c r="W98" s="5" t="inlineStr">
        <x:is>
          <x:t xml:space="preserve">Mapped at the standard level because the spreadsheet does not break new-hire training into the more granular addressable sub-specifications.</x:t>
        </x:is>
      </x:c>
      <x:c r="X98" s="5" t="n"/>
    </x:row>
    <x:row r="99" ht="30" customHeight="1">
      <x:c r="A99" s="5" t="inlineStr">
        <x:is>
          <x:t xml:space="preserve">ER-57|REQ-13-HIPAA|0113.04a1Organizational.2|Information Security</x:t>
        </x:is>
      </x:c>
      <x:c r="B99" s="5" t="inlineStr">
        <x:is>
          <x:t xml:space="preserve">HITRUST e1.csv</x:t>
        </x:is>
      </x:c>
      <x:c r="C99" s="5" t="inlineStr">
        <x:is>
          <x:t xml:space="preserve">ER-57</x:t>
        </x:is>
      </x:c>
      <x:c r="D99" s="5" t="inlineStr">
        <x:is>
          <x:t xml:space="preserve">Policy</x:t>
        </x:is>
      </x:c>
      <x:c r="E99" s="5" t="inlineStr">
        <x:is>
          <x:t xml:space="preserve">Information Security</x:t>
        </x:is>
      </x:c>
      <x:c r="F99" s="5" t="inlineStr">
        <x:is>
          <x:t xml:space="preserve">REQ-13-HIPAA</x:t>
        </x:is>
      </x:c>
      <x:c r="G99" s="5" t="inlineStr">
        <x:is>
          <x:t xml:space="preserve">0113.04a1Organizational.2</x:t>
        </x:is>
      </x:c>
      <x:c r="H99" s="5" t="inlineStr">
        <x:is>
          <x:t xml:space="preserve">0113.04a1 Organizational.2</x:t>
        </x:is>
      </x:c>
      <x:c r="I99" s="5" t="inlineStr">
        <x:is>
          <x:t xml:space="preserve">Many:1</x:t>
        </x:is>
      </x:c>
      <x:c r="J99" s="5" t="n">
        <x:v>2</x:v>
      </x:c>
      <x:c r="K99" s="5" t="inlineStr">
        <x:is>
          <x:t xml:space="preserve">45 CFR § 164.308(a)(5)</x:t>
        </x:is>
      </x:c>
      <x:c r="L99" s="5" t="inlineStr">
        <x:is>
          <x:t xml:space="preserve">Security Awareness and Training</x:t>
        </x:is>
      </x:c>
      <x:c r="M99" s="5" t="n">
        <x:v>1</x:v>
      </x:c>
      <x:c r="N99" s="5" t="inlineStr">
        <x:is>
          <x:t xml:space="preserve">45 C.F.R. § 164.308(a)(5)</x:t>
        </x:is>
      </x:c>
      <x:c r="O99" s="5" t="inlineStr">
        <x:is>
          <x:t xml:space="preserve">Security Awareness and Training</x:t>
        </x:is>
      </x:c>
      <x:c r="P99" s="5" t="inlineStr">
        <x:is>
          <x:t xml:space="preserve">Implement a security awareness and training program for all members of the workforce, including management.</x:t>
        </x:is>
      </x:c>
      <x:c r="Q99" s="5" t="inlineStr">
        <x:is>
          <x:t xml:space="preserve">Standard</x:t>
        </x:is>
      </x:c>
      <x:c r="R99" s="5" t="inlineStr">
        <x:is>
          <x:t xml:space="preserve">Administrative Safeguards</x:t>
        </x:is>
      </x:c>
      <x:c r="S99" s="28" t="inlineStr">
        <x:is>
          <x:t xml:space="preserve">https://www.ecfr.gov/current/title-45/subtitle-A/subchapter-C/part-164/section-164.308</x:t>
        </x:is>
      </x:c>
      <x:c r="T99" s="28" t="inlineStr">
        <x:is>
          <x:t xml:space="preserve">https://www.hhs.gov/sites/default/files/ocr/privacy/hipaa/administrative/securityrule/adminsafeguards.pdf</x:t>
        </x:is>
      </x:c>
      <x:c r="U99" s="5" t="inlineStr">
        <x:is>
          <x:t xml:space="preserve">Direct</x:t>
        </x:is>
      </x:c>
      <x:c r="V99" s="5" t="inlineStr">
        <x:is>
          <x:t xml:space="preserve">Action item and control context align to ongoing/current-employee security-awareness training.</x:t>
        </x:is>
      </x:c>
      <x:c r="W99" s="5" t="inlineStr">
        <x:is>
          <x:t xml:space="preserve">Mapped at the standard level because the spreadsheet expresses periodic training broadly, not only reminders or phishing-specific sub-controls.</x:t>
        </x:is>
      </x:c>
      <x:c r="X99" s="5" t="n"/>
    </x:row>
    <x:row r="100" ht="30" customHeight="1">
      <x:c r="A100" s="5" t="inlineStr">
        <x:is>
          <x:t xml:space="preserve">ER-56|REQ-1-HIPAA|0113.04a1Organizational.2|Information Security Policy Repository</x:t>
        </x:is>
      </x:c>
      <x:c r="B100" s="5" t="inlineStr">
        <x:is>
          <x:t xml:space="preserve">HITRUST e1.csv</x:t>
        </x:is>
      </x:c>
      <x:c r="C100" s="5" t="inlineStr">
        <x:is>
          <x:t xml:space="preserve">ER-56</x:t>
        </x:is>
      </x:c>
      <x:c r="D100" s="5" t="inlineStr">
        <x:is>
          <x:t xml:space="preserve">Operational</x:t>
        </x:is>
      </x:c>
      <x:c r="E100" s="5" t="inlineStr">
        <x:is>
          <x:t xml:space="preserve">Information Security Policy Repository</x:t>
        </x:is>
      </x:c>
      <x:c r="F100" s="5" t="inlineStr">
        <x:is>
          <x:t xml:space="preserve">REQ-1-HIPAA</x:t>
        </x:is>
      </x:c>
      <x:c r="G100" s="5" t="inlineStr">
        <x:is>
          <x:t xml:space="preserve">0113.04a1Organizational.2</x:t>
        </x:is>
      </x:c>
      <x:c r="H100" s="5" t="inlineStr">
        <x:is>
          <x:t xml:space="preserve">0113.04a1 Organizational.2</x:t>
        </x:is>
      </x:c>
      <x:c r="I100" s="5" t="inlineStr">
        <x:is>
          <x:t xml:space="preserve">Many:1</x:t>
        </x:is>
      </x:c>
      <x:c r="J100" s="5" t="n">
        <x:v>2</x:v>
      </x:c>
      <x:c r="K100" s="5" t="inlineStr">
        <x:is>
          <x:t xml:space="preserve">45 CFR § 164.316(a); 45 CFR § 164.316(b)(1)</x:t>
        </x:is>
      </x:c>
      <x:c r="L100" s="5" t="inlineStr">
        <x:is>
          <x:t xml:space="preserve">Policies and Procedures; Documentation</x:t>
        </x:is>
      </x:c>
      <x:c r="M100" s="5" t="n">
        <x:v>1</x:v>
      </x:c>
      <x:c r="N100" s="5" t="inlineStr">
        <x:is>
          <x:t xml:space="preserve">45 C.F.R. § 164.316(a)</x:t>
        </x:is>
      </x:c>
      <x:c r="O100" s="5" t="inlineStr">
        <x:is>
          <x:t xml:space="preserve">Policies and Procedures</x:t>
        </x:is>
      </x:c>
      <x:c r="P100" s="5" t="inlineStr">
        <x:is>
          <x:t xml:space="preserve">Implement reasonable and appropriate policies and procedures to comply with the Security Rule standards, implementation specifications, and other requirements.</x:t>
        </x:is>
      </x:c>
      <x:c r="Q100" s="5" t="inlineStr">
        <x:is>
          <x:t xml:space="preserve">Standard</x:t>
        </x:is>
      </x:c>
      <x:c r="R100" s="5" t="inlineStr">
        <x:is>
          <x:t xml:space="preserve">Policies / Documentation</x:t>
        </x:is>
      </x:c>
      <x:c r="S100" s="28" t="inlineStr">
        <x:is>
          <x:t xml:space="preserve">https://www.ecfr.gov/current/title-45/subtitle-A/subchapter-C/part-164/section-164.316</x:t>
        </x:is>
      </x:c>
      <x:c r="T100" s="28" t="inlineStr">
        <x:is>
          <x:t xml:space="preserve">https://www.hhs.gov/sites/default/files/ocr/privacy/hipaa/administrative/securityrule/pprequirements.pdf</x:t>
        </x:is>
      </x:c>
      <x:c r="U100" s="5" t="inlineStr">
        <x:is>
          <x:t xml:space="preserve">Best-fit (broad policy control)</x:t>
        </x:is>
      </x:c>
      <x:c r="V100" s="5" t="inlineStr">
        <x:is>
          <x:t xml:space="preserve">Internal control/action item is a general information-security policy repository rather than a single named HIPAA implementation specification; mapped to the Security Rule's policies/procedures and documentation requirements.</x:t>
        </x:is>
      </x:c>
      <x:c r="W100" s="5" t="inlineStr">
        <x:is>
          <x:t xml:space="preserve">Used as the umbrella HIPAA citation for documented security policies. This is broader than any single safeguard requirement.</x:t>
        </x:is>
      </x:c>
      <x:c r="X100" s="5" t="n"/>
    </x:row>
    <x:row r="101" ht="30" customHeight="1">
      <x:c r="A101" s="5" t="inlineStr">
        <x:is>
          <x:t xml:space="preserve">ER-56|REQ-1-HIPAA|0113.04a1Organizational.2|Information Security Policy Repository</x:t>
        </x:is>
      </x:c>
      <x:c r="B101" s="5" t="inlineStr">
        <x:is>
          <x:t xml:space="preserve">HITRUST e1.csv</x:t>
        </x:is>
      </x:c>
      <x:c r="C101" s="5" t="inlineStr">
        <x:is>
          <x:t xml:space="preserve">ER-56</x:t>
        </x:is>
      </x:c>
      <x:c r="D101" s="5" t="inlineStr">
        <x:is>
          <x:t xml:space="preserve">Operational</x:t>
        </x:is>
      </x:c>
      <x:c r="E101" s="5" t="inlineStr">
        <x:is>
          <x:t xml:space="preserve">Information Security Policy Repository</x:t>
        </x:is>
      </x:c>
      <x:c r="F101" s="5" t="inlineStr">
        <x:is>
          <x:t xml:space="preserve">REQ-1-HIPAA</x:t>
        </x:is>
      </x:c>
      <x:c r="G101" s="5" t="inlineStr">
        <x:is>
          <x:t xml:space="preserve">0113.04a1Organizational.2</x:t>
        </x:is>
      </x:c>
      <x:c r="H101" s="5" t="inlineStr">
        <x:is>
          <x:t xml:space="preserve">0113.04a1 Organizational.2</x:t>
        </x:is>
      </x:c>
      <x:c r="I101" s="5" t="inlineStr">
        <x:is>
          <x:t xml:space="preserve">Many:1</x:t>
        </x:is>
      </x:c>
      <x:c r="J101" s="5" t="n">
        <x:v>2</x:v>
      </x:c>
      <x:c r="K101" s="5" t="inlineStr">
        <x:is>
          <x:t xml:space="preserve">45 CFR § 164.316(a); 45 CFR § 164.316(b)(1)</x:t>
        </x:is>
      </x:c>
      <x:c r="L101" s="5" t="inlineStr">
        <x:is>
          <x:t xml:space="preserve">Policies and Procedures; Documentation</x:t>
        </x:is>
      </x:c>
      <x:c r="M101" s="5" t="n">
        <x:v>2</x:v>
      </x:c>
      <x:c r="N101" s="5" t="inlineStr">
        <x:is>
          <x:t xml:space="preserve">45 C.F.R. § 164.316(b)(1)</x:t>
        </x:is>
      </x:c>
      <x:c r="O101" s="5" t="inlineStr">
        <x:is>
          <x:t xml:space="preserve">Documentation</x:t>
        </x:is>
      </x:c>
      <x:c r="P101" s="5" t="inlineStr">
        <x:is>
          <x:t xml:space="preserve">Maintain written or electronic policies and procedures implemented to comply with the Security Rule and written or electronic records of required actions, activities, and assessments.</x:t>
        </x:is>
      </x:c>
      <x:c r="Q101" s="5" t="inlineStr">
        <x:is>
          <x:t xml:space="preserve">Standard</x:t>
        </x:is>
      </x:c>
      <x:c r="R101" s="5" t="inlineStr">
        <x:is>
          <x:t xml:space="preserve">Policies / Documentation</x:t>
        </x:is>
      </x:c>
      <x:c r="S101" s="28" t="inlineStr">
        <x:is>
          <x:t xml:space="preserve">https://www.ecfr.gov/current/title-45/subtitle-A/subchapter-C/part-164/section-164.316</x:t>
        </x:is>
      </x:c>
      <x:c r="T101" s="28" t="inlineStr">
        <x:is>
          <x:t xml:space="preserve">https://www.hhs.gov/sites/default/files/ocr/privacy/hipaa/administrative/securityrule/pprequirements.pdf</x:t>
        </x:is>
      </x:c>
      <x:c r="U101" s="5" t="inlineStr">
        <x:is>
          <x:t xml:space="preserve">Best-fit (broad policy control)</x:t>
        </x:is>
      </x:c>
      <x:c r="V101" s="5" t="inlineStr">
        <x:is>
          <x:t xml:space="preserve">Internal control/action item is a general information-security policy repository rather than a single named HIPAA implementation specification; mapped to the Security Rule's policies/procedures and documentation requirements.</x:t>
        </x:is>
      </x:c>
      <x:c r="W101" s="5" t="inlineStr">
        <x:is>
          <x:t xml:space="preserve">Used as the umbrella HIPAA citation for documented security policies. This is broader than any single safeguard requirement.</x:t>
        </x:is>
      </x:c>
      <x:c r="X101" s="5" t="n"/>
    </x:row>
    <x:row r="102" ht="30" customHeight="1">
      <x:c r="A102" s="5" t="inlineStr">
        <x:is>
          <x:t xml:space="preserve">ER-56|REQ-12-HIPAA|0113.04a1Organizational.2|Information Security Policy Repository</x:t>
        </x:is>
      </x:c>
      <x:c r="B102" s="5" t="inlineStr">
        <x:is>
          <x:t xml:space="preserve">HITRUST e1.csv</x:t>
        </x:is>
      </x:c>
      <x:c r="C102" s="5" t="inlineStr">
        <x:is>
          <x:t xml:space="preserve">ER-56</x:t>
        </x:is>
      </x:c>
      <x:c r="D102" s="5" t="inlineStr">
        <x:is>
          <x:t xml:space="preserve">Operational</x:t>
        </x:is>
      </x:c>
      <x:c r="E102" s="5" t="inlineStr">
        <x:is>
          <x:t xml:space="preserve">Information Security Policy Repository</x:t>
        </x:is>
      </x:c>
      <x:c r="F102" s="5" t="inlineStr">
        <x:is>
          <x:t xml:space="preserve">REQ-12-HIPAA</x:t>
        </x:is>
      </x:c>
      <x:c r="G102" s="5" t="inlineStr">
        <x:is>
          <x:t xml:space="preserve">0113.04a1Organizational.2</x:t>
        </x:is>
      </x:c>
      <x:c r="H102" s="5" t="inlineStr">
        <x:is>
          <x:t xml:space="preserve">0113.04a1 Organizational.2</x:t>
        </x:is>
      </x:c>
      <x:c r="I102" s="5" t="inlineStr">
        <x:is>
          <x:t xml:space="preserve">Many:1</x:t>
        </x:is>
      </x:c>
      <x:c r="J102" s="5" t="n">
        <x:v>2</x:v>
      </x:c>
      <x:c r="K102" s="5" t="inlineStr">
        <x:is>
          <x:t xml:space="preserve">45 CFR § 164.308(a)(5)</x:t>
        </x:is>
      </x:c>
      <x:c r="L102" s="5" t="inlineStr">
        <x:is>
          <x:t xml:space="preserve">Security Awareness and Training</x:t>
        </x:is>
      </x:c>
      <x:c r="M102" s="5" t="n">
        <x:v>1</x:v>
      </x:c>
      <x:c r="N102" s="5" t="inlineStr">
        <x:is>
          <x:t xml:space="preserve">45 C.F.R. § 164.308(a)(5)</x:t>
        </x:is>
      </x:c>
      <x:c r="O102" s="5" t="inlineStr">
        <x:is>
          <x:t xml:space="preserve">Security Awareness and Training</x:t>
        </x:is>
      </x:c>
      <x:c r="P102" s="5" t="inlineStr">
        <x:is>
          <x:t xml:space="preserve">Implement a security awareness and training program for all members of the workforce, including management.</x:t>
        </x:is>
      </x:c>
      <x:c r="Q102" s="5" t="inlineStr">
        <x:is>
          <x:t xml:space="preserve">Standard</x:t>
        </x:is>
      </x:c>
      <x:c r="R102" s="5" t="inlineStr">
        <x:is>
          <x:t xml:space="preserve">Administrative Safeguards</x:t>
        </x:is>
      </x:c>
      <x:c r="S102" s="28" t="inlineStr">
        <x:is>
          <x:t xml:space="preserve">https://www.ecfr.gov/current/title-45/subtitle-A/subchapter-C/part-164/section-164.308</x:t>
        </x:is>
      </x:c>
      <x:c r="T102" s="28" t="inlineStr">
        <x:is>
          <x:t xml:space="preserve">https://www.hhs.gov/sites/default/files/ocr/privacy/hipaa/administrative/securityrule/adminsafeguards.pdf</x:t>
        </x:is>
      </x:c>
      <x:c r="U102" s="5" t="inlineStr">
        <x:is>
          <x:t xml:space="preserve">Direct</x:t>
        </x:is>
      </x:c>
      <x:c r="V102" s="5" t="inlineStr">
        <x:is>
          <x:t xml:space="preserve">Action item and control context align to workforce security-awareness training for new hires.</x:t>
        </x:is>
      </x:c>
      <x:c r="W102" s="5" t="inlineStr">
        <x:is>
          <x:t xml:space="preserve">Mapped at the standard level because the spreadsheet does not break new-hire training into the more granular addressable sub-specifications.</x:t>
        </x:is>
      </x:c>
      <x:c r="X102" s="5" t="n"/>
    </x:row>
    <x:row r="103" ht="30" customHeight="1">
      <x:c r="A103" s="5" t="inlineStr">
        <x:is>
          <x:t xml:space="preserve">ER-56|REQ-13-HIPAA|0113.04a1Organizational.2|Information Security Policy Repository</x:t>
        </x:is>
      </x:c>
      <x:c r="B103" s="5" t="inlineStr">
        <x:is>
          <x:t xml:space="preserve">HITRUST e1.csv</x:t>
        </x:is>
      </x:c>
      <x:c r="C103" s="5" t="inlineStr">
        <x:is>
          <x:t xml:space="preserve">ER-56</x:t>
        </x:is>
      </x:c>
      <x:c r="D103" s="5" t="inlineStr">
        <x:is>
          <x:t xml:space="preserve">Operational</x:t>
        </x:is>
      </x:c>
      <x:c r="E103" s="5" t="inlineStr">
        <x:is>
          <x:t xml:space="preserve">Information Security Policy Repository</x:t>
        </x:is>
      </x:c>
      <x:c r="F103" s="5" t="inlineStr">
        <x:is>
          <x:t xml:space="preserve">REQ-13-HIPAA</x:t>
        </x:is>
      </x:c>
      <x:c r="G103" s="5" t="inlineStr">
        <x:is>
          <x:t xml:space="preserve">0113.04a1Organizational.2</x:t>
        </x:is>
      </x:c>
      <x:c r="H103" s="5" t="inlineStr">
        <x:is>
          <x:t xml:space="preserve">0113.04a1 Organizational.2</x:t>
        </x:is>
      </x:c>
      <x:c r="I103" s="5" t="inlineStr">
        <x:is>
          <x:t xml:space="preserve">Many:1</x:t>
        </x:is>
      </x:c>
      <x:c r="J103" s="5" t="n">
        <x:v>2</x:v>
      </x:c>
      <x:c r="K103" s="5" t="inlineStr">
        <x:is>
          <x:t xml:space="preserve">45 CFR § 164.308(a)(5)</x:t>
        </x:is>
      </x:c>
      <x:c r="L103" s="5" t="inlineStr">
        <x:is>
          <x:t xml:space="preserve">Security Awareness and Training</x:t>
        </x:is>
      </x:c>
      <x:c r="M103" s="5" t="n">
        <x:v>1</x:v>
      </x:c>
      <x:c r="N103" s="5" t="inlineStr">
        <x:is>
          <x:t xml:space="preserve">45 C.F.R. § 164.308(a)(5)</x:t>
        </x:is>
      </x:c>
      <x:c r="O103" s="5" t="inlineStr">
        <x:is>
          <x:t xml:space="preserve">Security Awareness and Training</x:t>
        </x:is>
      </x:c>
      <x:c r="P103" s="5" t="inlineStr">
        <x:is>
          <x:t xml:space="preserve">Implement a security awareness and training program for all members of the workforce, including management.</x:t>
        </x:is>
      </x:c>
      <x:c r="Q103" s="5" t="inlineStr">
        <x:is>
          <x:t xml:space="preserve">Standard</x:t>
        </x:is>
      </x:c>
      <x:c r="R103" s="5" t="inlineStr">
        <x:is>
          <x:t xml:space="preserve">Administrative Safeguards</x:t>
        </x:is>
      </x:c>
      <x:c r="S103" s="28" t="inlineStr">
        <x:is>
          <x:t xml:space="preserve">https://www.ecfr.gov/current/title-45/subtitle-A/subchapter-C/part-164/section-164.308</x:t>
        </x:is>
      </x:c>
      <x:c r="T103" s="28" t="inlineStr">
        <x:is>
          <x:t xml:space="preserve">https://www.hhs.gov/sites/default/files/ocr/privacy/hipaa/administrative/securityrule/adminsafeguards.pdf</x:t>
        </x:is>
      </x:c>
      <x:c r="U103" s="5" t="inlineStr">
        <x:is>
          <x:t xml:space="preserve">Direct</x:t>
        </x:is>
      </x:c>
      <x:c r="V103" s="5" t="inlineStr">
        <x:is>
          <x:t xml:space="preserve">Action item and control context align to ongoing/current-employee security-awareness training.</x:t>
        </x:is>
      </x:c>
      <x:c r="W103" s="5" t="inlineStr">
        <x:is>
          <x:t xml:space="preserve">Mapped at the standard level because the spreadsheet expresses periodic training broadly, not only reminders or phishing-specific sub-controls.</x:t>
        </x:is>
      </x:c>
      <x:c r="X103" s="5" t="n"/>
    </x:row>
    <x:row r="104" ht="30" customHeight="1">
      <x:c r="A104" s="5" t="inlineStr">
        <x:is>
          <x:t xml:space="preserve">ER-12|REQ-102-HIPAA|07.07a1Organizational.8|List of All Production Systems (Servers, VMs, Data Stores)</x:t>
        </x:is>
      </x:c>
      <x:c r="B104" s="5" t="inlineStr">
        <x:is>
          <x:t xml:space="preserve">HITRUST e1.csv</x:t>
        </x:is>
      </x:c>
      <x:c r="C104" s="5" t="inlineStr">
        <x:is>
          <x:t xml:space="preserve">ER-12</x:t>
        </x:is>
      </x:c>
      <x:c r="D104" s="5" t="inlineStr">
        <x:is>
          <x:t xml:space="preserve">Configuration</x:t>
        </x:is>
      </x:c>
      <x:c r="E104" s="5" t="inlineStr">
        <x:is>
          <x:t xml:space="preserve">List of All Production Systems (Servers, VMs, Data Stores)</x:t>
        </x:is>
      </x:c>
      <x:c r="F104" s="5" t="inlineStr">
        <x:is>
          <x:t xml:space="preserve">REQ-102-HIPAA</x:t>
        </x:is>
      </x:c>
      <x:c r="G104" s="5" t="inlineStr">
        <x:is>
          <x:t xml:space="preserve">07.07a1Organizational.8</x:t>
        </x:is>
      </x:c>
      <x:c r="H104" s="5" t="inlineStr">
        <x:is>
          <x:t xml:space="preserve">07.07a1 Organizational.8</x:t>
        </x:is>
      </x:c>
      <x:c r="I104" s="5" t="inlineStr">
        <x:is>
          <x:t xml:space="preserve">Many:Many</x:t>
        </x:is>
      </x:c>
      <x:c r="J104" s="5" t="n">
        <x:v>1</x:v>
      </x:c>
      <x:c r="K104" s="5" t="inlineStr">
        <x:is>
          <x:t xml:space="preserve">45 CFR § 164.308(a)(1)(ii)(A)</x:t>
        </x:is>
      </x:c>
      <x:c r="L104" s="5" t="inlineStr">
        <x:is>
          <x:t xml:space="preserve">Security Management Process — Risk Analysis</x:t>
        </x:is>
      </x:c>
      <x:c r="M104" s="5" t="n">
        <x:v>1</x:v>
      </x:c>
      <x:c r="N104" s="5" t="inlineStr">
        <x:is>
          <x:t xml:space="preserve">45 C.F.R. § 164.308(a)(1)(ii)(A)</x:t>
        </x:is>
      </x:c>
      <x:c r="O104" s="5" t="inlineStr">
        <x:is>
          <x:t xml:space="preserve">Security Management Process — Risk Analysis</x:t>
        </x:is>
      </x:c>
      <x:c r="P104" s="5" t="inlineStr">
        <x:is>
          <x:t xml:space="preserve">Conduct an accurate and thorough assessment of the potential risks and vulnerabilities to the confidentiality, integrity, and availability of ePHI.</x:t>
        </x:is>
      </x:c>
      <x:c r="Q104" s="5" t="inlineStr">
        <x:is>
          <x:t xml:space="preserve">Required implementation specification</x:t>
        </x:is>
      </x:c>
      <x:c r="R104" s="5" t="inlineStr">
        <x:is>
          <x:t xml:space="preserve">Administrative Safeguards</x:t>
        </x:is>
      </x:c>
      <x:c r="S104" s="28" t="inlineStr">
        <x:is>
          <x:t xml:space="preserve">https://www.ecfr.gov/current/title-45/subtitle-A/subchapter-C/part-164/section-164.308</x:t>
        </x:is>
      </x:c>
      <x:c r="T104" s="28" t="inlineStr">
        <x:is>
          <x:t xml:space="preserve">https://www.hhs.gov/hipaa/for-professionals/security/guidance/guidance-risk-analysis/index.html</x:t>
        </x:is>
      </x:c>
      <x:c r="U104" s="5" t="inlineStr">
        <x:is>
          <x:t xml:space="preserve">Best-fit</x:t>
        </x:is>
      </x:c>
      <x:c r="V104" s="5" t="inlineStr">
        <x:is>
          <x:t xml:space="preserve">HIPAA does not expressly mandate an IT asset inventory, but OCR guidance says a comprehensive technology asset inventory and ePHI data-flow diagrams are valuable tools for an accurate and thorough risk analysis.</x:t>
        </x:is>
      </x:c>
      <x:c r="W104" s="5" t="inlineStr">
        <x:is>
          <x:t xml:space="preserve">Mapped as supporting evidence for risk analysis rather than as a standalone named HIPAA inventory control.</x:t>
        </x:is>
      </x:c>
      <x:c r="X104" s="5" t="n"/>
    </x:row>
    <x:row r="105" ht="30" customHeight="1">
      <x:c r="A105" s="5" t="inlineStr">
        <x:is>
          <x:t xml:space="preserve">ER-12|REQ-102-HIPAA|0701.07a1Organizational.7|List of All Production Systems (Servers, VMs, Data Stores)</x:t>
        </x:is>
      </x:c>
      <x:c r="B105" s="5" t="inlineStr">
        <x:is>
          <x:t xml:space="preserve">HITRUST e1.csv</x:t>
        </x:is>
      </x:c>
      <x:c r="C105" s="5" t="inlineStr">
        <x:is>
          <x:t xml:space="preserve">ER-12</x:t>
        </x:is>
      </x:c>
      <x:c r="D105" s="5" t="inlineStr">
        <x:is>
          <x:t xml:space="preserve">Configuration</x:t>
        </x:is>
      </x:c>
      <x:c r="E105" s="5" t="inlineStr">
        <x:is>
          <x:t xml:space="preserve">List of All Production Systems (Servers, VMs, Data Stores)</x:t>
        </x:is>
      </x:c>
      <x:c r="F105" s="5" t="inlineStr">
        <x:is>
          <x:t xml:space="preserve">REQ-102-HIPAA</x:t>
        </x:is>
      </x:c>
      <x:c r="G105" s="5" t="inlineStr">
        <x:is>
          <x:t xml:space="preserve">0701.07a1Organizational.7</x:t>
        </x:is>
      </x:c>
      <x:c r="H105" s="5" t="inlineStr">
        <x:is>
          <x:t xml:space="preserve">0701.07a1 Organizational.7</x:t>
        </x:is>
      </x:c>
      <x:c r="I105" s="5" t="inlineStr">
        <x:is>
          <x:t xml:space="preserve">Many:Many</x:t>
        </x:is>
      </x:c>
      <x:c r="J105" s="5" t="n">
        <x:v>1</x:v>
      </x:c>
      <x:c r="K105" s="5" t="inlineStr">
        <x:is>
          <x:t xml:space="preserve">45 CFR § 164.308(a)(1)(ii)(A)</x:t>
        </x:is>
      </x:c>
      <x:c r="L105" s="5" t="inlineStr">
        <x:is>
          <x:t xml:space="preserve">Security Management Process — Risk Analysis</x:t>
        </x:is>
      </x:c>
      <x:c r="M105" s="5" t="n">
        <x:v>1</x:v>
      </x:c>
      <x:c r="N105" s="5" t="inlineStr">
        <x:is>
          <x:t xml:space="preserve">45 C.F.R. § 164.308(a)(1)(ii)(A)</x:t>
        </x:is>
      </x:c>
      <x:c r="O105" s="5" t="inlineStr">
        <x:is>
          <x:t xml:space="preserve">Security Management Process — Risk Analysis</x:t>
        </x:is>
      </x:c>
      <x:c r="P105" s="5" t="inlineStr">
        <x:is>
          <x:t xml:space="preserve">Conduct an accurate and thorough assessment of the potential risks and vulnerabilities to the confidentiality, integrity, and availability of ePHI.</x:t>
        </x:is>
      </x:c>
      <x:c r="Q105" s="5" t="inlineStr">
        <x:is>
          <x:t xml:space="preserve">Required implementation specification</x:t>
        </x:is>
      </x:c>
      <x:c r="R105" s="5" t="inlineStr">
        <x:is>
          <x:t xml:space="preserve">Administrative Safeguards</x:t>
        </x:is>
      </x:c>
      <x:c r="S105" s="28" t="inlineStr">
        <x:is>
          <x:t xml:space="preserve">https://www.ecfr.gov/current/title-45/subtitle-A/subchapter-C/part-164/section-164.308</x:t>
        </x:is>
      </x:c>
      <x:c r="T105" s="28" t="inlineStr">
        <x:is>
          <x:t xml:space="preserve">https://www.hhs.gov/hipaa/for-professionals/security/guidance/guidance-risk-analysis/index.html</x:t>
        </x:is>
      </x:c>
      <x:c r="U105" s="5" t="inlineStr">
        <x:is>
          <x:t xml:space="preserve">Best-fit</x:t>
        </x:is>
      </x:c>
      <x:c r="V105" s="5" t="inlineStr">
        <x:is>
          <x:t xml:space="preserve">HIPAA does not expressly mandate an IT asset inventory, but OCR guidance says a comprehensive technology asset inventory and ePHI data-flow diagrams are valuable tools for an accurate and thorough risk analysis.</x:t>
        </x:is>
      </x:c>
      <x:c r="W105" s="5" t="inlineStr">
        <x:is>
          <x:t xml:space="preserve">Mapped as supporting evidence for risk analysis rather than as a standalone named HIPAA inventory control.</x:t>
        </x:is>
      </x:c>
      <x:c r="X105" s="5" t="n"/>
    </x:row>
    <x:row r="106" ht="30" customHeight="1">
      <x:c r="A106" s="5" t="inlineStr">
        <x:is>
          <x:t xml:space="preserve">ER-12|REQ-102-HIPAA|0701.07a1Organizational.8|List of All Production Systems (Servers, VMs, Data Stores)</x:t>
        </x:is>
      </x:c>
      <x:c r="B106" s="5" t="inlineStr">
        <x:is>
          <x:t xml:space="preserve">HITRUST e1.csv</x:t>
        </x:is>
      </x:c>
      <x:c r="C106" s="5" t="inlineStr">
        <x:is>
          <x:t xml:space="preserve">ER-12</x:t>
        </x:is>
      </x:c>
      <x:c r="D106" s="5" t="inlineStr">
        <x:is>
          <x:t xml:space="preserve">Configuration</x:t>
        </x:is>
      </x:c>
      <x:c r="E106" s="5" t="inlineStr">
        <x:is>
          <x:t xml:space="preserve">List of All Production Systems (Servers, VMs, Data Stores)</x:t>
        </x:is>
      </x:c>
      <x:c r="F106" s="5" t="inlineStr">
        <x:is>
          <x:t xml:space="preserve">REQ-102-HIPAA</x:t>
        </x:is>
      </x:c>
      <x:c r="G106" s="5" t="inlineStr">
        <x:is>
          <x:t xml:space="preserve">0701.07a1Organizational.8</x:t>
        </x:is>
      </x:c>
      <x:c r="H106" s="5" t="inlineStr">
        <x:is>
          <x:t xml:space="preserve">0701.07a1 Organizational.8</x:t>
        </x:is>
      </x:c>
      <x:c r="I106" s="5" t="inlineStr">
        <x:is>
          <x:t xml:space="preserve">Many:Many</x:t>
        </x:is>
      </x:c>
      <x:c r="J106" s="5" t="n">
        <x:v>1</x:v>
      </x:c>
      <x:c r="K106" s="5" t="inlineStr">
        <x:is>
          <x:t xml:space="preserve">45 CFR § 164.308(a)(1)(ii)(A)</x:t>
        </x:is>
      </x:c>
      <x:c r="L106" s="5" t="inlineStr">
        <x:is>
          <x:t xml:space="preserve">Security Management Process — Risk Analysis</x:t>
        </x:is>
      </x:c>
      <x:c r="M106" s="5" t="n">
        <x:v>1</x:v>
      </x:c>
      <x:c r="N106" s="5" t="inlineStr">
        <x:is>
          <x:t xml:space="preserve">45 C.F.R. § 164.308(a)(1)(ii)(A)</x:t>
        </x:is>
      </x:c>
      <x:c r="O106" s="5" t="inlineStr">
        <x:is>
          <x:t xml:space="preserve">Security Management Process — Risk Analysis</x:t>
        </x:is>
      </x:c>
      <x:c r="P106" s="5" t="inlineStr">
        <x:is>
          <x:t xml:space="preserve">Conduct an accurate and thorough assessment of the potential risks and vulnerabilities to the confidentiality, integrity, and availability of ePHI.</x:t>
        </x:is>
      </x:c>
      <x:c r="Q106" s="5" t="inlineStr">
        <x:is>
          <x:t xml:space="preserve">Required implementation specification</x:t>
        </x:is>
      </x:c>
      <x:c r="R106" s="5" t="inlineStr">
        <x:is>
          <x:t xml:space="preserve">Administrative Safeguards</x:t>
        </x:is>
      </x:c>
      <x:c r="S106" s="28" t="inlineStr">
        <x:is>
          <x:t xml:space="preserve">https://www.ecfr.gov/current/title-45/subtitle-A/subchapter-C/part-164/section-164.308</x:t>
        </x:is>
      </x:c>
      <x:c r="T106" s="28" t="inlineStr">
        <x:is>
          <x:t xml:space="preserve">https://www.hhs.gov/hipaa/for-professionals/security/guidance/guidance-risk-analysis/index.html</x:t>
        </x:is>
      </x:c>
      <x:c r="U106" s="5" t="inlineStr">
        <x:is>
          <x:t xml:space="preserve">Best-fit</x:t>
        </x:is>
      </x:c>
      <x:c r="V106" s="5" t="inlineStr">
        <x:is>
          <x:t xml:space="preserve">HIPAA does not expressly mandate an IT asset inventory, but OCR guidance says a comprehensive technology asset inventory and ePHI data-flow diagrams are valuable tools for an accurate and thorough risk analysis.</x:t>
        </x:is>
      </x:c>
      <x:c r="W106" s="5" t="inlineStr">
        <x:is>
          <x:t xml:space="preserve">Mapped as supporting evidence for risk analysis rather than as a standalone named HIPAA inventory control.</x:t>
        </x:is>
      </x:c>
      <x:c r="X106" s="5" t="n"/>
    </x:row>
    <x:row r="107" ht="30" customHeight="1">
      <x:c r="A107" s="5" t="inlineStr">
        <x:is>
          <x:t xml:space="preserve">ER-12|REQ-33-HIPAA|07.07a1Organizational.8|List of All Production Systems (Servers, VMs, Data Stores)</x:t>
        </x:is>
      </x:c>
      <x:c r="B107" s="5" t="inlineStr">
        <x:is>
          <x:t xml:space="preserve">HITRUST e1.csv</x:t>
        </x:is>
      </x:c>
      <x:c r="C107" s="5" t="inlineStr">
        <x:is>
          <x:t xml:space="preserve">ER-12</x:t>
        </x:is>
      </x:c>
      <x:c r="D107" s="5" t="inlineStr">
        <x:is>
          <x:t xml:space="preserve">Configuration</x:t>
        </x:is>
      </x:c>
      <x:c r="E107" s="5" t="inlineStr">
        <x:is>
          <x:t xml:space="preserve">List of All Production Systems (Servers, VMs, Data Stores)</x:t>
        </x:is>
      </x:c>
      <x:c r="F107" s="5" t="inlineStr">
        <x:is>
          <x:t xml:space="preserve">REQ-33-HIPAA</x:t>
        </x:is>
      </x:c>
      <x:c r="G107" s="5" t="inlineStr">
        <x:is>
          <x:t xml:space="preserve">07.07a1Organizational.8</x:t>
        </x:is>
      </x:c>
      <x:c r="H107" s="5" t="inlineStr">
        <x:is>
          <x:t xml:space="preserve">07.07a1 Organizational.8</x:t>
        </x:is>
      </x:c>
      <x:c r="I107" s="5" t="inlineStr">
        <x:is>
          <x:t xml:space="preserve">Many:Many</x:t>
        </x:is>
      </x:c>
      <x:c r="J107" s="5" t="n">
        <x:v>1</x:v>
      </x:c>
      <x:c r="K107" s="5" t="inlineStr">
        <x:is>
          <x:t xml:space="preserve">45 CFR § 164.308(a)(1)(ii)(A); 45 CFR § 164.312(a)(2)(iv); 45 CFR § 164.312(e)(2)(ii)</x:t>
        </x:is>
      </x:c>
      <x:c r="L107" s="5" t="inlineStr">
        <x:is>
          <x:t xml:space="preserve">Security Management Process — Risk Analysis; Access Control — Encryption and Decryption; Transmission Security — Encryption</x:t>
        </x:is>
      </x:c>
      <x:c r="M107" s="5" t="n">
        <x:v>1</x:v>
      </x:c>
      <x:c r="N107" s="5" t="inlineStr">
        <x:is>
          <x:t xml:space="preserve">45 C.F.R. § 164.308(a)(1)(ii)(A)</x:t>
        </x:is>
      </x:c>
      <x:c r="O107" s="5" t="inlineStr">
        <x:is>
          <x:t xml:space="preserve">Security Management Process — Risk Analysis</x:t>
        </x:is>
      </x:c>
      <x:c r="P107" s="5" t="inlineStr">
        <x:is>
          <x:t xml:space="preserve">Conduct an accurate and thorough assessment of the potential risks and vulnerabilities to the confidentiality, integrity, and availability of ePHI.</x:t>
        </x:is>
      </x:c>
      <x:c r="Q107" s="5" t="inlineStr">
        <x:is>
          <x:t xml:space="preserve">Required implementation specification</x:t>
        </x:is>
      </x:c>
      <x:c r="R107" s="5" t="inlineStr">
        <x:is>
          <x:t xml:space="preserve">Administrative Safeguards</x:t>
        </x:is>
      </x:c>
      <x:c r="S107" s="28" t="inlineStr">
        <x:is>
          <x:t xml:space="preserve">https://www.ecfr.gov/current/title-45/subtitle-A/subchapter-C/part-164/section-164.308</x:t>
        </x:is>
      </x:c>
      <x:c r="T107" s="28" t="inlineStr">
        <x:is>
          <x:t xml:space="preserve">https://www.hhs.gov/hipaa/for-professionals/security/guidance/guidance-risk-analysis/index.html</x:t>
        </x:is>
      </x:c>
      <x:c r="U107" s="5" t="inlineStr">
        <x:is>
          <x:t xml:space="preserve">Best-fit composite</x:t>
        </x:is>
      </x:c>
      <x:c r="V107" s="5" t="inlineStr">
        <x:is>
          <x:t xml:space="preserve">System-inventory evidence is not explicitly named in the Security Rule, but OCR guidance treats asset inventories and system scoping as supporting accurate risk analysis and implementation of encryption safeguards.</x:t>
        </x:is>
      </x:c>
      <x:c r="W107" s="5" t="inlineStr">
        <x:is>
          <x:t xml:space="preserve">Inventory/list-of-systems evidence is supporting evidence for encryption coverage, not a standalone named HIPAA inventory mandate.</x:t>
        </x:is>
      </x:c>
      <x:c r="X107" s="5" t="n"/>
    </x:row>
    <x:row r="108" ht="30" customHeight="1">
      <x:c r="A108" s="5" t="inlineStr">
        <x:is>
          <x:t xml:space="preserve">ER-12|REQ-33-HIPAA|07.07a1Organizational.8|List of All Production Systems (Servers, VMs, Data Stores)</x:t>
        </x:is>
      </x:c>
      <x:c r="B108" s="5" t="inlineStr">
        <x:is>
          <x:t xml:space="preserve">HITRUST e1.csv</x:t>
        </x:is>
      </x:c>
      <x:c r="C108" s="5" t="inlineStr">
        <x:is>
          <x:t xml:space="preserve">ER-12</x:t>
        </x:is>
      </x:c>
      <x:c r="D108" s="5" t="inlineStr">
        <x:is>
          <x:t xml:space="preserve">Configuration</x:t>
        </x:is>
      </x:c>
      <x:c r="E108" s="5" t="inlineStr">
        <x:is>
          <x:t xml:space="preserve">List of All Production Systems (Servers, VMs, Data Stores)</x:t>
        </x:is>
      </x:c>
      <x:c r="F108" s="5" t="inlineStr">
        <x:is>
          <x:t xml:space="preserve">REQ-33-HIPAA</x:t>
        </x:is>
      </x:c>
      <x:c r="G108" s="5" t="inlineStr">
        <x:is>
          <x:t xml:space="preserve">07.07a1Organizational.8</x:t>
        </x:is>
      </x:c>
      <x:c r="H108" s="5" t="inlineStr">
        <x:is>
          <x:t xml:space="preserve">07.07a1 Organizational.8</x:t>
        </x:is>
      </x:c>
      <x:c r="I108" s="5" t="inlineStr">
        <x:is>
          <x:t xml:space="preserve">Many:Many</x:t>
        </x:is>
      </x:c>
      <x:c r="J108" s="5" t="n">
        <x:v>1</x:v>
      </x:c>
      <x:c r="K108" s="5" t="inlineStr">
        <x:is>
          <x:t xml:space="preserve">45 CFR § 164.308(a)(1)(ii)(A); 45 CFR § 164.312(a)(2)(iv); 45 CFR § 164.312(e)(2)(ii)</x:t>
        </x:is>
      </x:c>
      <x:c r="L108" s="5" t="inlineStr">
        <x:is>
          <x:t xml:space="preserve">Security Management Process — Risk Analysis; Access Control — Encryption and Decryption; Transmission Security — Encryption</x:t>
        </x:is>
      </x:c>
      <x:c r="M108" s="5" t="n">
        <x:v>2</x:v>
      </x:c>
      <x:c r="N108" s="5" t="inlineStr">
        <x:is>
          <x:t xml:space="preserve">45 C.F.R. § 164.312(a)(2)(iv)</x:t>
        </x:is>
      </x:c>
      <x:c r="O108" s="5" t="inlineStr">
        <x:is>
          <x:t xml:space="preserve">Access Control — Encryption and Decryption</x:t>
        </x:is>
      </x:c>
      <x:c r="P108" s="5" t="inlineStr">
        <x:is>
          <x:t xml:space="preserve">Implement a mechanism to encrypt and decrypt ePHI.</x:t>
        </x:is>
      </x:c>
      <x:c r="Q108" s="5" t="inlineStr">
        <x:is>
          <x:t xml:space="preserve">Addressable implementation specification</x:t>
        </x:is>
      </x:c>
      <x:c r="R108" s="5" t="inlineStr">
        <x:is>
          <x:t xml:space="preserve">Technical Safeguards</x:t>
        </x:is>
      </x:c>
      <x:c r="S108" s="28" t="inlineStr">
        <x:is>
          <x:t xml:space="preserve">https://www.ecfr.gov/current/title-45/subtitle-A/subchapter-C/part-164/section-164.312</x:t>
        </x:is>
      </x:c>
      <x:c r="T108" s="28" t="inlineStr">
        <x:is>
          <x:t xml:space="preserve">https://www.hhs.gov/hipaa/for-professionals/faq/2001/is-the-use-of-encryption-mandatory-in-the-security-rule/index.html</x:t>
        </x:is>
      </x:c>
      <x:c r="U108" s="5" t="inlineStr">
        <x:is>
          <x:t xml:space="preserve">Best-fit composite</x:t>
        </x:is>
      </x:c>
      <x:c r="V108" s="5" t="inlineStr">
        <x:is>
          <x:t xml:space="preserve">System-inventory evidence is not explicitly named in the Security Rule, but OCR guidance treats asset inventories and system scoping as supporting accurate risk analysis and implementation of encryption safeguards.</x:t>
        </x:is>
      </x:c>
      <x:c r="W108" s="5" t="inlineStr">
        <x:is>
          <x:t xml:space="preserve">Inventory/list-of-systems evidence is supporting evidence for encryption coverage, not a standalone named HIPAA inventory mandate.</x:t>
        </x:is>
      </x:c>
      <x:c r="X108" s="5" t="n"/>
    </x:row>
    <x:row r="109" ht="30" customHeight="1">
      <x:c r="A109" s="5" t="inlineStr">
        <x:is>
          <x:t xml:space="preserve">ER-12|REQ-33-HIPAA|07.07a1Organizational.8|List of All Production Systems (Servers, VMs, Data Stores)</x:t>
        </x:is>
      </x:c>
      <x:c r="B109" s="5" t="inlineStr">
        <x:is>
          <x:t xml:space="preserve">HITRUST e1.csv</x:t>
        </x:is>
      </x:c>
      <x:c r="C109" s="5" t="inlineStr">
        <x:is>
          <x:t xml:space="preserve">ER-12</x:t>
        </x:is>
      </x:c>
      <x:c r="D109" s="5" t="inlineStr">
        <x:is>
          <x:t xml:space="preserve">Configuration</x:t>
        </x:is>
      </x:c>
      <x:c r="E109" s="5" t="inlineStr">
        <x:is>
          <x:t xml:space="preserve">List of All Production Systems (Servers, VMs, Data Stores)</x:t>
        </x:is>
      </x:c>
      <x:c r="F109" s="5" t="inlineStr">
        <x:is>
          <x:t xml:space="preserve">REQ-33-HIPAA</x:t>
        </x:is>
      </x:c>
      <x:c r="G109" s="5" t="inlineStr">
        <x:is>
          <x:t xml:space="preserve">07.07a1Organizational.8</x:t>
        </x:is>
      </x:c>
      <x:c r="H109" s="5" t="inlineStr">
        <x:is>
          <x:t xml:space="preserve">07.07a1 Organizational.8</x:t>
        </x:is>
      </x:c>
      <x:c r="I109" s="5" t="inlineStr">
        <x:is>
          <x:t xml:space="preserve">Many:Many</x:t>
        </x:is>
      </x:c>
      <x:c r="J109" s="5" t="n">
        <x:v>1</x:v>
      </x:c>
      <x:c r="K109" s="5" t="inlineStr">
        <x:is>
          <x:t xml:space="preserve">45 CFR § 164.308(a)(1)(ii)(A); 45 CFR § 164.312(a)(2)(iv); 45 CFR § 164.312(e)(2)(ii)</x:t>
        </x:is>
      </x:c>
      <x:c r="L109" s="5" t="inlineStr">
        <x:is>
          <x:t xml:space="preserve">Security Management Process — Risk Analysis; Access Control — Encryption and Decryption; Transmission Security — Encryption</x:t>
        </x:is>
      </x:c>
      <x:c r="M109" s="5" t="n">
        <x:v>3</x:v>
      </x:c>
      <x:c r="N109" s="5" t="inlineStr">
        <x:is>
          <x:t xml:space="preserve">45 C.F.R. § 164.312(e)(2)(ii)</x:t>
        </x:is>
      </x:c>
      <x:c r="O109" s="5" t="inlineStr">
        <x:is>
          <x:t xml:space="preserve">Transmission Security — Encryption</x:t>
        </x:is>
      </x:c>
      <x:c r="P109" s="5" t="inlineStr">
        <x:is>
          <x:t xml:space="preserve">Implement a mechanism to encrypt ePHI whenever deemed appropriate during electronic transmission.</x:t>
        </x:is>
      </x:c>
      <x:c r="Q109" s="5" t="inlineStr">
        <x:is>
          <x:t xml:space="preserve">Addressable implementation specification</x:t>
        </x:is>
      </x:c>
      <x:c r="R109" s="5" t="inlineStr">
        <x:is>
          <x:t xml:space="preserve">Technical Safeguards</x:t>
        </x:is>
      </x:c>
      <x:c r="S109" s="28" t="inlineStr">
        <x:is>
          <x:t xml:space="preserve">https://www.ecfr.gov/current/title-45/subtitle-A/subchapter-C/part-164/section-164.312</x:t>
        </x:is>
      </x:c>
      <x:c r="T109" s="28" t="inlineStr">
        <x:is>
          <x:t xml:space="preserve">https://www.hhs.gov/hipaa/for-professionals/faq/2001/is-the-use-of-encryption-mandatory-in-the-security-rule/index.html</x:t>
        </x:is>
      </x:c>
      <x:c r="U109" s="5" t="inlineStr">
        <x:is>
          <x:t xml:space="preserve">Best-fit composite</x:t>
        </x:is>
      </x:c>
      <x:c r="V109" s="5" t="inlineStr">
        <x:is>
          <x:t xml:space="preserve">System-inventory evidence is not explicitly named in the Security Rule, but OCR guidance treats asset inventories and system scoping as supporting accurate risk analysis and implementation of encryption safeguards.</x:t>
        </x:is>
      </x:c>
      <x:c r="W109" s="5" t="inlineStr">
        <x:is>
          <x:t xml:space="preserve">Inventory/list-of-systems evidence is supporting evidence for encryption coverage, not a standalone named HIPAA inventory mandate.</x:t>
        </x:is>
      </x:c>
      <x:c r="X109" s="5" t="n"/>
    </x:row>
    <x:row r="110" ht="30" customHeight="1">
      <x:c r="A110" s="5" t="inlineStr">
        <x:is>
          <x:t xml:space="preserve">ER-12|REQ-33-HIPAA|0701.07a1Organizational.7|List of All Production Systems (Servers, VMs, Data Stores)</x:t>
        </x:is>
      </x:c>
      <x:c r="B110" s="5" t="inlineStr">
        <x:is>
          <x:t xml:space="preserve">HITRUST e1.csv</x:t>
        </x:is>
      </x:c>
      <x:c r="C110" s="5" t="inlineStr">
        <x:is>
          <x:t xml:space="preserve">ER-12</x:t>
        </x:is>
      </x:c>
      <x:c r="D110" s="5" t="inlineStr">
        <x:is>
          <x:t xml:space="preserve">Configuration</x:t>
        </x:is>
      </x:c>
      <x:c r="E110" s="5" t="inlineStr">
        <x:is>
          <x:t xml:space="preserve">List of All Production Systems (Servers, VMs, Data Stores)</x:t>
        </x:is>
      </x:c>
      <x:c r="F110" s="5" t="inlineStr">
        <x:is>
          <x:t xml:space="preserve">REQ-33-HIPAA</x:t>
        </x:is>
      </x:c>
      <x:c r="G110" s="5" t="inlineStr">
        <x:is>
          <x:t xml:space="preserve">0701.07a1Organizational.7</x:t>
        </x:is>
      </x:c>
      <x:c r="H110" s="5" t="inlineStr">
        <x:is>
          <x:t xml:space="preserve">0701.07a1 Organizational.7</x:t>
        </x:is>
      </x:c>
      <x:c r="I110" s="5" t="inlineStr">
        <x:is>
          <x:t xml:space="preserve">Many:Many</x:t>
        </x:is>
      </x:c>
      <x:c r="J110" s="5" t="n">
        <x:v>1</x:v>
      </x:c>
      <x:c r="K110" s="5" t="inlineStr">
        <x:is>
          <x:t xml:space="preserve">45 CFR § 164.308(a)(1)(ii)(A); 45 CFR § 164.312(a)(2)(iv); 45 CFR § 164.312(e)(2)(ii)</x:t>
        </x:is>
      </x:c>
      <x:c r="L110" s="5" t="inlineStr">
        <x:is>
          <x:t xml:space="preserve">Security Management Process — Risk Analysis; Access Control — Encryption and Decryption; Transmission Security — Encryption</x:t>
        </x:is>
      </x:c>
      <x:c r="M110" s="5" t="n">
        <x:v>1</x:v>
      </x:c>
      <x:c r="N110" s="5" t="inlineStr">
        <x:is>
          <x:t xml:space="preserve">45 C.F.R. § 164.308(a)(1)(ii)(A)</x:t>
        </x:is>
      </x:c>
      <x:c r="O110" s="5" t="inlineStr">
        <x:is>
          <x:t xml:space="preserve">Security Management Process — Risk Analysis</x:t>
        </x:is>
      </x:c>
      <x:c r="P110" s="5" t="inlineStr">
        <x:is>
          <x:t xml:space="preserve">Conduct an accurate and thorough assessment of the potential risks and vulnerabilities to the confidentiality, integrity, and availability of ePHI.</x:t>
        </x:is>
      </x:c>
      <x:c r="Q110" s="5" t="inlineStr">
        <x:is>
          <x:t xml:space="preserve">Required implementation specification</x:t>
        </x:is>
      </x:c>
      <x:c r="R110" s="5" t="inlineStr">
        <x:is>
          <x:t xml:space="preserve">Administrative Safeguards</x:t>
        </x:is>
      </x:c>
      <x:c r="S110" s="28" t="inlineStr">
        <x:is>
          <x:t xml:space="preserve">https://www.ecfr.gov/current/title-45/subtitle-A/subchapter-C/part-164/section-164.308</x:t>
        </x:is>
      </x:c>
      <x:c r="T110" s="28" t="inlineStr">
        <x:is>
          <x:t xml:space="preserve">https://www.hhs.gov/hipaa/for-professionals/security/guidance/guidance-risk-analysis/index.html</x:t>
        </x:is>
      </x:c>
      <x:c r="U110" s="5" t="inlineStr">
        <x:is>
          <x:t xml:space="preserve">Best-fit composite</x:t>
        </x:is>
      </x:c>
      <x:c r="V110" s="5" t="inlineStr">
        <x:is>
          <x:t xml:space="preserve">System-inventory evidence is not explicitly named in the Security Rule, but OCR guidance treats asset inventories and system scoping as supporting accurate risk analysis and implementation of encryption safeguards.</x:t>
        </x:is>
      </x:c>
      <x:c r="W110" s="5" t="inlineStr">
        <x:is>
          <x:t xml:space="preserve">Inventory/list-of-systems evidence is supporting evidence for encryption coverage, not a standalone named HIPAA inventory mandate.</x:t>
        </x:is>
      </x:c>
      <x:c r="X110" s="5" t="n"/>
    </x:row>
    <x:row r="111" ht="30" customHeight="1">
      <x:c r="A111" s="5" t="inlineStr">
        <x:is>
          <x:t xml:space="preserve">ER-12|REQ-33-HIPAA|0701.07a1Organizational.7|List of All Production Systems (Servers, VMs, Data Stores)</x:t>
        </x:is>
      </x:c>
      <x:c r="B111" s="5" t="inlineStr">
        <x:is>
          <x:t xml:space="preserve">HITRUST e1.csv</x:t>
        </x:is>
      </x:c>
      <x:c r="C111" s="5" t="inlineStr">
        <x:is>
          <x:t xml:space="preserve">ER-12</x:t>
        </x:is>
      </x:c>
      <x:c r="D111" s="5" t="inlineStr">
        <x:is>
          <x:t xml:space="preserve">Configuration</x:t>
        </x:is>
      </x:c>
      <x:c r="E111" s="5" t="inlineStr">
        <x:is>
          <x:t xml:space="preserve">List of All Production Systems (Servers, VMs, Data Stores)</x:t>
        </x:is>
      </x:c>
      <x:c r="F111" s="5" t="inlineStr">
        <x:is>
          <x:t xml:space="preserve">REQ-33-HIPAA</x:t>
        </x:is>
      </x:c>
      <x:c r="G111" s="5" t="inlineStr">
        <x:is>
          <x:t xml:space="preserve">0701.07a1Organizational.7</x:t>
        </x:is>
      </x:c>
      <x:c r="H111" s="5" t="inlineStr">
        <x:is>
          <x:t xml:space="preserve">0701.07a1 Organizational.7</x:t>
        </x:is>
      </x:c>
      <x:c r="I111" s="5" t="inlineStr">
        <x:is>
          <x:t xml:space="preserve">Many:Many</x:t>
        </x:is>
      </x:c>
      <x:c r="J111" s="5" t="n">
        <x:v>1</x:v>
      </x:c>
      <x:c r="K111" s="5" t="inlineStr">
        <x:is>
          <x:t xml:space="preserve">45 CFR § 164.308(a)(1)(ii)(A); 45 CFR § 164.312(a)(2)(iv); 45 CFR § 164.312(e)(2)(ii)</x:t>
        </x:is>
      </x:c>
      <x:c r="L111" s="5" t="inlineStr">
        <x:is>
          <x:t xml:space="preserve">Security Management Process — Risk Analysis; Access Control — Encryption and Decryption; Transmission Security — Encryption</x:t>
        </x:is>
      </x:c>
      <x:c r="M111" s="5" t="n">
        <x:v>2</x:v>
      </x:c>
      <x:c r="N111" s="5" t="inlineStr">
        <x:is>
          <x:t xml:space="preserve">45 C.F.R. § 164.312(a)(2)(iv)</x:t>
        </x:is>
      </x:c>
      <x:c r="O111" s="5" t="inlineStr">
        <x:is>
          <x:t xml:space="preserve">Access Control — Encryption and Decryption</x:t>
        </x:is>
      </x:c>
      <x:c r="P111" s="5" t="inlineStr">
        <x:is>
          <x:t xml:space="preserve">Implement a mechanism to encrypt and decrypt ePHI.</x:t>
        </x:is>
      </x:c>
      <x:c r="Q111" s="5" t="inlineStr">
        <x:is>
          <x:t xml:space="preserve">Addressable implementation specification</x:t>
        </x:is>
      </x:c>
      <x:c r="R111" s="5" t="inlineStr">
        <x:is>
          <x:t xml:space="preserve">Technical Safeguards</x:t>
        </x:is>
      </x:c>
      <x:c r="S111" s="28" t="inlineStr">
        <x:is>
          <x:t xml:space="preserve">https://www.ecfr.gov/current/title-45/subtitle-A/subchapter-C/part-164/section-164.312</x:t>
        </x:is>
      </x:c>
      <x:c r="T111" s="28" t="inlineStr">
        <x:is>
          <x:t xml:space="preserve">https://www.hhs.gov/hipaa/for-professionals/faq/2001/is-the-use-of-encryption-mandatory-in-the-security-rule/index.html</x:t>
        </x:is>
      </x:c>
      <x:c r="U111" s="5" t="inlineStr">
        <x:is>
          <x:t xml:space="preserve">Best-fit composite</x:t>
        </x:is>
      </x:c>
      <x:c r="V111" s="5" t="inlineStr">
        <x:is>
          <x:t xml:space="preserve">System-inventory evidence is not explicitly named in the Security Rule, but OCR guidance treats asset inventories and system scoping as supporting accurate risk analysis and implementation of encryption safeguards.</x:t>
        </x:is>
      </x:c>
      <x:c r="W111" s="5" t="inlineStr">
        <x:is>
          <x:t xml:space="preserve">Inventory/list-of-systems evidence is supporting evidence for encryption coverage, not a standalone named HIPAA inventory mandate.</x:t>
        </x:is>
      </x:c>
      <x:c r="X111" s="5" t="n"/>
    </x:row>
    <x:row r="112" ht="30" customHeight="1">
      <x:c r="A112" s="5" t="inlineStr">
        <x:is>
          <x:t xml:space="preserve">ER-12|REQ-33-HIPAA|0701.07a1Organizational.7|List of All Production Systems (Servers, VMs, Data Stores)</x:t>
        </x:is>
      </x:c>
      <x:c r="B112" s="5" t="inlineStr">
        <x:is>
          <x:t xml:space="preserve">HITRUST e1.csv</x:t>
        </x:is>
      </x:c>
      <x:c r="C112" s="5" t="inlineStr">
        <x:is>
          <x:t xml:space="preserve">ER-12</x:t>
        </x:is>
      </x:c>
      <x:c r="D112" s="5" t="inlineStr">
        <x:is>
          <x:t xml:space="preserve">Configuration</x:t>
        </x:is>
      </x:c>
      <x:c r="E112" s="5" t="inlineStr">
        <x:is>
          <x:t xml:space="preserve">List of All Production Systems (Servers, VMs, Data Stores)</x:t>
        </x:is>
      </x:c>
      <x:c r="F112" s="5" t="inlineStr">
        <x:is>
          <x:t xml:space="preserve">REQ-33-HIPAA</x:t>
        </x:is>
      </x:c>
      <x:c r="G112" s="5" t="inlineStr">
        <x:is>
          <x:t xml:space="preserve">0701.07a1Organizational.7</x:t>
        </x:is>
      </x:c>
      <x:c r="H112" s="5" t="inlineStr">
        <x:is>
          <x:t xml:space="preserve">0701.07a1 Organizational.7</x:t>
        </x:is>
      </x:c>
      <x:c r="I112" s="5" t="inlineStr">
        <x:is>
          <x:t xml:space="preserve">Many:Many</x:t>
        </x:is>
      </x:c>
      <x:c r="J112" s="5" t="n">
        <x:v>1</x:v>
      </x:c>
      <x:c r="K112" s="5" t="inlineStr">
        <x:is>
          <x:t xml:space="preserve">45 CFR § 164.308(a)(1)(ii)(A); 45 CFR § 164.312(a)(2)(iv); 45 CFR § 164.312(e)(2)(ii)</x:t>
        </x:is>
      </x:c>
      <x:c r="L112" s="5" t="inlineStr">
        <x:is>
          <x:t xml:space="preserve">Security Management Process — Risk Analysis; Access Control — Encryption and Decryption; Transmission Security — Encryption</x:t>
        </x:is>
      </x:c>
      <x:c r="M112" s="5" t="n">
        <x:v>3</x:v>
      </x:c>
      <x:c r="N112" s="5" t="inlineStr">
        <x:is>
          <x:t xml:space="preserve">45 C.F.R. § 164.312(e)(2)(ii)</x:t>
        </x:is>
      </x:c>
      <x:c r="O112" s="5" t="inlineStr">
        <x:is>
          <x:t xml:space="preserve">Transmission Security — Encryption</x:t>
        </x:is>
      </x:c>
      <x:c r="P112" s="5" t="inlineStr">
        <x:is>
          <x:t xml:space="preserve">Implement a mechanism to encrypt ePHI whenever deemed appropriate during electronic transmission.</x:t>
        </x:is>
      </x:c>
      <x:c r="Q112" s="5" t="inlineStr">
        <x:is>
          <x:t xml:space="preserve">Addressable implementation specification</x:t>
        </x:is>
      </x:c>
      <x:c r="R112" s="5" t="inlineStr">
        <x:is>
          <x:t xml:space="preserve">Technical Safeguards</x:t>
        </x:is>
      </x:c>
      <x:c r="S112" s="28" t="inlineStr">
        <x:is>
          <x:t xml:space="preserve">https://www.ecfr.gov/current/title-45/subtitle-A/subchapter-C/part-164/section-164.312</x:t>
        </x:is>
      </x:c>
      <x:c r="T112" s="28" t="inlineStr">
        <x:is>
          <x:t xml:space="preserve">https://www.hhs.gov/hipaa/for-professionals/faq/2001/is-the-use-of-encryption-mandatory-in-the-security-rule/index.html</x:t>
        </x:is>
      </x:c>
      <x:c r="U112" s="5" t="inlineStr">
        <x:is>
          <x:t xml:space="preserve">Best-fit composite</x:t>
        </x:is>
      </x:c>
      <x:c r="V112" s="5" t="inlineStr">
        <x:is>
          <x:t xml:space="preserve">System-inventory evidence is not explicitly named in the Security Rule, but OCR guidance treats asset inventories and system scoping as supporting accurate risk analysis and implementation of encryption safeguards.</x:t>
        </x:is>
      </x:c>
      <x:c r="W112" s="5" t="inlineStr">
        <x:is>
          <x:t xml:space="preserve">Inventory/list-of-systems evidence is supporting evidence for encryption coverage, not a standalone named HIPAA inventory mandate.</x:t>
        </x:is>
      </x:c>
      <x:c r="X112" s="5" t="n"/>
    </x:row>
    <x:row r="113" ht="30" customHeight="1">
      <x:c r="A113" s="5" t="inlineStr">
        <x:is>
          <x:t xml:space="preserve">ER-12|REQ-33-HIPAA|0701.07a1Organizational.8|List of All Production Systems (Servers, VMs, Data Stores)</x:t>
        </x:is>
      </x:c>
      <x:c r="B113" s="5" t="inlineStr">
        <x:is>
          <x:t xml:space="preserve">HITRUST e1.csv</x:t>
        </x:is>
      </x:c>
      <x:c r="C113" s="5" t="inlineStr">
        <x:is>
          <x:t xml:space="preserve">ER-12</x:t>
        </x:is>
      </x:c>
      <x:c r="D113" s="5" t="inlineStr">
        <x:is>
          <x:t xml:space="preserve">Configuration</x:t>
        </x:is>
      </x:c>
      <x:c r="E113" s="5" t="inlineStr">
        <x:is>
          <x:t xml:space="preserve">List of All Production Systems (Servers, VMs, Data Stores)</x:t>
        </x:is>
      </x:c>
      <x:c r="F113" s="5" t="inlineStr">
        <x:is>
          <x:t xml:space="preserve">REQ-33-HIPAA</x:t>
        </x:is>
      </x:c>
      <x:c r="G113" s="5" t="inlineStr">
        <x:is>
          <x:t xml:space="preserve">0701.07a1Organizational.8</x:t>
        </x:is>
      </x:c>
      <x:c r="H113" s="5" t="inlineStr">
        <x:is>
          <x:t xml:space="preserve">0701.07a1 Organizational.8</x:t>
        </x:is>
      </x:c>
      <x:c r="I113" s="5" t="inlineStr">
        <x:is>
          <x:t xml:space="preserve">Many:Many</x:t>
        </x:is>
      </x:c>
      <x:c r="J113" s="5" t="n">
        <x:v>1</x:v>
      </x:c>
      <x:c r="K113" s="5" t="inlineStr">
        <x:is>
          <x:t xml:space="preserve">45 CFR § 164.308(a)(1)(ii)(A); 45 CFR § 164.312(a)(2)(iv); 45 CFR § 164.312(e)(2)(ii)</x:t>
        </x:is>
      </x:c>
      <x:c r="L113" s="5" t="inlineStr">
        <x:is>
          <x:t xml:space="preserve">Security Management Process — Risk Analysis; Access Control — Encryption and Decryption; Transmission Security — Encryption</x:t>
        </x:is>
      </x:c>
      <x:c r="M113" s="5" t="n">
        <x:v>1</x:v>
      </x:c>
      <x:c r="N113" s="5" t="inlineStr">
        <x:is>
          <x:t xml:space="preserve">45 C.F.R. § 164.308(a)(1)(ii)(A)</x:t>
        </x:is>
      </x:c>
      <x:c r="O113" s="5" t="inlineStr">
        <x:is>
          <x:t xml:space="preserve">Security Management Process — Risk Analysis</x:t>
        </x:is>
      </x:c>
      <x:c r="P113" s="5" t="inlineStr">
        <x:is>
          <x:t xml:space="preserve">Conduct an accurate and thorough assessment of the potential risks and vulnerabilities to the confidentiality, integrity, and availability of ePHI.</x:t>
        </x:is>
      </x:c>
      <x:c r="Q113" s="5" t="inlineStr">
        <x:is>
          <x:t xml:space="preserve">Required implementation specification</x:t>
        </x:is>
      </x:c>
      <x:c r="R113" s="5" t="inlineStr">
        <x:is>
          <x:t xml:space="preserve">Administrative Safeguards</x:t>
        </x:is>
      </x:c>
      <x:c r="S113" s="28" t="inlineStr">
        <x:is>
          <x:t xml:space="preserve">https://www.ecfr.gov/current/title-45/subtitle-A/subchapter-C/part-164/section-164.308</x:t>
        </x:is>
      </x:c>
      <x:c r="T113" s="28" t="inlineStr">
        <x:is>
          <x:t xml:space="preserve">https://www.hhs.gov/hipaa/for-professionals/security/guidance/guidance-risk-analysis/index.html</x:t>
        </x:is>
      </x:c>
      <x:c r="U113" s="5" t="inlineStr">
        <x:is>
          <x:t xml:space="preserve">Best-fit composite</x:t>
        </x:is>
      </x:c>
      <x:c r="V113" s="5" t="inlineStr">
        <x:is>
          <x:t xml:space="preserve">System-inventory evidence is not explicitly named in the Security Rule, but OCR guidance treats asset inventories and system scoping as supporting accurate risk analysis and implementation of encryption safeguards.</x:t>
        </x:is>
      </x:c>
      <x:c r="W113" s="5" t="inlineStr">
        <x:is>
          <x:t xml:space="preserve">Inventory/list-of-systems evidence is supporting evidence for encryption coverage, not a standalone named HIPAA inventory mandate.</x:t>
        </x:is>
      </x:c>
      <x:c r="X113" s="5" t="n"/>
    </x:row>
    <x:row r="114" ht="30" customHeight="1">
      <x:c r="A114" s="5" t="inlineStr">
        <x:is>
          <x:t xml:space="preserve">ER-12|REQ-33-HIPAA|0701.07a1Organizational.8|List of All Production Systems (Servers, VMs, Data Stores)</x:t>
        </x:is>
      </x:c>
      <x:c r="B114" s="5" t="inlineStr">
        <x:is>
          <x:t xml:space="preserve">HITRUST e1.csv</x:t>
        </x:is>
      </x:c>
      <x:c r="C114" s="5" t="inlineStr">
        <x:is>
          <x:t xml:space="preserve">ER-12</x:t>
        </x:is>
      </x:c>
      <x:c r="D114" s="5" t="inlineStr">
        <x:is>
          <x:t xml:space="preserve">Configuration</x:t>
        </x:is>
      </x:c>
      <x:c r="E114" s="5" t="inlineStr">
        <x:is>
          <x:t xml:space="preserve">List of All Production Systems (Servers, VMs, Data Stores)</x:t>
        </x:is>
      </x:c>
      <x:c r="F114" s="5" t="inlineStr">
        <x:is>
          <x:t xml:space="preserve">REQ-33-HIPAA</x:t>
        </x:is>
      </x:c>
      <x:c r="G114" s="5" t="inlineStr">
        <x:is>
          <x:t xml:space="preserve">0701.07a1Organizational.8</x:t>
        </x:is>
      </x:c>
      <x:c r="H114" s="5" t="inlineStr">
        <x:is>
          <x:t xml:space="preserve">0701.07a1 Organizational.8</x:t>
        </x:is>
      </x:c>
      <x:c r="I114" s="5" t="inlineStr">
        <x:is>
          <x:t xml:space="preserve">Many:Many</x:t>
        </x:is>
      </x:c>
      <x:c r="J114" s="5" t="n">
        <x:v>1</x:v>
      </x:c>
      <x:c r="K114" s="5" t="inlineStr">
        <x:is>
          <x:t xml:space="preserve">45 CFR § 164.308(a)(1)(ii)(A); 45 CFR § 164.312(a)(2)(iv); 45 CFR § 164.312(e)(2)(ii)</x:t>
        </x:is>
      </x:c>
      <x:c r="L114" s="5" t="inlineStr">
        <x:is>
          <x:t xml:space="preserve">Security Management Process — Risk Analysis; Access Control — Encryption and Decryption; Transmission Security — Encryption</x:t>
        </x:is>
      </x:c>
      <x:c r="M114" s="5" t="n">
        <x:v>2</x:v>
      </x:c>
      <x:c r="N114" s="5" t="inlineStr">
        <x:is>
          <x:t xml:space="preserve">45 C.F.R. § 164.312(a)(2)(iv)</x:t>
        </x:is>
      </x:c>
      <x:c r="O114" s="5" t="inlineStr">
        <x:is>
          <x:t xml:space="preserve">Access Control — Encryption and Decryption</x:t>
        </x:is>
      </x:c>
      <x:c r="P114" s="5" t="inlineStr">
        <x:is>
          <x:t xml:space="preserve">Implement a mechanism to encrypt and decrypt ePHI.</x:t>
        </x:is>
      </x:c>
      <x:c r="Q114" s="5" t="inlineStr">
        <x:is>
          <x:t xml:space="preserve">Addressable implementation specification</x:t>
        </x:is>
      </x:c>
      <x:c r="R114" s="5" t="inlineStr">
        <x:is>
          <x:t xml:space="preserve">Technical Safeguards</x:t>
        </x:is>
      </x:c>
      <x:c r="S114" s="28" t="inlineStr">
        <x:is>
          <x:t xml:space="preserve">https://www.ecfr.gov/current/title-45/subtitle-A/subchapter-C/part-164/section-164.312</x:t>
        </x:is>
      </x:c>
      <x:c r="T114" s="28" t="inlineStr">
        <x:is>
          <x:t xml:space="preserve">https://www.hhs.gov/hipaa/for-professionals/faq/2001/is-the-use-of-encryption-mandatory-in-the-security-rule/index.html</x:t>
        </x:is>
      </x:c>
      <x:c r="U114" s="5" t="inlineStr">
        <x:is>
          <x:t xml:space="preserve">Best-fit composite</x:t>
        </x:is>
      </x:c>
      <x:c r="V114" s="5" t="inlineStr">
        <x:is>
          <x:t xml:space="preserve">System-inventory evidence is not explicitly named in the Security Rule, but OCR guidance treats asset inventories and system scoping as supporting accurate risk analysis and implementation of encryption safeguards.</x:t>
        </x:is>
      </x:c>
      <x:c r="W114" s="5" t="inlineStr">
        <x:is>
          <x:t xml:space="preserve">Inventory/list-of-systems evidence is supporting evidence for encryption coverage, not a standalone named HIPAA inventory mandate.</x:t>
        </x:is>
      </x:c>
      <x:c r="X114" s="5" t="n"/>
    </x:row>
    <x:row r="115" ht="30" customHeight="1">
      <x:c r="A115" s="5" t="inlineStr">
        <x:is>
          <x:t xml:space="preserve">ER-12|REQ-33-HIPAA|0701.07a1Organizational.8|List of All Production Systems (Servers, VMs, Data Stores)</x:t>
        </x:is>
      </x:c>
      <x:c r="B115" s="5" t="inlineStr">
        <x:is>
          <x:t xml:space="preserve">HITRUST e1.csv</x:t>
        </x:is>
      </x:c>
      <x:c r="C115" s="5" t="inlineStr">
        <x:is>
          <x:t xml:space="preserve">ER-12</x:t>
        </x:is>
      </x:c>
      <x:c r="D115" s="5" t="inlineStr">
        <x:is>
          <x:t xml:space="preserve">Configuration</x:t>
        </x:is>
      </x:c>
      <x:c r="E115" s="5" t="inlineStr">
        <x:is>
          <x:t xml:space="preserve">List of All Production Systems (Servers, VMs, Data Stores)</x:t>
        </x:is>
      </x:c>
      <x:c r="F115" s="5" t="inlineStr">
        <x:is>
          <x:t xml:space="preserve">REQ-33-HIPAA</x:t>
        </x:is>
      </x:c>
      <x:c r="G115" s="5" t="inlineStr">
        <x:is>
          <x:t xml:space="preserve">0701.07a1Organizational.8</x:t>
        </x:is>
      </x:c>
      <x:c r="H115" s="5" t="inlineStr">
        <x:is>
          <x:t xml:space="preserve">0701.07a1 Organizational.8</x:t>
        </x:is>
      </x:c>
      <x:c r="I115" s="5" t="inlineStr">
        <x:is>
          <x:t xml:space="preserve">Many:Many</x:t>
        </x:is>
      </x:c>
      <x:c r="J115" s="5" t="n">
        <x:v>1</x:v>
      </x:c>
      <x:c r="K115" s="5" t="inlineStr">
        <x:is>
          <x:t xml:space="preserve">45 CFR § 164.308(a)(1)(ii)(A); 45 CFR § 164.312(a)(2)(iv); 45 CFR § 164.312(e)(2)(ii)</x:t>
        </x:is>
      </x:c>
      <x:c r="L115" s="5" t="inlineStr">
        <x:is>
          <x:t xml:space="preserve">Security Management Process — Risk Analysis; Access Control — Encryption and Decryption; Transmission Security — Encryption</x:t>
        </x:is>
      </x:c>
      <x:c r="M115" s="5" t="n">
        <x:v>3</x:v>
      </x:c>
      <x:c r="N115" s="5" t="inlineStr">
        <x:is>
          <x:t xml:space="preserve">45 C.F.R. § 164.312(e)(2)(ii)</x:t>
        </x:is>
      </x:c>
      <x:c r="O115" s="5" t="inlineStr">
        <x:is>
          <x:t xml:space="preserve">Transmission Security — Encryption</x:t>
        </x:is>
      </x:c>
      <x:c r="P115" s="5" t="inlineStr">
        <x:is>
          <x:t xml:space="preserve">Implement a mechanism to encrypt ePHI whenever deemed appropriate during electronic transmission.</x:t>
        </x:is>
      </x:c>
      <x:c r="Q115" s="5" t="inlineStr">
        <x:is>
          <x:t xml:space="preserve">Addressable implementation specification</x:t>
        </x:is>
      </x:c>
      <x:c r="R115" s="5" t="inlineStr">
        <x:is>
          <x:t xml:space="preserve">Technical Safeguards</x:t>
        </x:is>
      </x:c>
      <x:c r="S115" s="28" t="inlineStr">
        <x:is>
          <x:t xml:space="preserve">https://www.ecfr.gov/current/title-45/subtitle-A/subchapter-C/part-164/section-164.312</x:t>
        </x:is>
      </x:c>
      <x:c r="T115" s="28" t="inlineStr">
        <x:is>
          <x:t xml:space="preserve">https://www.hhs.gov/hipaa/for-professionals/faq/2001/is-the-use-of-encryption-mandatory-in-the-security-rule/index.html</x:t>
        </x:is>
      </x:c>
      <x:c r="U115" s="5" t="inlineStr">
        <x:is>
          <x:t xml:space="preserve">Best-fit composite</x:t>
        </x:is>
      </x:c>
      <x:c r="V115" s="5" t="inlineStr">
        <x:is>
          <x:t xml:space="preserve">System-inventory evidence is not explicitly named in the Security Rule, but OCR guidance treats asset inventories and system scoping as supporting accurate risk analysis and implementation of encryption safeguards.</x:t>
        </x:is>
      </x:c>
      <x:c r="W115" s="5" t="inlineStr">
        <x:is>
          <x:t xml:space="preserve">Inventory/list-of-systems evidence is supporting evidence for encryption coverage, not a standalone named HIPAA inventory mandate.</x:t>
        </x:is>
      </x:c>
      <x:c r="X115" s="5" t="n"/>
    </x:row>
    <x:row r="116" ht="30" customHeight="1">
      <x:c r="A116" s="5" t="inlineStr">
        <x:is>
          <x:t xml:space="preserve">ER-12|REQ-34-HIPAA|07.07a1Organizational.8|List of All Production Systems (Servers, VMs, Data Stores)</x:t>
        </x:is>
      </x:c>
      <x:c r="B116" s="5" t="inlineStr">
        <x:is>
          <x:t xml:space="preserve">HITRUST e1.csv</x:t>
        </x:is>
      </x:c>
      <x:c r="C116" s="5" t="inlineStr">
        <x:is>
          <x:t xml:space="preserve">ER-12</x:t>
        </x:is>
      </x:c>
      <x:c r="D116" s="5" t="inlineStr">
        <x:is>
          <x:t xml:space="preserve">Configuration</x:t>
        </x:is>
      </x:c>
      <x:c r="E116" s="5" t="inlineStr">
        <x:is>
          <x:t xml:space="preserve">List of All Production Systems (Servers, VMs, Data Stores)</x:t>
        </x:is>
      </x:c>
      <x:c r="F116" s="5" t="inlineStr">
        <x:is>
          <x:t xml:space="preserve">REQ-34-HIPAA</x:t>
        </x:is>
      </x:c>
      <x:c r="G116" s="5" t="inlineStr">
        <x:is>
          <x:t xml:space="preserve">07.07a1Organizational.8</x:t>
        </x:is>
      </x:c>
      <x:c r="H116" s="5" t="inlineStr">
        <x:is>
          <x:t xml:space="preserve">07.07a1 Organizational.8</x:t>
        </x:is>
      </x:c>
      <x:c r="I116" s="5" t="inlineStr">
        <x:is>
          <x:t xml:space="preserve">Many:Many</x:t>
        </x:is>
      </x:c>
      <x:c r="J116" s="5" t="n">
        <x:v>1</x:v>
      </x:c>
      <x:c r="K116" s="5" t="inlineStr">
        <x:is>
          <x:t xml:space="preserve">45 CFR § 164.308(a)(1)(ii)(A); 45 CFR § 164.312(a)(2)(iv)</x:t>
        </x:is>
      </x:c>
      <x:c r="L116" s="5" t="inlineStr">
        <x:is>
          <x:t xml:space="preserve">Security Management Process — Risk Analysis; Access Control — Encryption and Decryption</x:t>
        </x:is>
      </x:c>
      <x:c r="M116" s="5" t="n">
        <x:v>1</x:v>
      </x:c>
      <x:c r="N116" s="5" t="inlineStr">
        <x:is>
          <x:t xml:space="preserve">45 C.F.R. § 164.308(a)(1)(ii)(A)</x:t>
        </x:is>
      </x:c>
      <x:c r="O116" s="5" t="inlineStr">
        <x:is>
          <x:t xml:space="preserve">Security Management Process — Risk Analysis</x:t>
        </x:is>
      </x:c>
      <x:c r="P116" s="5" t="inlineStr">
        <x:is>
          <x:t xml:space="preserve">Conduct an accurate and thorough assessment of the potential risks and vulnerabilities to the confidentiality, integrity, and availability of ePHI.</x:t>
        </x:is>
      </x:c>
      <x:c r="Q116" s="5" t="inlineStr">
        <x:is>
          <x:t xml:space="preserve">Required implementation specification</x:t>
        </x:is>
      </x:c>
      <x:c r="R116" s="5" t="inlineStr">
        <x:is>
          <x:t xml:space="preserve">Administrative Safeguards</x:t>
        </x:is>
      </x:c>
      <x:c r="S116" s="28" t="inlineStr">
        <x:is>
          <x:t xml:space="preserve">https://www.ecfr.gov/current/title-45/subtitle-A/subchapter-C/part-164/section-164.308</x:t>
        </x:is>
      </x:c>
      <x:c r="T116" s="28" t="inlineStr">
        <x:is>
          <x:t xml:space="preserve">https://www.hhs.gov/hipaa/for-professionals/security/guidance/guidance-risk-analysis/index.html</x:t>
        </x:is>
      </x:c>
      <x:c r="U116" s="5" t="inlineStr">
        <x:is>
          <x:t xml:space="preserve">Best-fit composite</x:t>
        </x:is>
      </x:c>
      <x:c r="V116" s="5" t="inlineStr">
        <x:is>
          <x:t xml:space="preserve">System inventory supports scoping/coverage of at-rest encryption and accurate risk analysis.</x:t>
        </x:is>
      </x:c>
      <x:c r="W116" s="5" t="inlineStr">
        <x:is>
          <x:t xml:space="preserve">Asset inventory is supporting evidence rather than an explicit standalone at-rest-encryption requirement.</x:t>
        </x:is>
      </x:c>
      <x:c r="X116" s="5" t="n"/>
    </x:row>
    <x:row r="117" ht="30" customHeight="1">
      <x:c r="A117" s="5" t="inlineStr">
        <x:is>
          <x:t xml:space="preserve">ER-12|REQ-34-HIPAA|07.07a1Organizational.8|List of All Production Systems (Servers, VMs, Data Stores)</x:t>
        </x:is>
      </x:c>
      <x:c r="B117" s="5" t="inlineStr">
        <x:is>
          <x:t xml:space="preserve">HITRUST e1.csv</x:t>
        </x:is>
      </x:c>
      <x:c r="C117" s="5" t="inlineStr">
        <x:is>
          <x:t xml:space="preserve">ER-12</x:t>
        </x:is>
      </x:c>
      <x:c r="D117" s="5" t="inlineStr">
        <x:is>
          <x:t xml:space="preserve">Configuration</x:t>
        </x:is>
      </x:c>
      <x:c r="E117" s="5" t="inlineStr">
        <x:is>
          <x:t xml:space="preserve">List of All Production Systems (Servers, VMs, Data Stores)</x:t>
        </x:is>
      </x:c>
      <x:c r="F117" s="5" t="inlineStr">
        <x:is>
          <x:t xml:space="preserve">REQ-34-HIPAA</x:t>
        </x:is>
      </x:c>
      <x:c r="G117" s="5" t="inlineStr">
        <x:is>
          <x:t xml:space="preserve">07.07a1Organizational.8</x:t>
        </x:is>
      </x:c>
      <x:c r="H117" s="5" t="inlineStr">
        <x:is>
          <x:t xml:space="preserve">07.07a1 Organizational.8</x:t>
        </x:is>
      </x:c>
      <x:c r="I117" s="5" t="inlineStr">
        <x:is>
          <x:t xml:space="preserve">Many:Many</x:t>
        </x:is>
      </x:c>
      <x:c r="J117" s="5" t="n">
        <x:v>1</x:v>
      </x:c>
      <x:c r="K117" s="5" t="inlineStr">
        <x:is>
          <x:t xml:space="preserve">45 CFR § 164.308(a)(1)(ii)(A); 45 CFR § 164.312(a)(2)(iv)</x:t>
        </x:is>
      </x:c>
      <x:c r="L117" s="5" t="inlineStr">
        <x:is>
          <x:t xml:space="preserve">Security Management Process — Risk Analysis; Access Control — Encryption and Decryption</x:t>
        </x:is>
      </x:c>
      <x:c r="M117" s="5" t="n">
        <x:v>2</x:v>
      </x:c>
      <x:c r="N117" s="5" t="inlineStr">
        <x:is>
          <x:t xml:space="preserve">45 C.F.R. § 164.312(a)(2)(iv)</x:t>
        </x:is>
      </x:c>
      <x:c r="O117" s="5" t="inlineStr">
        <x:is>
          <x:t xml:space="preserve">Access Control — Encryption and Decryption</x:t>
        </x:is>
      </x:c>
      <x:c r="P117" s="5" t="inlineStr">
        <x:is>
          <x:t xml:space="preserve">Implement a mechanism to encrypt and decrypt ePHI.</x:t>
        </x:is>
      </x:c>
      <x:c r="Q117" s="5" t="inlineStr">
        <x:is>
          <x:t xml:space="preserve">Addressable implementation specification</x:t>
        </x:is>
      </x:c>
      <x:c r="R117" s="5" t="inlineStr">
        <x:is>
          <x:t xml:space="preserve">Technical Safeguards</x:t>
        </x:is>
      </x:c>
      <x:c r="S117" s="28" t="inlineStr">
        <x:is>
          <x:t xml:space="preserve">https://www.ecfr.gov/current/title-45/subtitle-A/subchapter-C/part-164/section-164.312</x:t>
        </x:is>
      </x:c>
      <x:c r="T117" s="28" t="inlineStr">
        <x:is>
          <x:t xml:space="preserve">https://www.hhs.gov/hipaa/for-professionals/faq/2001/is-the-use-of-encryption-mandatory-in-the-security-rule/index.html</x:t>
        </x:is>
      </x:c>
      <x:c r="U117" s="5" t="inlineStr">
        <x:is>
          <x:t xml:space="preserve">Best-fit composite</x:t>
        </x:is>
      </x:c>
      <x:c r="V117" s="5" t="inlineStr">
        <x:is>
          <x:t xml:space="preserve">System inventory supports scoping/coverage of at-rest encryption and accurate risk analysis.</x:t>
        </x:is>
      </x:c>
      <x:c r="W117" s="5" t="inlineStr">
        <x:is>
          <x:t xml:space="preserve">Asset inventory is supporting evidence rather than an explicit standalone at-rest-encryption requirement.</x:t>
        </x:is>
      </x:c>
      <x:c r="X117" s="5" t="n"/>
    </x:row>
    <x:row r="118" ht="30" customHeight="1">
      <x:c r="A118" s="5" t="inlineStr">
        <x:is>
          <x:t xml:space="preserve">ER-12|REQ-34-HIPAA|0701.07a1Organizational.7|List of All Production Systems (Servers, VMs, Data Stores)</x:t>
        </x:is>
      </x:c>
      <x:c r="B118" s="5" t="inlineStr">
        <x:is>
          <x:t xml:space="preserve">HITRUST e1.csv</x:t>
        </x:is>
      </x:c>
      <x:c r="C118" s="5" t="inlineStr">
        <x:is>
          <x:t xml:space="preserve">ER-12</x:t>
        </x:is>
      </x:c>
      <x:c r="D118" s="5" t="inlineStr">
        <x:is>
          <x:t xml:space="preserve">Configuration</x:t>
        </x:is>
      </x:c>
      <x:c r="E118" s="5" t="inlineStr">
        <x:is>
          <x:t xml:space="preserve">List of All Production Systems (Servers, VMs, Data Stores)</x:t>
        </x:is>
      </x:c>
      <x:c r="F118" s="5" t="inlineStr">
        <x:is>
          <x:t xml:space="preserve">REQ-34-HIPAA</x:t>
        </x:is>
      </x:c>
      <x:c r="G118" s="5" t="inlineStr">
        <x:is>
          <x:t xml:space="preserve">0701.07a1Organizational.7</x:t>
        </x:is>
      </x:c>
      <x:c r="H118" s="5" t="inlineStr">
        <x:is>
          <x:t xml:space="preserve">0701.07a1 Organizational.7</x:t>
        </x:is>
      </x:c>
      <x:c r="I118" s="5" t="inlineStr">
        <x:is>
          <x:t xml:space="preserve">Many:Many</x:t>
        </x:is>
      </x:c>
      <x:c r="J118" s="5" t="n">
        <x:v>1</x:v>
      </x:c>
      <x:c r="K118" s="5" t="inlineStr">
        <x:is>
          <x:t xml:space="preserve">45 CFR § 164.308(a)(1)(ii)(A); 45 CFR § 164.312(a)(2)(iv)</x:t>
        </x:is>
      </x:c>
      <x:c r="L118" s="5" t="inlineStr">
        <x:is>
          <x:t xml:space="preserve">Security Management Process — Risk Analysis; Access Control — Encryption and Decryption</x:t>
        </x:is>
      </x:c>
      <x:c r="M118" s="5" t="n">
        <x:v>1</x:v>
      </x:c>
      <x:c r="N118" s="5" t="inlineStr">
        <x:is>
          <x:t xml:space="preserve">45 C.F.R. § 164.308(a)(1)(ii)(A)</x:t>
        </x:is>
      </x:c>
      <x:c r="O118" s="5" t="inlineStr">
        <x:is>
          <x:t xml:space="preserve">Security Management Process — Risk Analysis</x:t>
        </x:is>
      </x:c>
      <x:c r="P118" s="5" t="inlineStr">
        <x:is>
          <x:t xml:space="preserve">Conduct an accurate and thorough assessment of the potential risks and vulnerabilities to the confidentiality, integrity, and availability of ePHI.</x:t>
        </x:is>
      </x:c>
      <x:c r="Q118" s="5" t="inlineStr">
        <x:is>
          <x:t xml:space="preserve">Required implementation specification</x:t>
        </x:is>
      </x:c>
      <x:c r="R118" s="5" t="inlineStr">
        <x:is>
          <x:t xml:space="preserve">Administrative Safeguards</x:t>
        </x:is>
      </x:c>
      <x:c r="S118" s="28" t="inlineStr">
        <x:is>
          <x:t xml:space="preserve">https://www.ecfr.gov/current/title-45/subtitle-A/subchapter-C/part-164/section-164.308</x:t>
        </x:is>
      </x:c>
      <x:c r="T118" s="28" t="inlineStr">
        <x:is>
          <x:t xml:space="preserve">https://www.hhs.gov/hipaa/for-professionals/security/guidance/guidance-risk-analysis/index.html</x:t>
        </x:is>
      </x:c>
      <x:c r="U118" s="5" t="inlineStr">
        <x:is>
          <x:t xml:space="preserve">Best-fit composite</x:t>
        </x:is>
      </x:c>
      <x:c r="V118" s="5" t="inlineStr">
        <x:is>
          <x:t xml:space="preserve">System inventory supports scoping/coverage of at-rest encryption and accurate risk analysis.</x:t>
        </x:is>
      </x:c>
      <x:c r="W118" s="5" t="inlineStr">
        <x:is>
          <x:t xml:space="preserve">Asset inventory is supporting evidence rather than an explicit standalone at-rest-encryption requirement.</x:t>
        </x:is>
      </x:c>
      <x:c r="X118" s="5" t="n"/>
    </x:row>
    <x:row r="119" ht="30" customHeight="1">
      <x:c r="A119" s="5" t="inlineStr">
        <x:is>
          <x:t xml:space="preserve">ER-12|REQ-34-HIPAA|0701.07a1Organizational.7|List of All Production Systems (Servers, VMs, Data Stores)</x:t>
        </x:is>
      </x:c>
      <x:c r="B119" s="5" t="inlineStr">
        <x:is>
          <x:t xml:space="preserve">HITRUST e1.csv</x:t>
        </x:is>
      </x:c>
      <x:c r="C119" s="5" t="inlineStr">
        <x:is>
          <x:t xml:space="preserve">ER-12</x:t>
        </x:is>
      </x:c>
      <x:c r="D119" s="5" t="inlineStr">
        <x:is>
          <x:t xml:space="preserve">Configuration</x:t>
        </x:is>
      </x:c>
      <x:c r="E119" s="5" t="inlineStr">
        <x:is>
          <x:t xml:space="preserve">List of All Production Systems (Servers, VMs, Data Stores)</x:t>
        </x:is>
      </x:c>
      <x:c r="F119" s="5" t="inlineStr">
        <x:is>
          <x:t xml:space="preserve">REQ-34-HIPAA</x:t>
        </x:is>
      </x:c>
      <x:c r="G119" s="5" t="inlineStr">
        <x:is>
          <x:t xml:space="preserve">0701.07a1Organizational.7</x:t>
        </x:is>
      </x:c>
      <x:c r="H119" s="5" t="inlineStr">
        <x:is>
          <x:t xml:space="preserve">0701.07a1 Organizational.7</x:t>
        </x:is>
      </x:c>
      <x:c r="I119" s="5" t="inlineStr">
        <x:is>
          <x:t xml:space="preserve">Many:Many</x:t>
        </x:is>
      </x:c>
      <x:c r="J119" s="5" t="n">
        <x:v>1</x:v>
      </x:c>
      <x:c r="K119" s="5" t="inlineStr">
        <x:is>
          <x:t xml:space="preserve">45 CFR § 164.308(a)(1)(ii)(A); 45 CFR § 164.312(a)(2)(iv)</x:t>
        </x:is>
      </x:c>
      <x:c r="L119" s="5" t="inlineStr">
        <x:is>
          <x:t xml:space="preserve">Security Management Process — Risk Analysis; Access Control — Encryption and Decryption</x:t>
        </x:is>
      </x:c>
      <x:c r="M119" s="5" t="n">
        <x:v>2</x:v>
      </x:c>
      <x:c r="N119" s="5" t="inlineStr">
        <x:is>
          <x:t xml:space="preserve">45 C.F.R. § 164.312(a)(2)(iv)</x:t>
        </x:is>
      </x:c>
      <x:c r="O119" s="5" t="inlineStr">
        <x:is>
          <x:t xml:space="preserve">Access Control — Encryption and Decryption</x:t>
        </x:is>
      </x:c>
      <x:c r="P119" s="5" t="inlineStr">
        <x:is>
          <x:t xml:space="preserve">Implement a mechanism to encrypt and decrypt ePHI.</x:t>
        </x:is>
      </x:c>
      <x:c r="Q119" s="5" t="inlineStr">
        <x:is>
          <x:t xml:space="preserve">Addressable implementation specification</x:t>
        </x:is>
      </x:c>
      <x:c r="R119" s="5" t="inlineStr">
        <x:is>
          <x:t xml:space="preserve">Technical Safeguards</x:t>
        </x:is>
      </x:c>
      <x:c r="S119" s="28" t="inlineStr">
        <x:is>
          <x:t xml:space="preserve">https://www.ecfr.gov/current/title-45/subtitle-A/subchapter-C/part-164/section-164.312</x:t>
        </x:is>
      </x:c>
      <x:c r="T119" s="28" t="inlineStr">
        <x:is>
          <x:t xml:space="preserve">https://www.hhs.gov/hipaa/for-professionals/faq/2001/is-the-use-of-encryption-mandatory-in-the-security-rule/index.html</x:t>
        </x:is>
      </x:c>
      <x:c r="U119" s="5" t="inlineStr">
        <x:is>
          <x:t xml:space="preserve">Best-fit composite</x:t>
        </x:is>
      </x:c>
      <x:c r="V119" s="5" t="inlineStr">
        <x:is>
          <x:t xml:space="preserve">System inventory supports scoping/coverage of at-rest encryption and accurate risk analysis.</x:t>
        </x:is>
      </x:c>
      <x:c r="W119" s="5" t="inlineStr">
        <x:is>
          <x:t xml:space="preserve">Asset inventory is supporting evidence rather than an explicit standalone at-rest-encryption requirement.</x:t>
        </x:is>
      </x:c>
      <x:c r="X119" s="5" t="n"/>
    </x:row>
    <x:row r="120" ht="30" customHeight="1">
      <x:c r="A120" s="5" t="inlineStr">
        <x:is>
          <x:t xml:space="preserve">ER-12|REQ-34-HIPAA|0701.07a1Organizational.8|List of All Production Systems (Servers, VMs, Data Stores)</x:t>
        </x:is>
      </x:c>
      <x:c r="B120" s="5" t="inlineStr">
        <x:is>
          <x:t xml:space="preserve">HITRUST e1.csv</x:t>
        </x:is>
      </x:c>
      <x:c r="C120" s="5" t="inlineStr">
        <x:is>
          <x:t xml:space="preserve">ER-12</x:t>
        </x:is>
      </x:c>
      <x:c r="D120" s="5" t="inlineStr">
        <x:is>
          <x:t xml:space="preserve">Configuration</x:t>
        </x:is>
      </x:c>
      <x:c r="E120" s="5" t="inlineStr">
        <x:is>
          <x:t xml:space="preserve">List of All Production Systems (Servers, VMs, Data Stores)</x:t>
        </x:is>
      </x:c>
      <x:c r="F120" s="5" t="inlineStr">
        <x:is>
          <x:t xml:space="preserve">REQ-34-HIPAA</x:t>
        </x:is>
      </x:c>
      <x:c r="G120" s="5" t="inlineStr">
        <x:is>
          <x:t xml:space="preserve">0701.07a1Organizational.8</x:t>
        </x:is>
      </x:c>
      <x:c r="H120" s="5" t="inlineStr">
        <x:is>
          <x:t xml:space="preserve">0701.07a1 Organizational.8</x:t>
        </x:is>
      </x:c>
      <x:c r="I120" s="5" t="inlineStr">
        <x:is>
          <x:t xml:space="preserve">Many:Many</x:t>
        </x:is>
      </x:c>
      <x:c r="J120" s="5" t="n">
        <x:v>1</x:v>
      </x:c>
      <x:c r="K120" s="5" t="inlineStr">
        <x:is>
          <x:t xml:space="preserve">45 CFR § 164.308(a)(1)(ii)(A); 45 CFR § 164.312(a)(2)(iv)</x:t>
        </x:is>
      </x:c>
      <x:c r="L120" s="5" t="inlineStr">
        <x:is>
          <x:t xml:space="preserve">Security Management Process — Risk Analysis; Access Control — Encryption and Decryption</x:t>
        </x:is>
      </x:c>
      <x:c r="M120" s="5" t="n">
        <x:v>1</x:v>
      </x:c>
      <x:c r="N120" s="5" t="inlineStr">
        <x:is>
          <x:t xml:space="preserve">45 C.F.R. § 164.308(a)(1)(ii)(A)</x:t>
        </x:is>
      </x:c>
      <x:c r="O120" s="5" t="inlineStr">
        <x:is>
          <x:t xml:space="preserve">Security Management Process — Risk Analysis</x:t>
        </x:is>
      </x:c>
      <x:c r="P120" s="5" t="inlineStr">
        <x:is>
          <x:t xml:space="preserve">Conduct an accurate and thorough assessment of the potential risks and vulnerabilities to the confidentiality, integrity, and availability of ePHI.</x:t>
        </x:is>
      </x:c>
      <x:c r="Q120" s="5" t="inlineStr">
        <x:is>
          <x:t xml:space="preserve">Required implementation specification</x:t>
        </x:is>
      </x:c>
      <x:c r="R120" s="5" t="inlineStr">
        <x:is>
          <x:t xml:space="preserve">Administrative Safeguards</x:t>
        </x:is>
      </x:c>
      <x:c r="S120" s="28" t="inlineStr">
        <x:is>
          <x:t xml:space="preserve">https://www.ecfr.gov/current/title-45/subtitle-A/subchapter-C/part-164/section-164.308</x:t>
        </x:is>
      </x:c>
      <x:c r="T120" s="28" t="inlineStr">
        <x:is>
          <x:t xml:space="preserve">https://www.hhs.gov/hipaa/for-professionals/security/guidance/guidance-risk-analysis/index.html</x:t>
        </x:is>
      </x:c>
      <x:c r="U120" s="5" t="inlineStr">
        <x:is>
          <x:t xml:space="preserve">Best-fit composite</x:t>
        </x:is>
      </x:c>
      <x:c r="V120" s="5" t="inlineStr">
        <x:is>
          <x:t xml:space="preserve">System inventory supports scoping/coverage of at-rest encryption and accurate risk analysis.</x:t>
        </x:is>
      </x:c>
      <x:c r="W120" s="5" t="inlineStr">
        <x:is>
          <x:t xml:space="preserve">Asset inventory is supporting evidence rather than an explicit standalone at-rest-encryption requirement.</x:t>
        </x:is>
      </x:c>
      <x:c r="X120" s="5" t="n"/>
    </x:row>
    <x:row r="121" ht="30" customHeight="1">
      <x:c r="A121" s="5" t="inlineStr">
        <x:is>
          <x:t xml:space="preserve">ER-12|REQ-34-HIPAA|0701.07a1Organizational.8|List of All Production Systems (Servers, VMs, Data Stores)</x:t>
        </x:is>
      </x:c>
      <x:c r="B121" s="5" t="inlineStr">
        <x:is>
          <x:t xml:space="preserve">HITRUST e1.csv</x:t>
        </x:is>
      </x:c>
      <x:c r="C121" s="5" t="inlineStr">
        <x:is>
          <x:t xml:space="preserve">ER-12</x:t>
        </x:is>
      </x:c>
      <x:c r="D121" s="5" t="inlineStr">
        <x:is>
          <x:t xml:space="preserve">Configuration</x:t>
        </x:is>
      </x:c>
      <x:c r="E121" s="5" t="inlineStr">
        <x:is>
          <x:t xml:space="preserve">List of All Production Systems (Servers, VMs, Data Stores)</x:t>
        </x:is>
      </x:c>
      <x:c r="F121" s="5" t="inlineStr">
        <x:is>
          <x:t xml:space="preserve">REQ-34-HIPAA</x:t>
        </x:is>
      </x:c>
      <x:c r="G121" s="5" t="inlineStr">
        <x:is>
          <x:t xml:space="preserve">0701.07a1Organizational.8</x:t>
        </x:is>
      </x:c>
      <x:c r="H121" s="5" t="inlineStr">
        <x:is>
          <x:t xml:space="preserve">0701.07a1 Organizational.8</x:t>
        </x:is>
      </x:c>
      <x:c r="I121" s="5" t="inlineStr">
        <x:is>
          <x:t xml:space="preserve">Many:Many</x:t>
        </x:is>
      </x:c>
      <x:c r="J121" s="5" t="n">
        <x:v>1</x:v>
      </x:c>
      <x:c r="K121" s="5" t="inlineStr">
        <x:is>
          <x:t xml:space="preserve">45 CFR § 164.308(a)(1)(ii)(A); 45 CFR § 164.312(a)(2)(iv)</x:t>
        </x:is>
      </x:c>
      <x:c r="L121" s="5" t="inlineStr">
        <x:is>
          <x:t xml:space="preserve">Security Management Process — Risk Analysis; Access Control — Encryption and Decryption</x:t>
        </x:is>
      </x:c>
      <x:c r="M121" s="5" t="n">
        <x:v>2</x:v>
      </x:c>
      <x:c r="N121" s="5" t="inlineStr">
        <x:is>
          <x:t xml:space="preserve">45 C.F.R. § 164.312(a)(2)(iv)</x:t>
        </x:is>
      </x:c>
      <x:c r="O121" s="5" t="inlineStr">
        <x:is>
          <x:t xml:space="preserve">Access Control — Encryption and Decryption</x:t>
        </x:is>
      </x:c>
      <x:c r="P121" s="5" t="inlineStr">
        <x:is>
          <x:t xml:space="preserve">Implement a mechanism to encrypt and decrypt ePHI.</x:t>
        </x:is>
      </x:c>
      <x:c r="Q121" s="5" t="inlineStr">
        <x:is>
          <x:t xml:space="preserve">Addressable implementation specification</x:t>
        </x:is>
      </x:c>
      <x:c r="R121" s="5" t="inlineStr">
        <x:is>
          <x:t xml:space="preserve">Technical Safeguards</x:t>
        </x:is>
      </x:c>
      <x:c r="S121" s="28" t="inlineStr">
        <x:is>
          <x:t xml:space="preserve">https://www.ecfr.gov/current/title-45/subtitle-A/subchapter-C/part-164/section-164.312</x:t>
        </x:is>
      </x:c>
      <x:c r="T121" s="28" t="inlineStr">
        <x:is>
          <x:t xml:space="preserve">https://www.hhs.gov/hipaa/for-professionals/faq/2001/is-the-use-of-encryption-mandatory-in-the-security-rule/index.html</x:t>
        </x:is>
      </x:c>
      <x:c r="U121" s="5" t="inlineStr">
        <x:is>
          <x:t xml:space="preserve">Best-fit composite</x:t>
        </x:is>
      </x:c>
      <x:c r="V121" s="5" t="inlineStr">
        <x:is>
          <x:t xml:space="preserve">System inventory supports scoping/coverage of at-rest encryption and accurate risk analysis.</x:t>
        </x:is>
      </x:c>
      <x:c r="W121" s="5" t="inlineStr">
        <x:is>
          <x:t xml:space="preserve">Asset inventory is supporting evidence rather than an explicit standalone at-rest-encryption requirement.</x:t>
        </x:is>
      </x:c>
      <x:c r="X121" s="5" t="n"/>
    </x:row>
    <x:row r="122" ht="30" customHeight="1">
      <x:c r="A122" s="5" t="inlineStr">
        <x:is>
          <x:t xml:space="preserve">ER-12|REQ-43-HIPAA|07.07a1Organizational.8|List of All Production Systems (Servers, VMs, Data Stores)</x:t>
        </x:is>
      </x:c>
      <x:c r="B122" s="5" t="inlineStr">
        <x:is>
          <x:t xml:space="preserve">HITRUST e1.csv</x:t>
        </x:is>
      </x:c>
      <x:c r="C122" s="5" t="inlineStr">
        <x:is>
          <x:t xml:space="preserve">ER-12</x:t>
        </x:is>
      </x:c>
      <x:c r="D122" s="5" t="inlineStr">
        <x:is>
          <x:t xml:space="preserve">Configuration</x:t>
        </x:is>
      </x:c>
      <x:c r="E122" s="5" t="inlineStr">
        <x:is>
          <x:t xml:space="preserve">List of All Production Systems (Servers, VMs, Data Stores)</x:t>
        </x:is>
      </x:c>
      <x:c r="F122" s="5" t="inlineStr">
        <x:is>
          <x:t xml:space="preserve">REQ-43-HIPAA</x:t>
        </x:is>
      </x:c>
      <x:c r="G122" s="5" t="inlineStr">
        <x:is>
          <x:t xml:space="preserve">07.07a1Organizational.8</x:t>
        </x:is>
      </x:c>
      <x:c r="H122" s="5" t="inlineStr">
        <x:is>
          <x:t xml:space="preserve">07.07a1 Organizational.8</x:t>
        </x:is>
      </x:c>
      <x:c r="I122" s="5" t="inlineStr">
        <x:is>
          <x:t xml:space="preserve">Many:Many</x:t>
        </x:is>
      </x:c>
      <x:c r="J122" s="5" t="n">
        <x:v>1</x:v>
      </x:c>
      <x:c r="K122" s="5" t="inlineStr">
        <x:is>
          <x:t xml:space="preserve">45 CFR § 164.308(a)(1)(ii)(A); 45 CFR § 164.308(a)(1)(ii)(B)</x:t>
        </x:is>
      </x:c>
      <x:c r="L122" s="5" t="inlineStr">
        <x:is>
          <x:t xml:space="preserve">Security Management Process — Risk Analysis; Security Management Process — Risk Management</x:t>
        </x:is>
      </x:c>
      <x:c r="M122" s="5" t="n">
        <x:v>1</x:v>
      </x:c>
      <x:c r="N122" s="5" t="inlineStr">
        <x:is>
          <x:t xml:space="preserve">45 C.F.R. § 164.308(a)(1)(ii)(A)</x:t>
        </x:is>
      </x:c>
      <x:c r="O122" s="5" t="inlineStr">
        <x:is>
          <x:t xml:space="preserve">Security Management Process — Risk Analysis</x:t>
        </x:is>
      </x:c>
      <x:c r="P122" s="5" t="inlineStr">
        <x:is>
          <x:t xml:space="preserve">Conduct an accurate and thorough assessment of the potential risks and vulnerabilities to the confidentiality, integrity, and availability of ePHI.</x:t>
        </x:is>
      </x:c>
      <x:c r="Q122" s="5" t="inlineStr">
        <x:is>
          <x:t xml:space="preserve">Required implementation specification</x:t>
        </x:is>
      </x:c>
      <x:c r="R122" s="5" t="inlineStr">
        <x:is>
          <x:t xml:space="preserve">Administrative Safeguards</x:t>
        </x:is>
      </x:c>
      <x:c r="S122" s="28" t="inlineStr">
        <x:is>
          <x:t xml:space="preserve">https://www.ecfr.gov/current/title-45/subtitle-A/subchapter-C/part-164/section-164.308</x:t>
        </x:is>
      </x:c>
      <x:c r="T122" s="28" t="inlineStr">
        <x:is>
          <x:t xml:space="preserve">https://www.hhs.gov/hipaa/for-professionals/security/guidance/guidance-risk-analysis/index.html</x:t>
        </x:is>
      </x:c>
      <x:c r="U122" s="5" t="inlineStr">
        <x:is>
          <x:t xml:space="preserve">Best-fit composite</x:t>
        </x:is>
      </x:c>
      <x:c r="V122" s="5" t="inlineStr">
        <x:is>
          <x:t xml:space="preserve">A production-systems inventory is supporting evidence for patch coverage and vulnerability scoping under risk analysis/risk management.</x:t>
        </x:is>
      </x:c>
      <x:c r="W122" s="5" t="inlineStr">
        <x:is>
          <x:t xml:space="preserve">OCR guidance treats a technology asset inventory as a valuable tool for accurate and thorough risk analysis.</x:t>
        </x:is>
      </x:c>
      <x:c r="X122" s="5" t="n"/>
    </x:row>
    <x:row r="123" ht="30" customHeight="1">
      <x:c r="A123" s="5" t="inlineStr">
        <x:is>
          <x:t xml:space="preserve">ER-12|REQ-43-HIPAA|07.07a1Organizational.8|List of All Production Systems (Servers, VMs, Data Stores)</x:t>
        </x:is>
      </x:c>
      <x:c r="B123" s="5" t="inlineStr">
        <x:is>
          <x:t xml:space="preserve">HITRUST e1.csv</x:t>
        </x:is>
      </x:c>
      <x:c r="C123" s="5" t="inlineStr">
        <x:is>
          <x:t xml:space="preserve">ER-12</x:t>
        </x:is>
      </x:c>
      <x:c r="D123" s="5" t="inlineStr">
        <x:is>
          <x:t xml:space="preserve">Configuration</x:t>
        </x:is>
      </x:c>
      <x:c r="E123" s="5" t="inlineStr">
        <x:is>
          <x:t xml:space="preserve">List of All Production Systems (Servers, VMs, Data Stores)</x:t>
        </x:is>
      </x:c>
      <x:c r="F123" s="5" t="inlineStr">
        <x:is>
          <x:t xml:space="preserve">REQ-43-HIPAA</x:t>
        </x:is>
      </x:c>
      <x:c r="G123" s="5" t="inlineStr">
        <x:is>
          <x:t xml:space="preserve">07.07a1Organizational.8</x:t>
        </x:is>
      </x:c>
      <x:c r="H123" s="5" t="inlineStr">
        <x:is>
          <x:t xml:space="preserve">07.07a1 Organizational.8</x:t>
        </x:is>
      </x:c>
      <x:c r="I123" s="5" t="inlineStr">
        <x:is>
          <x:t xml:space="preserve">Many:Many</x:t>
        </x:is>
      </x:c>
      <x:c r="J123" s="5" t="n">
        <x:v>1</x:v>
      </x:c>
      <x:c r="K123" s="5" t="inlineStr">
        <x:is>
          <x:t xml:space="preserve">45 CFR § 164.308(a)(1)(ii)(A); 45 CFR § 164.308(a)(1)(ii)(B)</x:t>
        </x:is>
      </x:c>
      <x:c r="L123" s="5" t="inlineStr">
        <x:is>
          <x:t xml:space="preserve">Security Management Process — Risk Analysis; Security Management Process — Risk Management</x:t>
        </x:is>
      </x:c>
      <x:c r="M123" s="5" t="n">
        <x:v>2</x:v>
      </x:c>
      <x:c r="N123" s="5" t="inlineStr">
        <x:is>
          <x:t xml:space="preserve">45 C.F.R. § 164.308(a)(1)(ii)(B)</x:t>
        </x:is>
      </x:c>
      <x:c r="O123" s="5" t="inlineStr">
        <x:is>
          <x:t xml:space="preserve">Security Management Process — Risk Management</x:t>
        </x:is>
      </x:c>
      <x:c r="P123" s="5" t="inlineStr">
        <x:is>
          <x:t xml:space="preserve">Implement security measures sufficient to reduce identified risks and vulnerabilities to a reasonable and appropriate level.</x:t>
        </x:is>
      </x:c>
      <x:c r="Q123" s="5" t="inlineStr">
        <x:is>
          <x:t xml:space="preserve">Required implementation specification</x:t>
        </x:is>
      </x:c>
      <x:c r="R123" s="5" t="inlineStr">
        <x:is>
          <x:t xml:space="preserve">Administrative Safeguards</x:t>
        </x:is>
      </x:c>
      <x:c r="S123" s="28" t="inlineStr">
        <x:is>
          <x:t xml:space="preserve">https://www.ecfr.gov/current/title-45/subtitle-A/subchapter-C/part-164/section-164.308</x:t>
        </x:is>
      </x:c>
      <x:c r="T123" s="28" t="inlineStr">
        <x:is>
          <x:t xml:space="preserve">https://www.hhs.gov/hipaa/for-professionals/security/guidance/guidance-risk-analysis/index.html</x:t>
        </x:is>
      </x:c>
      <x:c r="U123" s="5" t="inlineStr">
        <x:is>
          <x:t xml:space="preserve">Best-fit composite</x:t>
        </x:is>
      </x:c>
      <x:c r="V123" s="5" t="inlineStr">
        <x:is>
          <x:t xml:space="preserve">A production-systems inventory is supporting evidence for patch coverage and vulnerability scoping under risk analysis/risk management.</x:t>
        </x:is>
      </x:c>
      <x:c r="W123" s="5" t="inlineStr">
        <x:is>
          <x:t xml:space="preserve">OCR guidance treats a technology asset inventory as a valuable tool for accurate and thorough risk analysis.</x:t>
        </x:is>
      </x:c>
      <x:c r="X123" s="5" t="n"/>
    </x:row>
    <x:row r="124" ht="30" customHeight="1">
      <x:c r="A124" s="5" t="inlineStr">
        <x:is>
          <x:t xml:space="preserve">ER-12|REQ-43-HIPAA|0701.07a1Organizational.7|List of All Production Systems (Servers, VMs, Data Stores)</x:t>
        </x:is>
      </x:c>
      <x:c r="B124" s="5" t="inlineStr">
        <x:is>
          <x:t xml:space="preserve">HITRUST e1.csv</x:t>
        </x:is>
      </x:c>
      <x:c r="C124" s="5" t="inlineStr">
        <x:is>
          <x:t xml:space="preserve">ER-12</x:t>
        </x:is>
      </x:c>
      <x:c r="D124" s="5" t="inlineStr">
        <x:is>
          <x:t xml:space="preserve">Configuration</x:t>
        </x:is>
      </x:c>
      <x:c r="E124" s="5" t="inlineStr">
        <x:is>
          <x:t xml:space="preserve">List of All Production Systems (Servers, VMs, Data Stores)</x:t>
        </x:is>
      </x:c>
      <x:c r="F124" s="5" t="inlineStr">
        <x:is>
          <x:t xml:space="preserve">REQ-43-HIPAA</x:t>
        </x:is>
      </x:c>
      <x:c r="G124" s="5" t="inlineStr">
        <x:is>
          <x:t xml:space="preserve">0701.07a1Organizational.7</x:t>
        </x:is>
      </x:c>
      <x:c r="H124" s="5" t="inlineStr">
        <x:is>
          <x:t xml:space="preserve">0701.07a1 Organizational.7</x:t>
        </x:is>
      </x:c>
      <x:c r="I124" s="5" t="inlineStr">
        <x:is>
          <x:t xml:space="preserve">Many:Many</x:t>
        </x:is>
      </x:c>
      <x:c r="J124" s="5" t="n">
        <x:v>1</x:v>
      </x:c>
      <x:c r="K124" s="5" t="inlineStr">
        <x:is>
          <x:t xml:space="preserve">45 CFR § 164.308(a)(1)(ii)(A); 45 CFR § 164.308(a)(1)(ii)(B)</x:t>
        </x:is>
      </x:c>
      <x:c r="L124" s="5" t="inlineStr">
        <x:is>
          <x:t xml:space="preserve">Security Management Process — Risk Analysis; Security Management Process — Risk Management</x:t>
        </x:is>
      </x:c>
      <x:c r="M124" s="5" t="n">
        <x:v>1</x:v>
      </x:c>
      <x:c r="N124" s="5" t="inlineStr">
        <x:is>
          <x:t xml:space="preserve">45 C.F.R. § 164.308(a)(1)(ii)(A)</x:t>
        </x:is>
      </x:c>
      <x:c r="O124" s="5" t="inlineStr">
        <x:is>
          <x:t xml:space="preserve">Security Management Process — Risk Analysis</x:t>
        </x:is>
      </x:c>
      <x:c r="P124" s="5" t="inlineStr">
        <x:is>
          <x:t xml:space="preserve">Conduct an accurate and thorough assessment of the potential risks and vulnerabilities to the confidentiality, integrity, and availability of ePHI.</x:t>
        </x:is>
      </x:c>
      <x:c r="Q124" s="5" t="inlineStr">
        <x:is>
          <x:t xml:space="preserve">Required implementation specification</x:t>
        </x:is>
      </x:c>
      <x:c r="R124" s="5" t="inlineStr">
        <x:is>
          <x:t xml:space="preserve">Administrative Safeguards</x:t>
        </x:is>
      </x:c>
      <x:c r="S124" s="28" t="inlineStr">
        <x:is>
          <x:t xml:space="preserve">https://www.ecfr.gov/current/title-45/subtitle-A/subchapter-C/part-164/section-164.308</x:t>
        </x:is>
      </x:c>
      <x:c r="T124" s="28" t="inlineStr">
        <x:is>
          <x:t xml:space="preserve">https://www.hhs.gov/hipaa/for-professionals/security/guidance/guidance-risk-analysis/index.html</x:t>
        </x:is>
      </x:c>
      <x:c r="U124" s="5" t="inlineStr">
        <x:is>
          <x:t xml:space="preserve">Best-fit composite</x:t>
        </x:is>
      </x:c>
      <x:c r="V124" s="5" t="inlineStr">
        <x:is>
          <x:t xml:space="preserve">A production-systems inventory is supporting evidence for patch coverage and vulnerability scoping under risk analysis/risk management.</x:t>
        </x:is>
      </x:c>
      <x:c r="W124" s="5" t="inlineStr">
        <x:is>
          <x:t xml:space="preserve">OCR guidance treats a technology asset inventory as a valuable tool for accurate and thorough risk analysis.</x:t>
        </x:is>
      </x:c>
      <x:c r="X124" s="5" t="n"/>
    </x:row>
    <x:row r="125" ht="30" customHeight="1">
      <x:c r="A125" s="5" t="inlineStr">
        <x:is>
          <x:t xml:space="preserve">ER-12|REQ-43-HIPAA|0701.07a1Organizational.7|List of All Production Systems (Servers, VMs, Data Stores)</x:t>
        </x:is>
      </x:c>
      <x:c r="B125" s="5" t="inlineStr">
        <x:is>
          <x:t xml:space="preserve">HITRUST e1.csv</x:t>
        </x:is>
      </x:c>
      <x:c r="C125" s="5" t="inlineStr">
        <x:is>
          <x:t xml:space="preserve">ER-12</x:t>
        </x:is>
      </x:c>
      <x:c r="D125" s="5" t="inlineStr">
        <x:is>
          <x:t xml:space="preserve">Configuration</x:t>
        </x:is>
      </x:c>
      <x:c r="E125" s="5" t="inlineStr">
        <x:is>
          <x:t xml:space="preserve">List of All Production Systems (Servers, VMs, Data Stores)</x:t>
        </x:is>
      </x:c>
      <x:c r="F125" s="5" t="inlineStr">
        <x:is>
          <x:t xml:space="preserve">REQ-43-HIPAA</x:t>
        </x:is>
      </x:c>
      <x:c r="G125" s="5" t="inlineStr">
        <x:is>
          <x:t xml:space="preserve">0701.07a1Organizational.7</x:t>
        </x:is>
      </x:c>
      <x:c r="H125" s="5" t="inlineStr">
        <x:is>
          <x:t xml:space="preserve">0701.07a1 Organizational.7</x:t>
        </x:is>
      </x:c>
      <x:c r="I125" s="5" t="inlineStr">
        <x:is>
          <x:t xml:space="preserve">Many:Many</x:t>
        </x:is>
      </x:c>
      <x:c r="J125" s="5" t="n">
        <x:v>1</x:v>
      </x:c>
      <x:c r="K125" s="5" t="inlineStr">
        <x:is>
          <x:t xml:space="preserve">45 CFR § 164.308(a)(1)(ii)(A); 45 CFR § 164.308(a)(1)(ii)(B)</x:t>
        </x:is>
      </x:c>
      <x:c r="L125" s="5" t="inlineStr">
        <x:is>
          <x:t xml:space="preserve">Security Management Process — Risk Analysis; Security Management Process — Risk Management</x:t>
        </x:is>
      </x:c>
      <x:c r="M125" s="5" t="n">
        <x:v>2</x:v>
      </x:c>
      <x:c r="N125" s="5" t="inlineStr">
        <x:is>
          <x:t xml:space="preserve">45 C.F.R. § 164.308(a)(1)(ii)(B)</x:t>
        </x:is>
      </x:c>
      <x:c r="O125" s="5" t="inlineStr">
        <x:is>
          <x:t xml:space="preserve">Security Management Process — Risk Management</x:t>
        </x:is>
      </x:c>
      <x:c r="P125" s="5" t="inlineStr">
        <x:is>
          <x:t xml:space="preserve">Implement security measures sufficient to reduce identified risks and vulnerabilities to a reasonable and appropriate level.</x:t>
        </x:is>
      </x:c>
      <x:c r="Q125" s="5" t="inlineStr">
        <x:is>
          <x:t xml:space="preserve">Required implementation specification</x:t>
        </x:is>
      </x:c>
      <x:c r="R125" s="5" t="inlineStr">
        <x:is>
          <x:t xml:space="preserve">Administrative Safeguards</x:t>
        </x:is>
      </x:c>
      <x:c r="S125" s="28" t="inlineStr">
        <x:is>
          <x:t xml:space="preserve">https://www.ecfr.gov/current/title-45/subtitle-A/subchapter-C/part-164/section-164.308</x:t>
        </x:is>
      </x:c>
      <x:c r="T125" s="28" t="inlineStr">
        <x:is>
          <x:t xml:space="preserve">https://www.hhs.gov/hipaa/for-professionals/security/guidance/guidance-risk-analysis/index.html</x:t>
        </x:is>
      </x:c>
      <x:c r="U125" s="5" t="inlineStr">
        <x:is>
          <x:t xml:space="preserve">Best-fit composite</x:t>
        </x:is>
      </x:c>
      <x:c r="V125" s="5" t="inlineStr">
        <x:is>
          <x:t xml:space="preserve">A production-systems inventory is supporting evidence for patch coverage and vulnerability scoping under risk analysis/risk management.</x:t>
        </x:is>
      </x:c>
      <x:c r="W125" s="5" t="inlineStr">
        <x:is>
          <x:t xml:space="preserve">OCR guidance treats a technology asset inventory as a valuable tool for accurate and thorough risk analysis.</x:t>
        </x:is>
      </x:c>
      <x:c r="X125" s="5" t="n"/>
    </x:row>
    <x:row r="126" ht="30" customHeight="1">
      <x:c r="A126" s="5" t="inlineStr">
        <x:is>
          <x:t xml:space="preserve">ER-12|REQ-43-HIPAA|0701.07a1Organizational.8|List of All Production Systems (Servers, VMs, Data Stores)</x:t>
        </x:is>
      </x:c>
      <x:c r="B126" s="5" t="inlineStr">
        <x:is>
          <x:t xml:space="preserve">HITRUST e1.csv</x:t>
        </x:is>
      </x:c>
      <x:c r="C126" s="5" t="inlineStr">
        <x:is>
          <x:t xml:space="preserve">ER-12</x:t>
        </x:is>
      </x:c>
      <x:c r="D126" s="5" t="inlineStr">
        <x:is>
          <x:t xml:space="preserve">Configuration</x:t>
        </x:is>
      </x:c>
      <x:c r="E126" s="5" t="inlineStr">
        <x:is>
          <x:t xml:space="preserve">List of All Production Systems (Servers, VMs, Data Stores)</x:t>
        </x:is>
      </x:c>
      <x:c r="F126" s="5" t="inlineStr">
        <x:is>
          <x:t xml:space="preserve">REQ-43-HIPAA</x:t>
        </x:is>
      </x:c>
      <x:c r="G126" s="5" t="inlineStr">
        <x:is>
          <x:t xml:space="preserve">0701.07a1Organizational.8</x:t>
        </x:is>
      </x:c>
      <x:c r="H126" s="5" t="inlineStr">
        <x:is>
          <x:t xml:space="preserve">0701.07a1 Organizational.8</x:t>
        </x:is>
      </x:c>
      <x:c r="I126" s="5" t="inlineStr">
        <x:is>
          <x:t xml:space="preserve">Many:Many</x:t>
        </x:is>
      </x:c>
      <x:c r="J126" s="5" t="n">
        <x:v>1</x:v>
      </x:c>
      <x:c r="K126" s="5" t="inlineStr">
        <x:is>
          <x:t xml:space="preserve">45 CFR § 164.308(a)(1)(ii)(A); 45 CFR § 164.308(a)(1)(ii)(B)</x:t>
        </x:is>
      </x:c>
      <x:c r="L126" s="5" t="inlineStr">
        <x:is>
          <x:t xml:space="preserve">Security Management Process — Risk Analysis; Security Management Process — Risk Management</x:t>
        </x:is>
      </x:c>
      <x:c r="M126" s="5" t="n">
        <x:v>1</x:v>
      </x:c>
      <x:c r="N126" s="5" t="inlineStr">
        <x:is>
          <x:t xml:space="preserve">45 C.F.R. § 164.308(a)(1)(ii)(A)</x:t>
        </x:is>
      </x:c>
      <x:c r="O126" s="5" t="inlineStr">
        <x:is>
          <x:t xml:space="preserve">Security Management Process — Risk Analysis</x:t>
        </x:is>
      </x:c>
      <x:c r="P126" s="5" t="inlineStr">
        <x:is>
          <x:t xml:space="preserve">Conduct an accurate and thorough assessment of the potential risks and vulnerabilities to the confidentiality, integrity, and availability of ePHI.</x:t>
        </x:is>
      </x:c>
      <x:c r="Q126" s="5" t="inlineStr">
        <x:is>
          <x:t xml:space="preserve">Required implementation specification</x:t>
        </x:is>
      </x:c>
      <x:c r="R126" s="5" t="inlineStr">
        <x:is>
          <x:t xml:space="preserve">Administrative Safeguards</x:t>
        </x:is>
      </x:c>
      <x:c r="S126" s="28" t="inlineStr">
        <x:is>
          <x:t xml:space="preserve">https://www.ecfr.gov/current/title-45/subtitle-A/subchapter-C/part-164/section-164.308</x:t>
        </x:is>
      </x:c>
      <x:c r="T126" s="28" t="inlineStr">
        <x:is>
          <x:t xml:space="preserve">https://www.hhs.gov/hipaa/for-professionals/security/guidance/guidance-risk-analysis/index.html</x:t>
        </x:is>
      </x:c>
      <x:c r="U126" s="5" t="inlineStr">
        <x:is>
          <x:t xml:space="preserve">Best-fit composite</x:t>
        </x:is>
      </x:c>
      <x:c r="V126" s="5" t="inlineStr">
        <x:is>
          <x:t xml:space="preserve">A production-systems inventory is supporting evidence for patch coverage and vulnerability scoping under risk analysis/risk management.</x:t>
        </x:is>
      </x:c>
      <x:c r="W126" s="5" t="inlineStr">
        <x:is>
          <x:t xml:space="preserve">OCR guidance treats a technology asset inventory as a valuable tool for accurate and thorough risk analysis.</x:t>
        </x:is>
      </x:c>
      <x:c r="X126" s="5" t="n"/>
    </x:row>
    <x:row r="127" ht="30" customHeight="1">
      <x:c r="A127" s="5" t="inlineStr">
        <x:is>
          <x:t xml:space="preserve">ER-12|REQ-43-HIPAA|0701.07a1Organizational.8|List of All Production Systems (Servers, VMs, Data Stores)</x:t>
        </x:is>
      </x:c>
      <x:c r="B127" s="5" t="inlineStr">
        <x:is>
          <x:t xml:space="preserve">HITRUST e1.csv</x:t>
        </x:is>
      </x:c>
      <x:c r="C127" s="5" t="inlineStr">
        <x:is>
          <x:t xml:space="preserve">ER-12</x:t>
        </x:is>
      </x:c>
      <x:c r="D127" s="5" t="inlineStr">
        <x:is>
          <x:t xml:space="preserve">Configuration</x:t>
        </x:is>
      </x:c>
      <x:c r="E127" s="5" t="inlineStr">
        <x:is>
          <x:t xml:space="preserve">List of All Production Systems (Servers, VMs, Data Stores)</x:t>
        </x:is>
      </x:c>
      <x:c r="F127" s="5" t="inlineStr">
        <x:is>
          <x:t xml:space="preserve">REQ-43-HIPAA</x:t>
        </x:is>
      </x:c>
      <x:c r="G127" s="5" t="inlineStr">
        <x:is>
          <x:t xml:space="preserve">0701.07a1Organizational.8</x:t>
        </x:is>
      </x:c>
      <x:c r="H127" s="5" t="inlineStr">
        <x:is>
          <x:t xml:space="preserve">0701.07a1 Organizational.8</x:t>
        </x:is>
      </x:c>
      <x:c r="I127" s="5" t="inlineStr">
        <x:is>
          <x:t xml:space="preserve">Many:Many</x:t>
        </x:is>
      </x:c>
      <x:c r="J127" s="5" t="n">
        <x:v>1</x:v>
      </x:c>
      <x:c r="K127" s="5" t="inlineStr">
        <x:is>
          <x:t xml:space="preserve">45 CFR § 164.308(a)(1)(ii)(A); 45 CFR § 164.308(a)(1)(ii)(B)</x:t>
        </x:is>
      </x:c>
      <x:c r="L127" s="5" t="inlineStr">
        <x:is>
          <x:t xml:space="preserve">Security Management Process — Risk Analysis; Security Management Process — Risk Management</x:t>
        </x:is>
      </x:c>
      <x:c r="M127" s="5" t="n">
        <x:v>2</x:v>
      </x:c>
      <x:c r="N127" s="5" t="inlineStr">
        <x:is>
          <x:t xml:space="preserve">45 C.F.R. § 164.308(a)(1)(ii)(B)</x:t>
        </x:is>
      </x:c>
      <x:c r="O127" s="5" t="inlineStr">
        <x:is>
          <x:t xml:space="preserve">Security Management Process — Risk Management</x:t>
        </x:is>
      </x:c>
      <x:c r="P127" s="5" t="inlineStr">
        <x:is>
          <x:t xml:space="preserve">Implement security measures sufficient to reduce identified risks and vulnerabilities to a reasonable and appropriate level.</x:t>
        </x:is>
      </x:c>
      <x:c r="Q127" s="5" t="inlineStr">
        <x:is>
          <x:t xml:space="preserve">Required implementation specification</x:t>
        </x:is>
      </x:c>
      <x:c r="R127" s="5" t="inlineStr">
        <x:is>
          <x:t xml:space="preserve">Administrative Safeguards</x:t>
        </x:is>
      </x:c>
      <x:c r="S127" s="28" t="inlineStr">
        <x:is>
          <x:t xml:space="preserve">https://www.ecfr.gov/current/title-45/subtitle-A/subchapter-C/part-164/section-164.308</x:t>
        </x:is>
      </x:c>
      <x:c r="T127" s="28" t="inlineStr">
        <x:is>
          <x:t xml:space="preserve">https://www.hhs.gov/hipaa/for-professionals/security/guidance/guidance-risk-analysis/index.html</x:t>
        </x:is>
      </x:c>
      <x:c r="U127" s="5" t="inlineStr">
        <x:is>
          <x:t xml:space="preserve">Best-fit composite</x:t>
        </x:is>
      </x:c>
      <x:c r="V127" s="5" t="inlineStr">
        <x:is>
          <x:t xml:space="preserve">A production-systems inventory is supporting evidence for patch coverage and vulnerability scoping under risk analysis/risk management.</x:t>
        </x:is>
      </x:c>
      <x:c r="W127" s="5" t="inlineStr">
        <x:is>
          <x:t xml:space="preserve">OCR guidance treats a technology asset inventory as a valuable tool for accurate and thorough risk analysis.</x:t>
        </x:is>
      </x:c>
      <x:c r="X127" s="5" t="n"/>
    </x:row>
    <x:row r="128" ht="30" customHeight="1">
      <x:c r="A128" s="5" t="inlineStr">
        <x:is>
          <x:t xml:space="preserve">ER-83|REQ-36-HIPAA|0504.09m1Organizational.13|Network Diagram and Segmentation</x:t>
        </x:is>
      </x:c>
      <x:c r="B128" s="5" t="inlineStr">
        <x:is>
          <x:t xml:space="preserve">HITRUST e1.csv</x:t>
        </x:is>
      </x:c>
      <x:c r="C128" s="5" t="inlineStr">
        <x:is>
          <x:t xml:space="preserve">ER-83</x:t>
        </x:is>
      </x:c>
      <x:c r="D128" s="5" t="inlineStr">
        <x:is>
          <x:t xml:space="preserve">Configuration</x:t>
        </x:is>
      </x:c>
      <x:c r="E128" s="5" t="inlineStr">
        <x:is>
          <x:t xml:space="preserve">Network Diagram and Segmentation</x:t>
        </x:is>
      </x:c>
      <x:c r="F128" s="5" t="inlineStr">
        <x:is>
          <x:t xml:space="preserve">REQ-36-HIPAA</x:t>
        </x:is>
      </x:c>
      <x:c r="G128" s="5" t="inlineStr">
        <x:is>
          <x:t xml:space="preserve">0504.09m1Organizational.13</x:t>
        </x:is>
      </x:c>
      <x:c r="H128" s="5" t="inlineStr">
        <x:is>
          <x:t xml:space="preserve">0504.09m1 Organizational.13</x:t>
        </x:is>
      </x:c>
      <x:c r="I128" s="5" t="inlineStr">
        <x:is>
          <x:t xml:space="preserve">1:Many</x:t>
        </x:is>
      </x:c>
      <x:c r="J128" s="5" t="n">
        <x:v>1</x:v>
      </x:c>
      <x:c r="K128" s="5" t="inlineStr">
        <x:is>
          <x:t xml:space="preserve">45 CFR § 164.312(a)(1)</x:t>
        </x:is>
      </x:c>
      <x:c r="L128" s="5" t="inlineStr">
        <x:is>
          <x:t xml:space="preserve">Access Control</x:t>
        </x:is>
      </x:c>
      <x:c r="M128" s="5" t="n">
        <x:v>1</x:v>
      </x:c>
      <x:c r="N128" s="5" t="inlineStr">
        <x:is>
          <x:t xml:space="preserve">45 C.F.R. § 164.312(a)(1)</x:t>
        </x:is>
      </x:c>
      <x:c r="O128" s="5" t="inlineStr">
        <x:is>
          <x:t xml:space="preserve">Access Control</x:t>
        </x:is>
      </x:c>
      <x:c r="P128" s="5" t="inlineStr">
        <x:is>
          <x:t xml:space="preserve">Implement technical policies and procedures for electronic information systems that maintain ePHI to allow access only to persons or software programs with authorized access rights.</x:t>
        </x:is>
      </x:c>
      <x:c r="Q128" s="5" t="inlineStr">
        <x:is>
          <x:t xml:space="preserve">Standard</x:t>
        </x:is>
      </x:c>
      <x:c r="R128" s="5" t="inlineStr">
        <x:is>
          <x:t xml:space="preserve">Technical Safeguards</x:t>
        </x:is>
      </x:c>
      <x:c r="S128" s="28" t="inlineStr">
        <x:is>
          <x:t xml:space="preserve">https://www.ecfr.gov/current/title-45/subtitle-A/subchapter-C/part-164/section-164.312</x:t>
        </x:is>
      </x:c>
      <x:c r="T128" s="28" t="inlineStr">
        <x:is>
          <x:t xml:space="preserve">https://www.hhs.gov/hipaa/for-professionals/compliance-enforcement/audit/protocol-edited/index.html</x:t>
        </x:is>
      </x:c>
      <x:c r="U128" s="5" t="inlineStr">
        <x:is>
          <x:t xml:space="preserve">Best-fit</x:t>
        </x:is>
      </x:c>
      <x:c r="V128" s="5" t="inlineStr">
        <x:is>
          <x:t xml:space="preserve">HIPAA does not explicitly name network segmentation, but OCR guidance and enforcement materials cite segmentation as a way to implement access control between systems.</x:t>
        </x:is>
      </x:c>
      <x:c r="W128" s="5" t="inlineStr">
        <x:is>
          <x:t xml:space="preserve">Mapped as an access-control implementation example rather than a standalone named HIPAA implementation specification.</x:t>
        </x:is>
      </x:c>
      <x:c r="X128" s="5" t="n"/>
    </x:row>
    <x:row r="129" ht="30" customHeight="1">
      <x:c r="A129" s="5" t="inlineStr">
        <x:is>
          <x:t xml:space="preserve">ER-83|REQ-36-HIPAA|0805.01m1Organizational.12|Network Diagram and Segmentation</x:t>
        </x:is>
      </x:c>
      <x:c r="B129" s="5" t="inlineStr">
        <x:is>
          <x:t xml:space="preserve">HITRUST e1.csv</x:t>
        </x:is>
      </x:c>
      <x:c r="C129" s="5" t="inlineStr">
        <x:is>
          <x:t xml:space="preserve">ER-83</x:t>
        </x:is>
      </x:c>
      <x:c r="D129" s="5" t="inlineStr">
        <x:is>
          <x:t xml:space="preserve">Configuration</x:t>
        </x:is>
      </x:c>
      <x:c r="E129" s="5" t="inlineStr">
        <x:is>
          <x:t xml:space="preserve">Network Diagram and Segmentation</x:t>
        </x:is>
      </x:c>
      <x:c r="F129" s="5" t="inlineStr">
        <x:is>
          <x:t xml:space="preserve">REQ-36-HIPAA</x:t>
        </x:is>
      </x:c>
      <x:c r="G129" s="5" t="inlineStr">
        <x:is>
          <x:t xml:space="preserve">0805.01m1Organizational.12</x:t>
        </x:is>
      </x:c>
      <x:c r="H129" s="5" t="inlineStr">
        <x:is>
          <x:t xml:space="preserve">0805.01m1 Organizational.12</x:t>
        </x:is>
      </x:c>
      <x:c r="I129" s="5" t="inlineStr">
        <x:is>
          <x:t xml:space="preserve">1:Many</x:t>
        </x:is>
      </x:c>
      <x:c r="J129" s="5" t="n">
        <x:v>1</x:v>
      </x:c>
      <x:c r="K129" s="5" t="inlineStr">
        <x:is>
          <x:t xml:space="preserve">45 CFR § 164.312(a)(1)</x:t>
        </x:is>
      </x:c>
      <x:c r="L129" s="5" t="inlineStr">
        <x:is>
          <x:t xml:space="preserve">Access Control</x:t>
        </x:is>
      </x:c>
      <x:c r="M129" s="5" t="n">
        <x:v>1</x:v>
      </x:c>
      <x:c r="N129" s="5" t="inlineStr">
        <x:is>
          <x:t xml:space="preserve">45 C.F.R. § 164.312(a)(1)</x:t>
        </x:is>
      </x:c>
      <x:c r="O129" s="5" t="inlineStr">
        <x:is>
          <x:t xml:space="preserve">Access Control</x:t>
        </x:is>
      </x:c>
      <x:c r="P129" s="5" t="inlineStr">
        <x:is>
          <x:t xml:space="preserve">Implement technical policies and procedures for electronic information systems that maintain ePHI to allow access only to persons or software programs with authorized access rights.</x:t>
        </x:is>
      </x:c>
      <x:c r="Q129" s="5" t="inlineStr">
        <x:is>
          <x:t xml:space="preserve">Standard</x:t>
        </x:is>
      </x:c>
      <x:c r="R129" s="5" t="inlineStr">
        <x:is>
          <x:t xml:space="preserve">Technical Safeguards</x:t>
        </x:is>
      </x:c>
      <x:c r="S129" s="28" t="inlineStr">
        <x:is>
          <x:t xml:space="preserve">https://www.ecfr.gov/current/title-45/subtitle-A/subchapter-C/part-164/section-164.312</x:t>
        </x:is>
      </x:c>
      <x:c r="T129" s="28" t="inlineStr">
        <x:is>
          <x:t xml:space="preserve">https://www.hhs.gov/hipaa/for-professionals/compliance-enforcement/audit/protocol-edited/index.html</x:t>
        </x:is>
      </x:c>
      <x:c r="U129" s="5" t="inlineStr">
        <x:is>
          <x:t xml:space="preserve">Best-fit</x:t>
        </x:is>
      </x:c>
      <x:c r="V129" s="5" t="inlineStr">
        <x:is>
          <x:t xml:space="preserve">HIPAA does not explicitly name network segmentation, but OCR guidance and enforcement materials cite segmentation as a way to implement access control between systems.</x:t>
        </x:is>
      </x:c>
      <x:c r="W129" s="5" t="inlineStr">
        <x:is>
          <x:t xml:space="preserve">Mapped as an access-control implementation example rather than a standalone named HIPAA implementation specification.</x:t>
        </x:is>
      </x:c>
      <x:c r="X129" s="5" t="n"/>
    </x:row>
    <x:row r="130" ht="30" customHeight="1">
      <x:c r="A130" s="5" t="inlineStr">
        <x:is>
          <x:t xml:space="preserve">ER-89|REQ-30-HIPAA|1143.01c1System.123|New Hire Access Request Form</x:t>
        </x:is>
      </x:c>
      <x:c r="B130" s="5" t="inlineStr">
        <x:is>
          <x:t xml:space="preserve">HITRUST e1.csv</x:t>
        </x:is>
      </x:c>
      <x:c r="C130" s="5" t="inlineStr">
        <x:is>
          <x:t xml:space="preserve">ER-89</x:t>
        </x:is>
      </x:c>
      <x:c r="D130" s="5" t="inlineStr">
        <x:is>
          <x:t xml:space="preserve">Sample</x:t>
        </x:is>
      </x:c>
      <x:c r="E130" s="5" t="inlineStr">
        <x:is>
          <x:t xml:space="preserve">New Hire Access Request Form</x:t>
        </x:is>
      </x:c>
      <x:c r="F130" s="5" t="inlineStr">
        <x:is>
          <x:t xml:space="preserve">REQ-30-HIPAA</x:t>
        </x:is>
      </x:c>
      <x:c r="G130" s="5" t="inlineStr">
        <x:is>
          <x:t xml:space="preserve">1143.01c1System.123</x:t>
        </x:is>
      </x:c>
      <x:c r="H130" s="5" t="inlineStr">
        <x:is>
          <x:t xml:space="preserve">1143.01c1 System.123</x:t>
        </x:is>
      </x:c>
      <x:c r="I130" s="5" t="inlineStr">
        <x:is>
          <x:t xml:space="preserve">1:1</x:t>
        </x:is>
      </x:c>
      <x:c r="J130" s="5" t="n">
        <x:v>1</x:v>
      </x:c>
      <x:c r="K130" s="5" t="inlineStr">
        <x:is>
          <x:t xml:space="preserve">45 CFR § 164.308(a)(4)(ii)(B)</x:t>
        </x:is>
      </x:c>
      <x:c r="L130" s="5" t="inlineStr">
        <x:is>
          <x:t xml:space="preserve">Information Access Management — Access Authorization</x:t>
        </x:is>
      </x:c>
      <x:c r="M130" s="5" t="n">
        <x:v>1</x:v>
      </x:c>
      <x:c r="N130" s="5" t="inlineStr">
        <x:is>
          <x:t xml:space="preserve">45 C.F.R. § 164.308(a)(4)(ii)(B)</x:t>
        </x:is>
      </x:c>
      <x:c r="O130" s="5" t="inlineStr">
        <x:is>
          <x:t xml:space="preserve">Information Access Management — Access Authorization</x:t>
        </x:is>
      </x:c>
      <x:c r="P130" s="5" t="inlineStr">
        <x:is>
          <x:t xml:space="preserve">Implement policies and procedures for granting access to ePHI through appropriate mechanisms such as workstations, transactions, programs, or processes.</x:t>
        </x:is>
      </x:c>
      <x:c r="Q130" s="5" t="inlineStr">
        <x:is>
          <x:t xml:space="preserve">Addressable implementation specification</x:t>
        </x:is>
      </x:c>
      <x:c r="R130" s="5" t="inlineStr">
        <x:is>
          <x:t xml:space="preserve">Administrative Safeguards</x:t>
        </x:is>
      </x:c>
      <x:c r="S130" s="28" t="inlineStr">
        <x:is>
          <x:t xml:space="preserve">https://www.ecfr.gov/current/title-45/subtitle-A/subchapter-C/part-164/section-164.308</x:t>
        </x:is>
      </x:c>
      <x:c r="T130" s="28" t="inlineStr">
        <x:is>
          <x:t xml:space="preserve">https://www.hhs.gov/hipaa/for-professionals/compliance-enforcement/audit/protocol-edited/index.html</x:t>
        </x:is>
      </x:c>
      <x:c r="U130" s="5" t="inlineStr">
        <x:is>
          <x:t xml:space="preserve">Direct</x:t>
        </x:is>
      </x:c>
      <x:c r="V130" s="5" t="inlineStr">
        <x:is>
          <x:t xml:space="preserve">New-hire access request and approval evidence aligns directly to access authorization.</x:t>
        </x:is>
      </x:c>
      <x:c r="W130" s="5" t="inlineStr">
        <x:is>
          <x:t xml:space="preserve">Used for access-request forms/templates and access-control rows that center on approvals.</x:t>
        </x:is>
      </x:c>
      <x:c r="X130" s="5" t="n"/>
    </x:row>
    <x:row r="131" ht="30" customHeight="1">
      <x:c r="A131" s="5" t="inlineStr">
        <x:is>
          <x:t xml:space="preserve">ER-33|REQ-12-HIPAA|13.02e1Organizational.6|New Hire Security Awareness Training</x:t>
        </x:is>
      </x:c>
      <x:c r="B131" s="5" t="inlineStr">
        <x:is>
          <x:t xml:space="preserve">HITRUST e1.csv</x:t>
        </x:is>
      </x:c>
      <x:c r="C131" s="5" t="inlineStr">
        <x:is>
          <x:t xml:space="preserve">ER-33</x:t>
        </x:is>
      </x:c>
      <x:c r="D131" s="5" t="inlineStr">
        <x:is>
          <x:t xml:space="preserve">Sample</x:t>
        </x:is>
      </x:c>
      <x:c r="E131" s="5" t="inlineStr">
        <x:is>
          <x:t xml:space="preserve">New Hire Security Awareness Training</x:t>
        </x:is>
      </x:c>
      <x:c r="F131" s="5" t="inlineStr">
        <x:is>
          <x:t xml:space="preserve">REQ-12-HIPAA</x:t>
        </x:is>
      </x:c>
      <x:c r="G131" s="5" t="inlineStr">
        <x:is>
          <x:t xml:space="preserve">13.02e1Organizational.6</x:t>
        </x:is>
      </x:c>
      <x:c r="H131" s="5" t="inlineStr">
        <x:is>
          <x:t xml:space="preserve">13.02e1 Organizational.6</x:t>
        </x:is>
      </x:c>
      <x:c r="I131" s="5" t="inlineStr">
        <x:is>
          <x:t xml:space="preserve">1:Many</x:t>
        </x:is>
      </x:c>
      <x:c r="J131" s="5" t="n">
        <x:v>1</x:v>
      </x:c>
      <x:c r="K131" s="5" t="inlineStr">
        <x:is>
          <x:t xml:space="preserve">45 CFR § 164.308(a)(5)</x:t>
        </x:is>
      </x:c>
      <x:c r="L131" s="5" t="inlineStr">
        <x:is>
          <x:t xml:space="preserve">Security Awareness and Training</x:t>
        </x:is>
      </x:c>
      <x:c r="M131" s="5" t="n">
        <x:v>1</x:v>
      </x:c>
      <x:c r="N131" s="5" t="inlineStr">
        <x:is>
          <x:t xml:space="preserve">45 C.F.R. § 164.308(a)(5)</x:t>
        </x:is>
      </x:c>
      <x:c r="O131" s="5" t="inlineStr">
        <x:is>
          <x:t xml:space="preserve">Security Awareness and Training</x:t>
        </x:is>
      </x:c>
      <x:c r="P131" s="5" t="inlineStr">
        <x:is>
          <x:t xml:space="preserve">Implement a security awareness and training program for all members of the workforce, including management.</x:t>
        </x:is>
      </x:c>
      <x:c r="Q131" s="5" t="inlineStr">
        <x:is>
          <x:t xml:space="preserve">Standard</x:t>
        </x:is>
      </x:c>
      <x:c r="R131" s="5" t="inlineStr">
        <x:is>
          <x:t xml:space="preserve">Administrative Safeguards</x:t>
        </x:is>
      </x:c>
      <x:c r="S131" s="28" t="inlineStr">
        <x:is>
          <x:t xml:space="preserve">https://www.ecfr.gov/current/title-45/subtitle-A/subchapter-C/part-164/section-164.308</x:t>
        </x:is>
      </x:c>
      <x:c r="T131" s="28" t="inlineStr">
        <x:is>
          <x:t xml:space="preserve">https://www.hhs.gov/sites/default/files/ocr/privacy/hipaa/administrative/securityrule/adminsafeguards.pdf</x:t>
        </x:is>
      </x:c>
      <x:c r="U131" s="5" t="inlineStr">
        <x:is>
          <x:t xml:space="preserve">Direct</x:t>
        </x:is>
      </x:c>
      <x:c r="V131" s="5" t="inlineStr">
        <x:is>
          <x:t xml:space="preserve">Action item and control context align to workforce security-awareness training for new hires.</x:t>
        </x:is>
      </x:c>
      <x:c r="W131" s="5" t="inlineStr">
        <x:is>
          <x:t xml:space="preserve">Mapped at the standard level because the spreadsheet does not break new-hire training into the more granular addressable sub-specifications.</x:t>
        </x:is>
      </x:c>
      <x:c r="X131" s="5" t="n"/>
    </x:row>
    <x:row r="132" ht="30" customHeight="1">
      <x:c r="A132" s="5" t="inlineStr">
        <x:is>
          <x:t xml:space="preserve">ER-33|REQ-12-HIPAA|1308.09j1Organizational.5.a|New Hire Security Awareness Training</x:t>
        </x:is>
      </x:c>
      <x:c r="B132" s="5" t="inlineStr">
        <x:is>
          <x:t xml:space="preserve">HITRUST e1.csv</x:t>
        </x:is>
      </x:c>
      <x:c r="C132" s="5" t="inlineStr">
        <x:is>
          <x:t xml:space="preserve">ER-33</x:t>
        </x:is>
      </x:c>
      <x:c r="D132" s="5" t="inlineStr">
        <x:is>
          <x:t xml:space="preserve">Sample</x:t>
        </x:is>
      </x:c>
      <x:c r="E132" s="5" t="inlineStr">
        <x:is>
          <x:t xml:space="preserve">New Hire Security Awareness Training</x:t>
        </x:is>
      </x:c>
      <x:c r="F132" s="5" t="inlineStr">
        <x:is>
          <x:t xml:space="preserve">REQ-12-HIPAA</x:t>
        </x:is>
      </x:c>
      <x:c r="G132" s="5" t="inlineStr">
        <x:is>
          <x:t xml:space="preserve">1308.09j1Organizational.5.a</x:t>
        </x:is>
      </x:c>
      <x:c r="H132" s="5" t="inlineStr">
        <x:is>
          <x:t xml:space="preserve">1308.09j1 Organizational.5.a</x:t>
        </x:is>
      </x:c>
      <x:c r="I132" s="5" t="inlineStr">
        <x:is>
          <x:t xml:space="preserve">1:Many</x:t>
        </x:is>
      </x:c>
      <x:c r="J132" s="5" t="n">
        <x:v>1</x:v>
      </x:c>
      <x:c r="K132" s="5" t="inlineStr">
        <x:is>
          <x:t xml:space="preserve">45 CFR § 164.308(a)(5)</x:t>
        </x:is>
      </x:c>
      <x:c r="L132" s="5" t="inlineStr">
        <x:is>
          <x:t xml:space="preserve">Security Awareness and Training</x:t>
        </x:is>
      </x:c>
      <x:c r="M132" s="5" t="n">
        <x:v>1</x:v>
      </x:c>
      <x:c r="N132" s="5" t="inlineStr">
        <x:is>
          <x:t xml:space="preserve">45 C.F.R. § 164.308(a)(5)</x:t>
        </x:is>
      </x:c>
      <x:c r="O132" s="5" t="inlineStr">
        <x:is>
          <x:t xml:space="preserve">Security Awareness and Training</x:t>
        </x:is>
      </x:c>
      <x:c r="P132" s="5" t="inlineStr">
        <x:is>
          <x:t xml:space="preserve">Implement a security awareness and training program for all members of the workforce, including management.</x:t>
        </x:is>
      </x:c>
      <x:c r="Q132" s="5" t="inlineStr">
        <x:is>
          <x:t xml:space="preserve">Standard</x:t>
        </x:is>
      </x:c>
      <x:c r="R132" s="5" t="inlineStr">
        <x:is>
          <x:t xml:space="preserve">Administrative Safeguards</x:t>
        </x:is>
      </x:c>
      <x:c r="S132" s="28" t="inlineStr">
        <x:is>
          <x:t xml:space="preserve">https://www.ecfr.gov/current/title-45/subtitle-A/subchapter-C/part-164/section-164.308</x:t>
        </x:is>
      </x:c>
      <x:c r="T132" s="28" t="inlineStr">
        <x:is>
          <x:t xml:space="preserve">https://www.hhs.gov/sites/default/files/ocr/privacy/hipaa/administrative/securityrule/adminsafeguards.pdf</x:t>
        </x:is>
      </x:c>
      <x:c r="U132" s="5" t="inlineStr">
        <x:is>
          <x:t xml:space="preserve">Direct</x:t>
        </x:is>
      </x:c>
      <x:c r="V132" s="5" t="inlineStr">
        <x:is>
          <x:t xml:space="preserve">Action item and control context align to workforce security-awareness training for new hires.</x:t>
        </x:is>
      </x:c>
      <x:c r="W132" s="5" t="inlineStr">
        <x:is>
          <x:t xml:space="preserve">Mapped at the standard level because the spreadsheet does not break new-hire training into the more granular addressable sub-specifications.</x:t>
        </x:is>
      </x:c>
      <x:c r="X132" s="5" t="n"/>
    </x:row>
    <x:row r="133" ht="30" customHeight="1">
      <x:c r="A133" s="5" t="inlineStr">
        <x:is>
          <x:t xml:space="preserve">ER-33|REQ-12-HIPAA|13998.02e1Organizational.2|New Hire Security Awareness Training</x:t>
        </x:is>
      </x:c>
      <x:c r="B133" s="5" t="inlineStr">
        <x:is>
          <x:t xml:space="preserve">HITRUST e1.csv</x:t>
        </x:is>
      </x:c>
      <x:c r="C133" s="5" t="inlineStr">
        <x:is>
          <x:t xml:space="preserve">ER-33</x:t>
        </x:is>
      </x:c>
      <x:c r="D133" s="5" t="inlineStr">
        <x:is>
          <x:t xml:space="preserve">Sample</x:t>
        </x:is>
      </x:c>
      <x:c r="E133" s="5" t="inlineStr">
        <x:is>
          <x:t xml:space="preserve">New Hire Security Awareness Training</x:t>
        </x:is>
      </x:c>
      <x:c r="F133" s="5" t="inlineStr">
        <x:is>
          <x:t xml:space="preserve">REQ-12-HIPAA</x:t>
        </x:is>
      </x:c>
      <x:c r="G133" s="5" t="inlineStr">
        <x:is>
          <x:t xml:space="preserve">13998.02e1Organizational.2</x:t>
        </x:is>
      </x:c>
      <x:c r="H133" s="5" t="inlineStr">
        <x:is>
          <x:t xml:space="preserve">13998.02e1 Organizational.2</x:t>
        </x:is>
      </x:c>
      <x:c r="I133" s="5" t="inlineStr">
        <x:is>
          <x:t xml:space="preserve">1:Many</x:t>
        </x:is>
      </x:c>
      <x:c r="J133" s="5" t="n">
        <x:v>1</x:v>
      </x:c>
      <x:c r="K133" s="5" t="inlineStr">
        <x:is>
          <x:t xml:space="preserve">45 CFR § 164.308(a)(5)</x:t>
        </x:is>
      </x:c>
      <x:c r="L133" s="5" t="inlineStr">
        <x:is>
          <x:t xml:space="preserve">Security Awareness and Training</x:t>
        </x:is>
      </x:c>
      <x:c r="M133" s="5" t="n">
        <x:v>1</x:v>
      </x:c>
      <x:c r="N133" s="5" t="inlineStr">
        <x:is>
          <x:t xml:space="preserve">45 C.F.R. § 164.308(a)(5)</x:t>
        </x:is>
      </x:c>
      <x:c r="O133" s="5" t="inlineStr">
        <x:is>
          <x:t xml:space="preserve">Security Awareness and Training</x:t>
        </x:is>
      </x:c>
      <x:c r="P133" s="5" t="inlineStr">
        <x:is>
          <x:t xml:space="preserve">Implement a security awareness and training program for all members of the workforce, including management.</x:t>
        </x:is>
      </x:c>
      <x:c r="Q133" s="5" t="inlineStr">
        <x:is>
          <x:t xml:space="preserve">Standard</x:t>
        </x:is>
      </x:c>
      <x:c r="R133" s="5" t="inlineStr">
        <x:is>
          <x:t xml:space="preserve">Administrative Safeguards</x:t>
        </x:is>
      </x:c>
      <x:c r="S133" s="28" t="inlineStr">
        <x:is>
          <x:t xml:space="preserve">https://www.ecfr.gov/current/title-45/subtitle-A/subchapter-C/part-164/section-164.308</x:t>
        </x:is>
      </x:c>
      <x:c r="T133" s="28" t="inlineStr">
        <x:is>
          <x:t xml:space="preserve">https://www.hhs.gov/sites/default/files/ocr/privacy/hipaa/administrative/securityrule/adminsafeguards.pdf</x:t>
        </x:is>
      </x:c>
      <x:c r="U133" s="5" t="inlineStr">
        <x:is>
          <x:t xml:space="preserve">Direct</x:t>
        </x:is>
      </x:c>
      <x:c r="V133" s="5" t="inlineStr">
        <x:is>
          <x:t xml:space="preserve">Action item and control context align to workforce security-awareness training for new hires.</x:t>
        </x:is>
      </x:c>
      <x:c r="W133" s="5" t="inlineStr">
        <x:is>
          <x:t xml:space="preserve">Mapped at the standard level because the spreadsheet does not break new-hire training into the more granular addressable sub-specifications.</x:t>
        </x:is>
      </x:c>
      <x:c r="X133" s="5" t="n"/>
    </x:row>
    <x:row r="134" ht="30" customHeight="1">
      <x:c r="A134" s="5" t="inlineStr">
        <x:is>
          <x:t xml:space="preserve">ER-67|REQ-28-HIPAA|1123.01q1System.2|Password Vault and Shared Accounts</x:t>
        </x:is>
      </x:c>
      <x:c r="B134" s="5" t="inlineStr">
        <x:is>
          <x:t xml:space="preserve">HITRUST e1.csv</x:t>
        </x:is>
      </x:c>
      <x:c r="C134" s="5" t="inlineStr">
        <x:is>
          <x:t xml:space="preserve">ER-67</x:t>
        </x:is>
      </x:c>
      <x:c r="D134" s="5" t="inlineStr">
        <x:is>
          <x:t xml:space="preserve">Configuration</x:t>
        </x:is>
      </x:c>
      <x:c r="E134" s="5" t="inlineStr">
        <x:is>
          <x:t xml:space="preserve">Password Vault and Shared Accounts</x:t>
        </x:is>
      </x:c>
      <x:c r="F134" s="5" t="inlineStr">
        <x:is>
          <x:t xml:space="preserve">REQ-28-HIPAA</x:t>
        </x:is>
      </x:c>
      <x:c r="G134" s="5" t="inlineStr">
        <x:is>
          <x:t xml:space="preserve">1123.01q1System.2</x:t>
        </x:is>
      </x:c>
      <x:c r="H134" s="5" t="inlineStr">
        <x:is>
          <x:t xml:space="preserve">1123.01q1 System.2</x:t>
        </x:is>
      </x:c>
      <x:c r="I134" s="5" t="inlineStr">
        <x:is>
          <x:t xml:space="preserve">Many:1</x:t>
        </x:is>
      </x:c>
      <x:c r="J134" s="5" t="n">
        <x:v>1</x:v>
      </x:c>
      <x:c r="K134" s="5" t="inlineStr">
        <x:is>
          <x:t xml:space="preserve">45 CFR § 164.312(a)(2)(i); 45 CFR § 164.308(a)(4)(ii)(C)</x:t>
        </x:is>
      </x:c>
      <x:c r="L134" s="5" t="inlineStr">
        <x:is>
          <x:t xml:space="preserve">Access Control — Unique User Identification; Information Access Management — Access Establishment and Modification</x:t>
        </x:is>
      </x:c>
      <x:c r="M134" s="5" t="n">
        <x:v>1</x:v>
      </x:c>
      <x:c r="N134" s="5" t="inlineStr">
        <x:is>
          <x:t xml:space="preserve">45 C.F.R. § 164.312(a)(2)(i)</x:t>
        </x:is>
      </x:c>
      <x:c r="O134" s="5" t="inlineStr">
        <x:is>
          <x:t xml:space="preserve">Access Control — Unique User Identification</x:t>
        </x:is>
      </x:c>
      <x:c r="P134" s="5" t="inlineStr">
        <x:is>
          <x:t xml:space="preserve">Assign a unique name and/or number for identifying and tracking user identity.</x:t>
        </x:is>
      </x:c>
      <x:c r="Q134" s="5" t="inlineStr">
        <x:is>
          <x:t xml:space="preserve">Required implementation specification</x:t>
        </x:is>
      </x:c>
      <x:c r="R134" s="5" t="inlineStr">
        <x:is>
          <x:t xml:space="preserve">Technical Safeguards</x:t>
        </x:is>
      </x:c>
      <x:c r="S134" s="28" t="inlineStr">
        <x:is>
          <x:t xml:space="preserve">https://www.ecfr.gov/current/title-45/subtitle-A/subchapter-C/part-164/section-164.312</x:t>
        </x:is>
      </x:c>
      <x:c r="T134" s="28" t="inlineStr">
        <x:is>
          <x:t xml:space="preserve">https://www.hhs.gov/hipaa/for-professionals/compliance-enforcement/audit/protocol-edited/index.html</x:t>
        </x:is>
      </x:c>
      <x:c r="U134" s="5" t="inlineStr">
        <x:is>
          <x:t xml:space="preserve">Composite</x:t>
        </x:is>
      </x:c>
      <x:c r="V134" s="5" t="inlineStr">
        <x:is>
          <x:t xml:space="preserve">Password-vault/shared-account and privileged-access evidence supports unique attribution of user activity and management of privileged rights.</x:t>
        </x:is>
      </x:c>
      <x:c r="W134" s="5" t="inlineStr">
        <x:is>
          <x:t xml:space="preserve">Shared or generic-account controls are best matched to unique user identification, with access-right administration as a secondary basis.</x:t>
        </x:is>
      </x:c>
      <x:c r="X134" s="5" t="n"/>
    </x:row>
    <x:row r="135" ht="30" customHeight="1">
      <x:c r="A135" s="5" t="inlineStr">
        <x:is>
          <x:t xml:space="preserve">ER-67|REQ-28-HIPAA|1123.01q1System.2|Password Vault and Shared Accounts</x:t>
        </x:is>
      </x:c>
      <x:c r="B135" s="5" t="inlineStr">
        <x:is>
          <x:t xml:space="preserve">HITRUST e1.csv</x:t>
        </x:is>
      </x:c>
      <x:c r="C135" s="5" t="inlineStr">
        <x:is>
          <x:t xml:space="preserve">ER-67</x:t>
        </x:is>
      </x:c>
      <x:c r="D135" s="5" t="inlineStr">
        <x:is>
          <x:t xml:space="preserve">Configuration</x:t>
        </x:is>
      </x:c>
      <x:c r="E135" s="5" t="inlineStr">
        <x:is>
          <x:t xml:space="preserve">Password Vault and Shared Accounts</x:t>
        </x:is>
      </x:c>
      <x:c r="F135" s="5" t="inlineStr">
        <x:is>
          <x:t xml:space="preserve">REQ-28-HIPAA</x:t>
        </x:is>
      </x:c>
      <x:c r="G135" s="5" t="inlineStr">
        <x:is>
          <x:t xml:space="preserve">1123.01q1System.2</x:t>
        </x:is>
      </x:c>
      <x:c r="H135" s="5" t="inlineStr">
        <x:is>
          <x:t xml:space="preserve">1123.01q1 System.2</x:t>
        </x:is>
      </x:c>
      <x:c r="I135" s="5" t="inlineStr">
        <x:is>
          <x:t xml:space="preserve">Many:1</x:t>
        </x:is>
      </x:c>
      <x:c r="J135" s="5" t="n">
        <x:v>1</x:v>
      </x:c>
      <x:c r="K135" s="5" t="inlineStr">
        <x:is>
          <x:t xml:space="preserve">45 CFR § 164.312(a)(2)(i); 45 CFR § 164.308(a)(4)(ii)(C)</x:t>
        </x:is>
      </x:c>
      <x:c r="L135" s="5" t="inlineStr">
        <x:is>
          <x:t xml:space="preserve">Access Control — Unique User Identification; Information Access Management — Access Establishment and Modification</x:t>
        </x:is>
      </x:c>
      <x:c r="M135" s="5" t="n">
        <x:v>2</x:v>
      </x:c>
      <x:c r="N135" s="5" t="inlineStr">
        <x:is>
          <x:t xml:space="preserve">45 C.F.R. § 164.308(a)(4)(ii)(C)</x:t>
        </x:is>
      </x:c>
      <x:c r="O135" s="5" t="inlineStr">
        <x:is>
          <x:t xml:space="preserve">Information Access Management — Access Establishment and Modification</x:t>
        </x:is>
      </x:c>
      <x:c r="P135" s="5" t="inlineStr">
        <x:is>
          <x:t xml:space="preserve">Implement policies and procedures to establish, document, review, and modify a user’s right of access to a workstation, transaction, program, or process.</x:t>
        </x:is>
      </x:c>
      <x:c r="Q135" s="5" t="inlineStr">
        <x:is>
          <x:t xml:space="preserve">Addressable implementation specification</x:t>
        </x:is>
      </x:c>
      <x:c r="R135" s="5" t="inlineStr">
        <x:is>
          <x:t xml:space="preserve">Administrative Safeguards</x:t>
        </x:is>
      </x:c>
      <x:c r="S135" s="28" t="inlineStr">
        <x:is>
          <x:t xml:space="preserve">https://www.ecfr.gov/current/title-45/subtitle-A/subchapter-C/part-164/section-164.308</x:t>
        </x:is>
      </x:c>
      <x:c r="T135" s="28" t="inlineStr">
        <x:is>
          <x:t xml:space="preserve">https://www.hhs.gov/hipaa/for-professionals/compliance-enforcement/audit/protocol-edited/index.html</x:t>
        </x:is>
      </x:c>
      <x:c r="U135" s="5" t="inlineStr">
        <x:is>
          <x:t xml:space="preserve">Composite</x:t>
        </x:is>
      </x:c>
      <x:c r="V135" s="5" t="inlineStr">
        <x:is>
          <x:t xml:space="preserve">Password-vault/shared-account and privileged-access evidence supports unique attribution of user activity and management of privileged rights.</x:t>
        </x:is>
      </x:c>
      <x:c r="W135" s="5" t="inlineStr">
        <x:is>
          <x:t xml:space="preserve">Shared or generic-account controls are best matched to unique user identification, with access-right administration as a secondary basis.</x:t>
        </x:is>
      </x:c>
      <x:c r="X135" s="5" t="n"/>
    </x:row>
    <x:row r="136" ht="30" customHeight="1">
      <x:c r="A136" s="5" t="inlineStr">
        <x:is>
          <x:t xml:space="preserve">ER-67|REQ-31-HIPAA|1123.01q1System.2|Password Vault and Shared Accounts</x:t>
        </x:is>
      </x:c>
      <x:c r="B136" s="5" t="inlineStr">
        <x:is>
          <x:t xml:space="preserve">HITRUST e1.csv</x:t>
        </x:is>
      </x:c>
      <x:c r="C136" s="5" t="inlineStr">
        <x:is>
          <x:t xml:space="preserve">ER-67</x:t>
        </x:is>
      </x:c>
      <x:c r="D136" s="5" t="inlineStr">
        <x:is>
          <x:t xml:space="preserve">Configuration</x:t>
        </x:is>
      </x:c>
      <x:c r="E136" s="5" t="inlineStr">
        <x:is>
          <x:t xml:space="preserve">Password Vault and Shared Accounts</x:t>
        </x:is>
      </x:c>
      <x:c r="F136" s="5" t="inlineStr">
        <x:is>
          <x:t xml:space="preserve">REQ-31-HIPAA</x:t>
        </x:is>
      </x:c>
      <x:c r="G136" s="5" t="inlineStr">
        <x:is>
          <x:t xml:space="preserve">1123.01q1System.2</x:t>
        </x:is>
      </x:c>
      <x:c r="H136" s="5" t="inlineStr">
        <x:is>
          <x:t xml:space="preserve">1123.01q1 System.2</x:t>
        </x:is>
      </x:c>
      <x:c r="I136" s="5" t="inlineStr">
        <x:is>
          <x:t xml:space="preserve">Many:1</x:t>
        </x:is>
      </x:c>
      <x:c r="J136" s="5" t="n">
        <x:v>1</x:v>
      </x:c>
      <x:c r="K136" s="5" t="inlineStr">
        <x:is>
          <x:t xml:space="preserve">45 CFR § 164.308(a)(3)(ii)(C); 45 CFR § 164.312(a)(2)(i)</x:t>
        </x:is>
      </x:c>
      <x:c r="L136" s="5" t="inlineStr">
        <x:is>
          <x:t xml:space="preserve">Workforce Security — Termination Procedures; Access Control — Unique User Identification</x:t>
        </x:is>
      </x:c>
      <x:c r="M136" s="5" t="n">
        <x:v>1</x:v>
      </x:c>
      <x:c r="N136" s="5" t="inlineStr">
        <x:is>
          <x:t xml:space="preserve">45 C.F.R. § 164.308(a)(3)(ii)(C)</x:t>
        </x:is>
      </x:c>
      <x:c r="O136" s="5" t="inlineStr">
        <x:is>
          <x:t xml:space="preserve">Workforce Security — Termination Procedures</x:t>
        </x:is>
      </x:c>
      <x:c r="P136" s="5" t="inlineStr">
        <x:is>
          <x:t xml:space="preserve">Implement procedures for terminating a workforce member’s access to ePHI when employment ends or when access should otherwise be removed.</x:t>
        </x:is>
      </x:c>
      <x:c r="Q136" s="5" t="inlineStr">
        <x:is>
          <x:t xml:space="preserve">Addressable implementation specification</x:t>
        </x:is>
      </x:c>
      <x:c r="R136" s="5" t="inlineStr">
        <x:is>
          <x:t xml:space="preserve">Administrative Safeguards</x:t>
        </x:is>
      </x:c>
      <x:c r="S136" s="28" t="inlineStr">
        <x:is>
          <x:t xml:space="preserve">https://www.ecfr.gov/current/title-45/subtitle-A/subchapter-C/part-164/section-164.308</x:t>
        </x:is>
      </x:c>
      <x:c r="T136" s="28" t="inlineStr">
        <x:is>
          <x:t xml:space="preserve">https://www.hhs.gov/hipaa/for-professionals/security/guidance/cybersecurity-newsletter-summer-2019/index.html</x:t>
        </x:is>
      </x:c>
      <x:c r="U136" s="5" t="inlineStr">
        <x:is>
          <x:t xml:space="preserve">Composite</x:t>
        </x:is>
      </x:c>
      <x:c r="V136" s="5" t="inlineStr">
        <x:is>
          <x:t xml:space="preserve">Shared-account and privileged-access listings support timely removal of departing users and accountability for access tied to individuals.</x:t>
        </x:is>
      </x:c>
      <x:c r="W136" s="5" t="inlineStr">
        <x:is>
          <x:t xml:space="preserve">Best read as supporting evidence that terminated users are removed from shared/privileged access paths.</x:t>
        </x:is>
      </x:c>
      <x:c r="X136" s="5" t="n"/>
    </x:row>
    <x:row r="137" ht="30" customHeight="1">
      <x:c r="A137" s="5" t="inlineStr">
        <x:is>
          <x:t xml:space="preserve">ER-67|REQ-31-HIPAA|1123.01q1System.2|Password Vault and Shared Accounts</x:t>
        </x:is>
      </x:c>
      <x:c r="B137" s="5" t="inlineStr">
        <x:is>
          <x:t xml:space="preserve">HITRUST e1.csv</x:t>
        </x:is>
      </x:c>
      <x:c r="C137" s="5" t="inlineStr">
        <x:is>
          <x:t xml:space="preserve">ER-67</x:t>
        </x:is>
      </x:c>
      <x:c r="D137" s="5" t="inlineStr">
        <x:is>
          <x:t xml:space="preserve">Configuration</x:t>
        </x:is>
      </x:c>
      <x:c r="E137" s="5" t="inlineStr">
        <x:is>
          <x:t xml:space="preserve">Password Vault and Shared Accounts</x:t>
        </x:is>
      </x:c>
      <x:c r="F137" s="5" t="inlineStr">
        <x:is>
          <x:t xml:space="preserve">REQ-31-HIPAA</x:t>
        </x:is>
      </x:c>
      <x:c r="G137" s="5" t="inlineStr">
        <x:is>
          <x:t xml:space="preserve">1123.01q1System.2</x:t>
        </x:is>
      </x:c>
      <x:c r="H137" s="5" t="inlineStr">
        <x:is>
          <x:t xml:space="preserve">1123.01q1 System.2</x:t>
        </x:is>
      </x:c>
      <x:c r="I137" s="5" t="inlineStr">
        <x:is>
          <x:t xml:space="preserve">Many:1</x:t>
        </x:is>
      </x:c>
      <x:c r="J137" s="5" t="n">
        <x:v>1</x:v>
      </x:c>
      <x:c r="K137" s="5" t="inlineStr">
        <x:is>
          <x:t xml:space="preserve">45 CFR § 164.308(a)(3)(ii)(C); 45 CFR § 164.312(a)(2)(i)</x:t>
        </x:is>
      </x:c>
      <x:c r="L137" s="5" t="inlineStr">
        <x:is>
          <x:t xml:space="preserve">Workforce Security — Termination Procedures; Access Control — Unique User Identification</x:t>
        </x:is>
      </x:c>
      <x:c r="M137" s="5" t="n">
        <x:v>2</x:v>
      </x:c>
      <x:c r="N137" s="5" t="inlineStr">
        <x:is>
          <x:t xml:space="preserve">45 C.F.R. § 164.312(a)(2)(i)</x:t>
        </x:is>
      </x:c>
      <x:c r="O137" s="5" t="inlineStr">
        <x:is>
          <x:t xml:space="preserve">Access Control — Unique User Identification</x:t>
        </x:is>
      </x:c>
      <x:c r="P137" s="5" t="inlineStr">
        <x:is>
          <x:t xml:space="preserve">Assign a unique name and/or number for identifying and tracking user identity.</x:t>
        </x:is>
      </x:c>
      <x:c r="Q137" s="5" t="inlineStr">
        <x:is>
          <x:t xml:space="preserve">Required implementation specification</x:t>
        </x:is>
      </x:c>
      <x:c r="R137" s="5" t="inlineStr">
        <x:is>
          <x:t xml:space="preserve">Technical Safeguards</x:t>
        </x:is>
      </x:c>
      <x:c r="S137" s="28" t="inlineStr">
        <x:is>
          <x:t xml:space="preserve">https://www.ecfr.gov/current/title-45/subtitle-A/subchapter-C/part-164/section-164.312</x:t>
        </x:is>
      </x:c>
      <x:c r="T137" s="28" t="inlineStr">
        <x:is>
          <x:t xml:space="preserve">https://www.hhs.gov/hipaa/for-professionals/compliance-enforcement/audit/protocol-edited/index.html</x:t>
        </x:is>
      </x:c>
      <x:c r="U137" s="5" t="inlineStr">
        <x:is>
          <x:t xml:space="preserve">Composite</x:t>
        </x:is>
      </x:c>
      <x:c r="V137" s="5" t="inlineStr">
        <x:is>
          <x:t xml:space="preserve">Shared-account and privileged-access listings support timely removal of departing users and accountability for access tied to individuals.</x:t>
        </x:is>
      </x:c>
      <x:c r="W137" s="5" t="inlineStr">
        <x:is>
          <x:t xml:space="preserve">Best read as supporting evidence that terminated users are removed from shared/privileged access paths.</x:t>
        </x:is>
      </x:c>
      <x:c r="X137" s="5" t="n"/>
    </x:row>
    <x:row r="138" ht="30" customHeight="1">
      <x:c r="A138" s="5" t="inlineStr">
        <x:is>
          <x:t xml:space="preserve">ER-24|REQ-26-HIPAA|10.01d1System.10|Password and Multi-Factor Authentication</x:t>
        </x:is>
      </x:c>
      <x:c r="B138" s="5" t="inlineStr">
        <x:is>
          <x:t xml:space="preserve">HITRUST e1.csv</x:t>
        </x:is>
      </x:c>
      <x:c r="C138" s="5" t="inlineStr">
        <x:is>
          <x:t xml:space="preserve">ER-24</x:t>
        </x:is>
      </x:c>
      <x:c r="D138" s="5" t="inlineStr">
        <x:is>
          <x:t xml:space="preserve">Policy</x:t>
        </x:is>
      </x:c>
      <x:c r="E138" s="5" t="inlineStr">
        <x:is>
          <x:t xml:space="preserve">Password and Multi-Factor Authentication</x:t>
        </x:is>
      </x:c>
      <x:c r="F138" s="5" t="inlineStr">
        <x:is>
          <x:t xml:space="preserve">REQ-26-HIPAA</x:t>
        </x:is>
      </x:c>
      <x:c r="G138" s="5" t="inlineStr">
        <x:is>
          <x:t xml:space="preserve">10.01d1System.10</x:t>
        </x:is>
      </x:c>
      <x:c r="H138" s="5" t="inlineStr">
        <x:is>
          <x:t xml:space="preserve">10.01d1 System.10</x:t>
        </x:is>
      </x:c>
      <x:c r="I138" s="5" t="inlineStr">
        <x:is>
          <x:t xml:space="preserve">1:Many</x:t>
        </x:is>
      </x:c>
      <x:c r="J138" s="5" t="n">
        <x:v>2</x:v>
      </x:c>
      <x:c r="K138" s="5" t="inlineStr">
        <x:is>
          <x:t xml:space="preserve">45 CFR § 164.308(a)(5)(ii)(D); 45 CFR § 164.312(d)</x:t>
        </x:is>
      </x:c>
      <x:c r="L138" s="5" t="inlineStr">
        <x:is>
          <x:t xml:space="preserve">Security Awareness and Training — Password Management; Person or Entity Authentication</x:t>
        </x:is>
      </x:c>
      <x:c r="M138" s="5" t="n">
        <x:v>1</x:v>
      </x:c>
      <x:c r="N138" s="5" t="inlineStr">
        <x:is>
          <x:t xml:space="preserve">45 C.F.R. § 164.308(a)(5)(ii)(D)</x:t>
        </x:is>
      </x:c>
      <x:c r="O138" s="5" t="inlineStr">
        <x:is>
          <x:t xml:space="preserve">Security Awareness and Training — Password Management</x:t>
        </x:is>
      </x:c>
      <x:c r="P138" s="5" t="inlineStr">
        <x:is>
          <x:t xml:space="preserve">Implement procedures for creating, changing, and safeguarding passwords.</x:t>
        </x:is>
      </x:c>
      <x:c r="Q138" s="5" t="inlineStr">
        <x:is>
          <x:t xml:space="preserve">Addressable implementation specification</x:t>
        </x:is>
      </x:c>
      <x:c r="R138" s="5" t="inlineStr">
        <x:is>
          <x:t xml:space="preserve">Administrative Safeguards</x:t>
        </x:is>
      </x:c>
      <x:c r="S138" s="28" t="inlineStr">
        <x:is>
          <x:t xml:space="preserve">https://www.ecfr.gov/current/title-45/subtitle-A/subchapter-C/part-164/section-164.308</x:t>
        </x:is>
      </x:c>
      <x:c r="T138" s="28" t="inlineStr">
        <x:is>
          <x:t xml:space="preserve">https://www.hhs.gov/sites/default/files/ocr/privacy/hipaa/administrative/securityrule/adminsafeguards.pdf</x:t>
        </x:is>
      </x:c>
      <x:c r="U138" s="5" t="inlineStr">
        <x:is>
          <x:t xml:space="preserve">Composite</x:t>
        </x:is>
      </x:c>
      <x:c r="V138" s="5" t="inlineStr">
        <x:is>
          <x:t xml:space="preserve">Action item explicitly combines password controls with MFA, so both password management and authentication verification are cited.</x:t>
        </x:is>
      </x:c>
      <x:c r="W138" s="5" t="inlineStr">
        <x:is>
          <x:t xml:space="preserve">Covers password creation/change/safeguarding and MFA-style authentication evidence.</x:t>
        </x:is>
      </x:c>
      <x:c r="X138" s="5" t="n"/>
    </x:row>
    <x:row r="139" ht="30" customHeight="1">
      <x:c r="A139" s="5" t="inlineStr">
        <x:is>
          <x:t xml:space="preserve">ER-24|REQ-26-HIPAA|10.01d1System.10|Password and Multi-Factor Authentication</x:t>
        </x:is>
      </x:c>
      <x:c r="B139" s="5" t="inlineStr">
        <x:is>
          <x:t xml:space="preserve">HITRUST e1.csv</x:t>
        </x:is>
      </x:c>
      <x:c r="C139" s="5" t="inlineStr">
        <x:is>
          <x:t xml:space="preserve">ER-24</x:t>
        </x:is>
      </x:c>
      <x:c r="D139" s="5" t="inlineStr">
        <x:is>
          <x:t xml:space="preserve">Policy</x:t>
        </x:is>
      </x:c>
      <x:c r="E139" s="5" t="inlineStr">
        <x:is>
          <x:t xml:space="preserve">Password and Multi-Factor Authentication</x:t>
        </x:is>
      </x:c>
      <x:c r="F139" s="5" t="inlineStr">
        <x:is>
          <x:t xml:space="preserve">REQ-26-HIPAA</x:t>
        </x:is>
      </x:c>
      <x:c r="G139" s="5" t="inlineStr">
        <x:is>
          <x:t xml:space="preserve">10.01d1System.10</x:t>
        </x:is>
      </x:c>
      <x:c r="H139" s="5" t="inlineStr">
        <x:is>
          <x:t xml:space="preserve">10.01d1 System.10</x:t>
        </x:is>
      </x:c>
      <x:c r="I139" s="5" t="inlineStr">
        <x:is>
          <x:t xml:space="preserve">1:Many</x:t>
        </x:is>
      </x:c>
      <x:c r="J139" s="5" t="n">
        <x:v>2</x:v>
      </x:c>
      <x:c r="K139" s="5" t="inlineStr">
        <x:is>
          <x:t xml:space="preserve">45 CFR § 164.308(a)(5)(ii)(D); 45 CFR § 164.312(d)</x:t>
        </x:is>
      </x:c>
      <x:c r="L139" s="5" t="inlineStr">
        <x:is>
          <x:t xml:space="preserve">Security Awareness and Training — Password Management; Person or Entity Authentication</x:t>
        </x:is>
      </x:c>
      <x:c r="M139" s="5" t="n">
        <x:v>2</x:v>
      </x:c>
      <x:c r="N139" s="5" t="inlineStr">
        <x:is>
          <x:t xml:space="preserve">45 C.F.R. § 164.312(d)</x:t>
        </x:is>
      </x:c>
      <x:c r="O139" s="5" t="inlineStr">
        <x:is>
          <x:t xml:space="preserve">Person or Entity Authentication</x:t>
        </x:is>
      </x:c>
      <x:c r="P139" s="5" t="inlineStr">
        <x:is>
          <x:t xml:space="preserve">Implement procedures to verify that a person or entity seeking access to ePHI is the one claimed.</x:t>
        </x:is>
      </x:c>
      <x:c r="Q139" s="5" t="inlineStr">
        <x:is>
          <x:t xml:space="preserve">Required standard</x:t>
        </x:is>
      </x:c>
      <x:c r="R139" s="5" t="inlineStr">
        <x:is>
          <x:t xml:space="preserve">Technical Safeguards</x:t>
        </x:is>
      </x:c>
      <x:c r="S139" s="28" t="inlineStr">
        <x:is>
          <x:t xml:space="preserve">https://www.ecfr.gov/current/title-45/subtitle-A/subchapter-C/part-164/section-164.312</x:t>
        </x:is>
      </x:c>
      <x:c r="T139" s="28" t="inlineStr">
        <x:is>
          <x:t xml:space="preserve">https://www.hhs.gov/hipaa/for-professionals/compliance-enforcement/audit/protocol-edited/index.html</x:t>
        </x:is>
      </x:c>
      <x:c r="U139" s="5" t="inlineStr">
        <x:is>
          <x:t xml:space="preserve">Composite</x:t>
        </x:is>
      </x:c>
      <x:c r="V139" s="5" t="inlineStr">
        <x:is>
          <x:t xml:space="preserve">Action item explicitly combines password controls with MFA, so both password management and authentication verification are cited.</x:t>
        </x:is>
      </x:c>
      <x:c r="W139" s="5" t="inlineStr">
        <x:is>
          <x:t xml:space="preserve">Covers password creation/change/safeguarding and MFA-style authentication evidence.</x:t>
        </x:is>
      </x:c>
      <x:c r="X139" s="5" t="n"/>
    </x:row>
    <x:row r="140" ht="30" customHeight="1">
      <x:c r="A140" s="5" t="inlineStr">
        <x:is>
          <x:t xml:space="preserve">ER-24|REQ-26-HIPAA|11.01p1System.5|Password and Multi-Factor Authentication</x:t>
        </x:is>
      </x:c>
      <x:c r="B140" s="5" t="inlineStr">
        <x:is>
          <x:t xml:space="preserve">HITRUST e1.csv</x:t>
        </x:is>
      </x:c>
      <x:c r="C140" s="5" t="inlineStr">
        <x:is>
          <x:t xml:space="preserve">ER-24</x:t>
        </x:is>
      </x:c>
      <x:c r="D140" s="5" t="inlineStr">
        <x:is>
          <x:t xml:space="preserve">Policy</x:t>
        </x:is>
      </x:c>
      <x:c r="E140" s="5" t="inlineStr">
        <x:is>
          <x:t xml:space="preserve">Password and Multi-Factor Authentication</x:t>
        </x:is>
      </x:c>
      <x:c r="F140" s="5" t="inlineStr">
        <x:is>
          <x:t xml:space="preserve">REQ-26-HIPAA</x:t>
        </x:is>
      </x:c>
      <x:c r="G140" s="5" t="inlineStr">
        <x:is>
          <x:t xml:space="preserve">11.01p1System.5</x:t>
        </x:is>
      </x:c>
      <x:c r="H140" s="5" t="inlineStr">
        <x:is>
          <x:t xml:space="preserve">11.01p1 System.5</x:t>
        </x:is>
      </x:c>
      <x:c r="I140" s="5" t="inlineStr">
        <x:is>
          <x:t xml:space="preserve">1:Many</x:t>
        </x:is>
      </x:c>
      <x:c r="J140" s="5" t="n">
        <x:v>1</x:v>
      </x:c>
      <x:c r="K140" s="5" t="inlineStr">
        <x:is>
          <x:t xml:space="preserve">45 CFR § 164.308(a)(5)(ii)(D); 45 CFR § 164.312(d)</x:t>
        </x:is>
      </x:c>
      <x:c r="L140" s="5" t="inlineStr">
        <x:is>
          <x:t xml:space="preserve">Security Awareness and Training — Password Management; Person or Entity Authentication</x:t>
        </x:is>
      </x:c>
      <x:c r="M140" s="5" t="n">
        <x:v>1</x:v>
      </x:c>
      <x:c r="N140" s="5" t="inlineStr">
        <x:is>
          <x:t xml:space="preserve">45 C.F.R. § 164.308(a)(5)(ii)(D)</x:t>
        </x:is>
      </x:c>
      <x:c r="O140" s="5" t="inlineStr">
        <x:is>
          <x:t xml:space="preserve">Security Awareness and Training — Password Management</x:t>
        </x:is>
      </x:c>
      <x:c r="P140" s="5" t="inlineStr">
        <x:is>
          <x:t xml:space="preserve">Implement procedures for creating, changing, and safeguarding passwords.</x:t>
        </x:is>
      </x:c>
      <x:c r="Q140" s="5" t="inlineStr">
        <x:is>
          <x:t xml:space="preserve">Addressable implementation specification</x:t>
        </x:is>
      </x:c>
      <x:c r="R140" s="5" t="inlineStr">
        <x:is>
          <x:t xml:space="preserve">Administrative Safeguards</x:t>
        </x:is>
      </x:c>
      <x:c r="S140" s="28" t="inlineStr">
        <x:is>
          <x:t xml:space="preserve">https://www.ecfr.gov/current/title-45/subtitle-A/subchapter-C/part-164/section-164.308</x:t>
        </x:is>
      </x:c>
      <x:c r="T140" s="28" t="inlineStr">
        <x:is>
          <x:t xml:space="preserve">https://www.hhs.gov/sites/default/files/ocr/privacy/hipaa/administrative/securityrule/adminsafeguards.pdf</x:t>
        </x:is>
      </x:c>
      <x:c r="U140" s="5" t="inlineStr">
        <x:is>
          <x:t xml:space="preserve">Composite</x:t>
        </x:is>
      </x:c>
      <x:c r="V140" s="5" t="inlineStr">
        <x:is>
          <x:t xml:space="preserve">Action item explicitly combines password controls with MFA, so both password management and authentication verification are cited.</x:t>
        </x:is>
      </x:c>
      <x:c r="W140" s="5" t="inlineStr">
        <x:is>
          <x:t xml:space="preserve">Covers password creation/change/safeguarding and MFA-style authentication evidence.</x:t>
        </x:is>
      </x:c>
      <x:c r="X140" s="5" t="n"/>
    </x:row>
    <x:row r="141" ht="30" customHeight="1">
      <x:c r="A141" s="5" t="inlineStr">
        <x:is>
          <x:t xml:space="preserve">ER-24|REQ-26-HIPAA|11.01p1System.5|Password and Multi-Factor Authentication</x:t>
        </x:is>
      </x:c>
      <x:c r="B141" s="5" t="inlineStr">
        <x:is>
          <x:t xml:space="preserve">HITRUST e1.csv</x:t>
        </x:is>
      </x:c>
      <x:c r="C141" s="5" t="inlineStr">
        <x:is>
          <x:t xml:space="preserve">ER-24</x:t>
        </x:is>
      </x:c>
      <x:c r="D141" s="5" t="inlineStr">
        <x:is>
          <x:t xml:space="preserve">Policy</x:t>
        </x:is>
      </x:c>
      <x:c r="E141" s="5" t="inlineStr">
        <x:is>
          <x:t xml:space="preserve">Password and Multi-Factor Authentication</x:t>
        </x:is>
      </x:c>
      <x:c r="F141" s="5" t="inlineStr">
        <x:is>
          <x:t xml:space="preserve">REQ-26-HIPAA</x:t>
        </x:is>
      </x:c>
      <x:c r="G141" s="5" t="inlineStr">
        <x:is>
          <x:t xml:space="preserve">11.01p1System.5</x:t>
        </x:is>
      </x:c>
      <x:c r="H141" s="5" t="inlineStr">
        <x:is>
          <x:t xml:space="preserve">11.01p1 System.5</x:t>
        </x:is>
      </x:c>
      <x:c r="I141" s="5" t="inlineStr">
        <x:is>
          <x:t xml:space="preserve">1:Many</x:t>
        </x:is>
      </x:c>
      <x:c r="J141" s="5" t="n">
        <x:v>1</x:v>
      </x:c>
      <x:c r="K141" s="5" t="inlineStr">
        <x:is>
          <x:t xml:space="preserve">45 CFR § 164.308(a)(5)(ii)(D); 45 CFR § 164.312(d)</x:t>
        </x:is>
      </x:c>
      <x:c r="L141" s="5" t="inlineStr">
        <x:is>
          <x:t xml:space="preserve">Security Awareness and Training — Password Management; Person or Entity Authentication</x:t>
        </x:is>
      </x:c>
      <x:c r="M141" s="5" t="n">
        <x:v>2</x:v>
      </x:c>
      <x:c r="N141" s="5" t="inlineStr">
        <x:is>
          <x:t xml:space="preserve">45 C.F.R. § 164.312(d)</x:t>
        </x:is>
      </x:c>
      <x:c r="O141" s="5" t="inlineStr">
        <x:is>
          <x:t xml:space="preserve">Person or Entity Authentication</x:t>
        </x:is>
      </x:c>
      <x:c r="P141" s="5" t="inlineStr">
        <x:is>
          <x:t xml:space="preserve">Implement procedures to verify that a person or entity seeking access to ePHI is the one claimed.</x:t>
        </x:is>
      </x:c>
      <x:c r="Q141" s="5" t="inlineStr">
        <x:is>
          <x:t xml:space="preserve">Required standard</x:t>
        </x:is>
      </x:c>
      <x:c r="R141" s="5" t="inlineStr">
        <x:is>
          <x:t xml:space="preserve">Technical Safeguards</x:t>
        </x:is>
      </x:c>
      <x:c r="S141" s="28" t="inlineStr">
        <x:is>
          <x:t xml:space="preserve">https://www.ecfr.gov/current/title-45/subtitle-A/subchapter-C/part-164/section-164.312</x:t>
        </x:is>
      </x:c>
      <x:c r="T141" s="28" t="inlineStr">
        <x:is>
          <x:t xml:space="preserve">https://www.hhs.gov/hipaa/for-professionals/compliance-enforcement/audit/protocol-edited/index.html</x:t>
        </x:is>
      </x:c>
      <x:c r="U141" s="5" t="inlineStr">
        <x:is>
          <x:t xml:space="preserve">Composite</x:t>
        </x:is>
      </x:c>
      <x:c r="V141" s="5" t="inlineStr">
        <x:is>
          <x:t xml:space="preserve">Action item explicitly combines password controls with MFA, so both password management and authentication verification are cited.</x:t>
        </x:is>
      </x:c>
      <x:c r="W141" s="5" t="inlineStr">
        <x:is>
          <x:t xml:space="preserve">Covers password creation/change/safeguarding and MFA-style authentication evidence.</x:t>
        </x:is>
      </x:c>
      <x:c r="X141" s="5" t="n"/>
    </x:row>
    <x:row r="142" ht="30" customHeight="1">
      <x:c r="A142" s="5" t="inlineStr">
        <x:is>
          <x:t xml:space="preserve">ER-25|REQ-26-HIPAA|10.01d1System.10|Passwords for All In-Scope Production Systems</x:t>
        </x:is>
      </x:c>
      <x:c r="B142" s="5" t="inlineStr">
        <x:is>
          <x:t xml:space="preserve">HITRUST e1.csv</x:t>
        </x:is>
      </x:c>
      <x:c r="C142" s="5" t="inlineStr">
        <x:is>
          <x:t xml:space="preserve">ER-25</x:t>
        </x:is>
      </x:c>
      <x:c r="D142" s="5" t="inlineStr">
        <x:is>
          <x:t xml:space="preserve">Configuration</x:t>
        </x:is>
      </x:c>
      <x:c r="E142" s="5" t="inlineStr">
        <x:is>
          <x:t xml:space="preserve">Passwords for All In-Scope Production Systems</x:t>
        </x:is>
      </x:c>
      <x:c r="F142" s="5" t="inlineStr">
        <x:is>
          <x:t xml:space="preserve">REQ-26-HIPAA</x:t>
        </x:is>
      </x:c>
      <x:c r="G142" s="5" t="inlineStr">
        <x:is>
          <x:t xml:space="preserve">10.01d1System.10</x:t>
        </x:is>
      </x:c>
      <x:c r="H142" s="5" t="inlineStr">
        <x:is>
          <x:t xml:space="preserve">10.01d1 System.10</x:t>
        </x:is>
      </x:c>
      <x:c r="I142" s="5" t="inlineStr">
        <x:is>
          <x:t xml:space="preserve">1:1</x:t>
        </x:is>
      </x:c>
      <x:c r="J142" s="5" t="n">
        <x:v>2</x:v>
      </x:c>
      <x:c r="K142" s="5" t="inlineStr">
        <x:is>
          <x:t xml:space="preserve">45 CFR § 164.308(a)(5)(ii)(D); 45 CFR § 164.312(a)(1)</x:t>
        </x:is>
      </x:c>
      <x:c r="L142" s="5" t="inlineStr">
        <x:is>
          <x:t xml:space="preserve">Security Awareness and Training — Password Management; Access Control</x:t>
        </x:is>
      </x:c>
      <x:c r="M142" s="5" t="n">
        <x:v>1</x:v>
      </x:c>
      <x:c r="N142" s="5" t="inlineStr">
        <x:is>
          <x:t xml:space="preserve">45 C.F.R. § 164.308(a)(5)(ii)(D)</x:t>
        </x:is>
      </x:c>
      <x:c r="O142" s="5" t="inlineStr">
        <x:is>
          <x:t xml:space="preserve">Security Awareness and Training — Password Management</x:t>
        </x:is>
      </x:c>
      <x:c r="P142" s="5" t="inlineStr">
        <x:is>
          <x:t xml:space="preserve">Implement procedures for creating, changing, and safeguarding passwords.</x:t>
        </x:is>
      </x:c>
      <x:c r="Q142" s="5" t="inlineStr">
        <x:is>
          <x:t xml:space="preserve">Addressable implementation specification</x:t>
        </x:is>
      </x:c>
      <x:c r="R142" s="5" t="inlineStr">
        <x:is>
          <x:t xml:space="preserve">Administrative Safeguards</x:t>
        </x:is>
      </x:c>
      <x:c r="S142" s="28" t="inlineStr">
        <x:is>
          <x:t xml:space="preserve">https://www.ecfr.gov/current/title-45/subtitle-A/subchapter-C/part-164/section-164.308</x:t>
        </x:is>
      </x:c>
      <x:c r="T142" s="28" t="inlineStr">
        <x:is>
          <x:t xml:space="preserve">https://www.hhs.gov/sites/default/files/ocr/privacy/hipaa/administrative/securityrule/adminsafeguards.pdf</x:t>
        </x:is>
      </x:c>
      <x:c r="U142" s="5" t="inlineStr">
        <x:is>
          <x:t xml:space="preserve">Composite</x:t>
        </x:is>
      </x:c>
      <x:c r="V142" s="5" t="inlineStr">
        <x:is>
          <x:t xml:space="preserve">Password configuration evidence most directly aligns to password-management requirements and the broader access-control standard.</x:t>
        </x:is>
      </x:c>
      <x:c r="W142" s="5" t="inlineStr">
        <x:is>
          <x:t xml:space="preserve">This row is password-configuration evidence; MFA is not the primary evidence artifact here.</x:t>
        </x:is>
      </x:c>
      <x:c r="X142" s="5" t="n"/>
    </x:row>
    <x:row r="143" ht="30" customHeight="1">
      <x:c r="A143" s="5" t="inlineStr">
        <x:is>
          <x:t xml:space="preserve">ER-25|REQ-26-HIPAA|10.01d1System.10|Passwords for All In-Scope Production Systems</x:t>
        </x:is>
      </x:c>
      <x:c r="B143" s="5" t="inlineStr">
        <x:is>
          <x:t xml:space="preserve">HITRUST e1.csv</x:t>
        </x:is>
      </x:c>
      <x:c r="C143" s="5" t="inlineStr">
        <x:is>
          <x:t xml:space="preserve">ER-25</x:t>
        </x:is>
      </x:c>
      <x:c r="D143" s="5" t="inlineStr">
        <x:is>
          <x:t xml:space="preserve">Configuration</x:t>
        </x:is>
      </x:c>
      <x:c r="E143" s="5" t="inlineStr">
        <x:is>
          <x:t xml:space="preserve">Passwords for All In-Scope Production Systems</x:t>
        </x:is>
      </x:c>
      <x:c r="F143" s="5" t="inlineStr">
        <x:is>
          <x:t xml:space="preserve">REQ-26-HIPAA</x:t>
        </x:is>
      </x:c>
      <x:c r="G143" s="5" t="inlineStr">
        <x:is>
          <x:t xml:space="preserve">10.01d1System.10</x:t>
        </x:is>
      </x:c>
      <x:c r="H143" s="5" t="inlineStr">
        <x:is>
          <x:t xml:space="preserve">10.01d1 System.10</x:t>
        </x:is>
      </x:c>
      <x:c r="I143" s="5" t="inlineStr">
        <x:is>
          <x:t xml:space="preserve">1:1</x:t>
        </x:is>
      </x:c>
      <x:c r="J143" s="5" t="n">
        <x:v>2</x:v>
      </x:c>
      <x:c r="K143" s="5" t="inlineStr">
        <x:is>
          <x:t xml:space="preserve">45 CFR § 164.308(a)(5)(ii)(D); 45 CFR § 164.312(a)(1)</x:t>
        </x:is>
      </x:c>
      <x:c r="L143" s="5" t="inlineStr">
        <x:is>
          <x:t xml:space="preserve">Security Awareness and Training — Password Management; Access Control</x:t>
        </x:is>
      </x:c>
      <x:c r="M143" s="5" t="n">
        <x:v>2</x:v>
      </x:c>
      <x:c r="N143" s="5" t="inlineStr">
        <x:is>
          <x:t xml:space="preserve">45 C.F.R. § 164.312(a)(1)</x:t>
        </x:is>
      </x:c>
      <x:c r="O143" s="5" t="inlineStr">
        <x:is>
          <x:t xml:space="preserve">Access Control</x:t>
        </x:is>
      </x:c>
      <x:c r="P143" s="5" t="inlineStr">
        <x:is>
          <x:t xml:space="preserve">Implement technical policies and procedures for electronic information systems that maintain ePHI to allow access only to persons or software programs with authorized access rights.</x:t>
        </x:is>
      </x:c>
      <x:c r="Q143" s="5" t="inlineStr">
        <x:is>
          <x:t xml:space="preserve">Standard</x:t>
        </x:is>
      </x:c>
      <x:c r="R143" s="5" t="inlineStr">
        <x:is>
          <x:t xml:space="preserve">Technical Safeguards</x:t>
        </x:is>
      </x:c>
      <x:c r="S143" s="28" t="inlineStr">
        <x:is>
          <x:t xml:space="preserve">https://www.ecfr.gov/current/title-45/subtitle-A/subchapter-C/part-164/section-164.312</x:t>
        </x:is>
      </x:c>
      <x:c r="T143" s="28" t="inlineStr">
        <x:is>
          <x:t xml:space="preserve">https://www.hhs.gov/hipaa/for-professionals/compliance-enforcement/audit/protocol-edited/index.html</x:t>
        </x:is>
      </x:c>
      <x:c r="U143" s="5" t="inlineStr">
        <x:is>
          <x:t xml:space="preserve">Composite</x:t>
        </x:is>
      </x:c>
      <x:c r="V143" s="5" t="inlineStr">
        <x:is>
          <x:t xml:space="preserve">Password configuration evidence most directly aligns to password-management requirements and the broader access-control standard.</x:t>
        </x:is>
      </x:c>
      <x:c r="W143" s="5" t="inlineStr">
        <x:is>
          <x:t xml:space="preserve">This row is password-configuration evidence; MFA is not the primary evidence artifact here.</x:t>
        </x:is>
      </x:c>
      <x:c r="X143" s="5" t="n"/>
    </x:row>
    <x:row r="144" ht="30" customHeight="1">
      <x:c r="A144" s="5" t="inlineStr">
        <x:is>
          <x:t xml:space="preserve">ER-105|REQ-110-HIPAA|1704.03b1Organizational.12|Risk Assessment</x:t>
        </x:is>
      </x:c>
      <x:c r="B144" s="5" t="inlineStr">
        <x:is>
          <x:t xml:space="preserve">HITRUST e1.csv</x:t>
        </x:is>
      </x:c>
      <x:c r="C144" s="5" t="inlineStr">
        <x:is>
          <x:t xml:space="preserve">ER-105</x:t>
        </x:is>
      </x:c>
      <x:c r="D144" s="5" t="inlineStr">
        <x:is>
          <x:t xml:space="preserve">Operational</x:t>
        </x:is>
      </x:c>
      <x:c r="E144" s="5" t="inlineStr">
        <x:is>
          <x:t xml:space="preserve">Risk Assessment</x:t>
        </x:is>
      </x:c>
      <x:c r="F144" s="5" t="inlineStr">
        <x:is>
          <x:t xml:space="preserve">REQ-110-HIPAA</x:t>
        </x:is>
      </x:c>
      <x:c r="G144" s="5" t="inlineStr">
        <x:is>
          <x:t xml:space="preserve">1704.03b1Organizational.12</x:t>
        </x:is>
      </x:c>
      <x:c r="H144" s="5" t="inlineStr">
        <x:is>
          <x:t xml:space="preserve">1704.03b1 Organizational.12</x:t>
        </x:is>
      </x:c>
      <x:c r="I144" s="5" t="inlineStr">
        <x:is>
          <x:t xml:space="preserve">Many:1</x:t>
        </x:is>
      </x:c>
      <x:c r="J144" s="5" t="n">
        <x:v>1</x:v>
      </x:c>
      <x:c r="K144" s="5" t="inlineStr">
        <x:is>
          <x:t xml:space="preserve">45 CFR § 164.308(a)(1)(ii)(A)</x:t>
        </x:is>
      </x:c>
      <x:c r="L144" s="5" t="inlineStr">
        <x:is>
          <x:t xml:space="preserve">Security Management Process — Risk Analysis</x:t>
        </x:is>
      </x:c>
      <x:c r="M144" s="5" t="n">
        <x:v>1</x:v>
      </x:c>
      <x:c r="N144" s="5" t="inlineStr">
        <x:is>
          <x:t xml:space="preserve">45 C.F.R. § 164.308(a)(1)(ii)(A)</x:t>
        </x:is>
      </x:c>
      <x:c r="O144" s="5" t="inlineStr">
        <x:is>
          <x:t xml:space="preserve">Security Management Process — Risk Analysis</x:t>
        </x:is>
      </x:c>
      <x:c r="P144" s="5" t="inlineStr">
        <x:is>
          <x:t xml:space="preserve">Conduct an accurate and thorough assessment of the potential risks and vulnerabilities to the confidentiality, integrity, and availability of ePHI.</x:t>
        </x:is>
      </x:c>
      <x:c r="Q144" s="5" t="inlineStr">
        <x:is>
          <x:t xml:space="preserve">Required implementation specification</x:t>
        </x:is>
      </x:c>
      <x:c r="R144" s="5" t="inlineStr">
        <x:is>
          <x:t xml:space="preserve">Administrative Safeguards</x:t>
        </x:is>
      </x:c>
      <x:c r="S144" s="28" t="inlineStr">
        <x:is>
          <x:t xml:space="preserve">https://www.ecfr.gov/current/title-45/subtitle-A/subchapter-C/part-164/section-164.308</x:t>
        </x:is>
      </x:c>
      <x:c r="T144" s="28" t="inlineStr">
        <x:is>
          <x:t xml:space="preserve">https://www.hhs.gov/hipaa/for-professionals/security/guidance/guidance-risk-analysis/index.html</x:t>
        </x:is>
      </x:c>
      <x:c r="U144" s="5" t="inlineStr">
        <x:is>
          <x:t xml:space="preserve">Best-fit</x:t>
        </x:is>
      </x:c>
      <x:c r="V144" s="5" t="inlineStr">
        <x:is>
          <x:t xml:space="preserve">The source spreadsheet only exposes an internal control ID on the Risk Assessment action item, so the closest authoritative HIPAA citation is Risk Analysis.</x:t>
        </x:is>
      </x:c>
      <x:c r="W144" s="5" t="inlineStr">
        <x:is>
          <x:t xml:space="preserve">Matched by action-item semantics because the internal control itself is not labeled with an official HIPAA section.</x:t>
        </x:is>
      </x:c>
      <x:c r="X144" s="5" t="n"/>
    </x:row>
    <x:row r="145" ht="30" customHeight="1">
      <x:c r="A145" s="5" t="inlineStr">
        <x:is>
          <x:t xml:space="preserve">ER-105|REQ-17-HIPAA|1704.03b1Organizational.12|Risk Assessment</x:t>
        </x:is>
      </x:c>
      <x:c r="B145" s="5" t="inlineStr">
        <x:is>
          <x:t xml:space="preserve">HITRUST e1.csv</x:t>
        </x:is>
      </x:c>
      <x:c r="C145" s="5" t="inlineStr">
        <x:is>
          <x:t xml:space="preserve">ER-105</x:t>
        </x:is>
      </x:c>
      <x:c r="D145" s="5" t="inlineStr">
        <x:is>
          <x:t xml:space="preserve">Operational</x:t>
        </x:is>
      </x:c>
      <x:c r="E145" s="5" t="inlineStr">
        <x:is>
          <x:t xml:space="preserve">Risk Assessment</x:t>
        </x:is>
      </x:c>
      <x:c r="F145" s="5" t="inlineStr">
        <x:is>
          <x:t xml:space="preserve">REQ-17-HIPAA</x:t>
        </x:is>
      </x:c>
      <x:c r="G145" s="5" t="inlineStr">
        <x:is>
          <x:t xml:space="preserve">1704.03b1Organizational.12</x:t>
        </x:is>
      </x:c>
      <x:c r="H145" s="5" t="inlineStr">
        <x:is>
          <x:t xml:space="preserve">1704.03b1 Organizational.12</x:t>
        </x:is>
      </x:c>
      <x:c r="I145" s="5" t="inlineStr">
        <x:is>
          <x:t xml:space="preserve">Many:1</x:t>
        </x:is>
      </x:c>
      <x:c r="J145" s="5" t="n">
        <x:v>2</x:v>
      </x:c>
      <x:c r="K145" s="5" t="inlineStr">
        <x:is>
          <x:t xml:space="preserve">45 CFR § 164.308(a)(1)(ii)(A)</x:t>
        </x:is>
      </x:c>
      <x:c r="L145" s="5" t="inlineStr">
        <x:is>
          <x:t xml:space="preserve">Security Management Process — Risk Analysis</x:t>
        </x:is>
      </x:c>
      <x:c r="M145" s="5" t="n">
        <x:v>1</x:v>
      </x:c>
      <x:c r="N145" s="5" t="inlineStr">
        <x:is>
          <x:t xml:space="preserve">45 C.F.R. § 164.308(a)(1)(ii)(A)</x:t>
        </x:is>
      </x:c>
      <x:c r="O145" s="5" t="inlineStr">
        <x:is>
          <x:t xml:space="preserve">Security Management Process — Risk Analysis</x:t>
        </x:is>
      </x:c>
      <x:c r="P145" s="5" t="inlineStr">
        <x:is>
          <x:t xml:space="preserve">Conduct an accurate and thorough assessment of the potential risks and vulnerabilities to the confidentiality, integrity, and availability of ePHI.</x:t>
        </x:is>
      </x:c>
      <x:c r="Q145" s="5" t="inlineStr">
        <x:is>
          <x:t xml:space="preserve">Required implementation specification</x:t>
        </x:is>
      </x:c>
      <x:c r="R145" s="5" t="inlineStr">
        <x:is>
          <x:t xml:space="preserve">Administrative Safeguards</x:t>
        </x:is>
      </x:c>
      <x:c r="S145" s="28" t="inlineStr">
        <x:is>
          <x:t xml:space="preserve">https://www.ecfr.gov/current/title-45/subtitle-A/subchapter-C/part-164/section-164.308</x:t>
        </x:is>
      </x:c>
      <x:c r="T145" s="28" t="inlineStr">
        <x:is>
          <x:t xml:space="preserve">https://www.hhs.gov/hipaa/for-professionals/security/guidance/guidance-risk-analysis/index.html</x:t>
        </x:is>
      </x:c>
      <x:c r="U145" s="5" t="inlineStr">
        <x:is>
          <x:t xml:space="preserve">Direct</x:t>
        </x:is>
      </x:c>
      <x:c r="V145" s="5" t="inlineStr">
        <x:is>
          <x:t xml:space="preserve">Control context aligns to identifying risks and vulnerabilities to ePHI.</x:t>
        </x:is>
      </x:c>
      <x:c r="W145" s="5" t="inlineStr">
        <x:is>
          <x:t xml:space="preserve">Risk analysis is the most direct HIPAA citation for assessment-oriented rows.</x:t>
        </x:is>
      </x:c>
      <x:c r="X145" s="5" t="n"/>
    </x:row>
    <x:row r="146" ht="30" customHeight="1">
      <x:c r="A146" s="5" t="inlineStr">
        <x:is>
          <x:t xml:space="preserve">ER-105|REQ-20-HIPAA|1704.03b1Organizational.12|Risk Assessment</x:t>
        </x:is>
      </x:c>
      <x:c r="B146" s="5" t="inlineStr">
        <x:is>
          <x:t xml:space="preserve">HITRUST e1.csv</x:t>
        </x:is>
      </x:c>
      <x:c r="C146" s="5" t="inlineStr">
        <x:is>
          <x:t xml:space="preserve">ER-105</x:t>
        </x:is>
      </x:c>
      <x:c r="D146" s="5" t="inlineStr">
        <x:is>
          <x:t xml:space="preserve">Operational</x:t>
        </x:is>
      </x:c>
      <x:c r="E146" s="5" t="inlineStr">
        <x:is>
          <x:t xml:space="preserve">Risk Assessment</x:t>
        </x:is>
      </x:c>
      <x:c r="F146" s="5" t="inlineStr">
        <x:is>
          <x:t xml:space="preserve">REQ-20-HIPAA</x:t>
        </x:is>
      </x:c>
      <x:c r="G146" s="5" t="inlineStr">
        <x:is>
          <x:t xml:space="preserve">1704.03b1Organizational.12</x:t>
        </x:is>
      </x:c>
      <x:c r="H146" s="5" t="inlineStr">
        <x:is>
          <x:t xml:space="preserve">1704.03b1 Organizational.12</x:t>
        </x:is>
      </x:c>
      <x:c r="I146" s="5" t="inlineStr">
        <x:is>
          <x:t xml:space="preserve">Many:1</x:t>
        </x:is>
      </x:c>
      <x:c r="J146" s="5" t="n">
        <x:v>2</x:v>
      </x:c>
      <x:c r="K146" s="5" t="inlineStr">
        <x:is>
          <x:t xml:space="preserve">45 CFR § 164.308(a)(1)(ii)(B)</x:t>
        </x:is>
      </x:c>
      <x:c r="L146" s="5" t="inlineStr">
        <x:is>
          <x:t xml:space="preserve">Security Management Process — Risk Management</x:t>
        </x:is>
      </x:c>
      <x:c r="M146" s="5" t="n">
        <x:v>1</x:v>
      </x:c>
      <x:c r="N146" s="5" t="inlineStr">
        <x:is>
          <x:t xml:space="preserve">45 C.F.R. § 164.308(a)(1)(ii)(B)</x:t>
        </x:is>
      </x:c>
      <x:c r="O146" s="5" t="inlineStr">
        <x:is>
          <x:t xml:space="preserve">Security Management Process — Risk Management</x:t>
        </x:is>
      </x:c>
      <x:c r="P146" s="5" t="inlineStr">
        <x:is>
          <x:t xml:space="preserve">Implement security measures sufficient to reduce identified risks and vulnerabilities to a reasonable and appropriate level.</x:t>
        </x:is>
      </x:c>
      <x:c r="Q146" s="5" t="inlineStr">
        <x:is>
          <x:t xml:space="preserve">Required implementation specification</x:t>
        </x:is>
      </x:c>
      <x:c r="R146" s="5" t="inlineStr">
        <x:is>
          <x:t xml:space="preserve">Administrative Safeguards</x:t>
        </x:is>
      </x:c>
      <x:c r="S146" s="28" t="inlineStr">
        <x:is>
          <x:t xml:space="preserve">https://www.ecfr.gov/current/title-45/subtitle-A/subchapter-C/part-164/section-164.308</x:t>
        </x:is>
      </x:c>
      <x:c r="T146" s="28" t="inlineStr">
        <x:is>
          <x:t xml:space="preserve">https://www.hhs.gov/hipaa/for-professionals/security/guidance/guidance-risk-analysis/index.html</x:t>
        </x:is>
      </x:c>
      <x:c r="U146" s="5" t="inlineStr">
        <x:is>
          <x:t xml:space="preserve">Direct</x:t>
        </x:is>
      </x:c>
      <x:c r="V146" s="5" t="inlineStr">
        <x:is>
          <x:t xml:space="preserve">Control context aligns to reducing identified risks and vulnerabilities to a reasonable and appropriate level.</x:t>
        </x:is>
      </x:c>
      <x:c r="W146" s="5" t="inlineStr">
        <x:is>
          <x:t xml:space="preserve">Used for policy and operational rows focused on treatment/mitigation of identified risks.</x:t>
        </x:is>
      </x:c>
      <x:c r="X146" s="5" t="n"/>
    </x:row>
    <x:row r="147" ht="30" customHeight="1">
      <x:c r="A147" s="5" t="inlineStr">
        <x:is>
          <x:t xml:space="preserve">ER-41|REQ-17-HIPAA|1701.03a1Organizational.12345678|Risk Management</x:t>
        </x:is>
      </x:c>
      <x:c r="B147" s="5" t="inlineStr">
        <x:is>
          <x:t xml:space="preserve">HITRUST e1.csv</x:t>
        </x:is>
      </x:c>
      <x:c r="C147" s="5" t="inlineStr">
        <x:is>
          <x:t xml:space="preserve">ER-41</x:t>
        </x:is>
      </x:c>
      <x:c r="D147" s="5" t="inlineStr">
        <x:is>
          <x:t xml:space="preserve">Policy</x:t>
        </x:is>
      </x:c>
      <x:c r="E147" s="5" t="inlineStr">
        <x:is>
          <x:t xml:space="preserve">Risk Management</x:t>
        </x:is>
      </x:c>
      <x:c r="F147" s="5" t="inlineStr">
        <x:is>
          <x:t xml:space="preserve">REQ-17-HIPAA</x:t>
        </x:is>
      </x:c>
      <x:c r="G147" s="5" t="inlineStr">
        <x:is>
          <x:t xml:space="preserve">1701.03a1Organizational.12345678</x:t>
        </x:is>
      </x:c>
      <x:c r="H147" s="5" t="inlineStr">
        <x:is>
          <x:t xml:space="preserve">1701.03a1 Organizational.12345678</x:t>
        </x:is>
      </x:c>
      <x:c r="I147" s="5" t="inlineStr">
        <x:is>
          <x:t xml:space="preserve">Many:Many</x:t>
        </x:is>
      </x:c>
      <x:c r="J147" s="5" t="n">
        <x:v>1</x:v>
      </x:c>
      <x:c r="K147" s="5" t="inlineStr">
        <x:is>
          <x:t xml:space="preserve">45 CFR § 164.308(a)(1)(ii)(A)</x:t>
        </x:is>
      </x:c>
      <x:c r="L147" s="5" t="inlineStr">
        <x:is>
          <x:t xml:space="preserve">Security Management Process — Risk Analysis</x:t>
        </x:is>
      </x:c>
      <x:c r="M147" s="5" t="n">
        <x:v>1</x:v>
      </x:c>
      <x:c r="N147" s="5" t="inlineStr">
        <x:is>
          <x:t xml:space="preserve">45 C.F.R. § 164.308(a)(1)(ii)(A)</x:t>
        </x:is>
      </x:c>
      <x:c r="O147" s="5" t="inlineStr">
        <x:is>
          <x:t xml:space="preserve">Security Management Process — Risk Analysis</x:t>
        </x:is>
      </x:c>
      <x:c r="P147" s="5" t="inlineStr">
        <x:is>
          <x:t xml:space="preserve">Conduct an accurate and thorough assessment of the potential risks and vulnerabilities to the confidentiality, integrity, and availability of ePHI.</x:t>
        </x:is>
      </x:c>
      <x:c r="Q147" s="5" t="inlineStr">
        <x:is>
          <x:t xml:space="preserve">Required implementation specification</x:t>
        </x:is>
      </x:c>
      <x:c r="R147" s="5" t="inlineStr">
        <x:is>
          <x:t xml:space="preserve">Administrative Safeguards</x:t>
        </x:is>
      </x:c>
      <x:c r="S147" s="28" t="inlineStr">
        <x:is>
          <x:t xml:space="preserve">https://www.ecfr.gov/current/title-45/subtitle-A/subchapter-C/part-164/section-164.308</x:t>
        </x:is>
      </x:c>
      <x:c r="T147" s="28" t="inlineStr">
        <x:is>
          <x:t xml:space="preserve">https://www.hhs.gov/hipaa/for-professionals/security/guidance/guidance-risk-analysis/index.html</x:t>
        </x:is>
      </x:c>
      <x:c r="U147" s="5" t="inlineStr">
        <x:is>
          <x:t xml:space="preserve">Direct</x:t>
        </x:is>
      </x:c>
      <x:c r="V147" s="5" t="inlineStr">
        <x:is>
          <x:t xml:space="preserve">Control context aligns to identifying risks and vulnerabilities to ePHI.</x:t>
        </x:is>
      </x:c>
      <x:c r="W147" s="5" t="inlineStr">
        <x:is>
          <x:t xml:space="preserve">Risk analysis is the most direct HIPAA citation for assessment-oriented rows.</x:t>
        </x:is>
      </x:c>
      <x:c r="X147" s="5" t="n"/>
    </x:row>
    <x:row r="148" ht="30" customHeight="1">
      <x:c r="A148" s="5" t="inlineStr">
        <x:is>
          <x:t xml:space="preserve">ER-41|REQ-17-HIPAA|1704.03b1Organizational.12|Risk Management</x:t>
        </x:is>
      </x:c>
      <x:c r="B148" s="5" t="inlineStr">
        <x:is>
          <x:t xml:space="preserve">HITRUST e1.csv</x:t>
        </x:is>
      </x:c>
      <x:c r="C148" s="5" t="inlineStr">
        <x:is>
          <x:t xml:space="preserve">ER-41</x:t>
        </x:is>
      </x:c>
      <x:c r="D148" s="5" t="inlineStr">
        <x:is>
          <x:t xml:space="preserve">Policy</x:t>
        </x:is>
      </x:c>
      <x:c r="E148" s="5" t="inlineStr">
        <x:is>
          <x:t xml:space="preserve">Risk Management</x:t>
        </x:is>
      </x:c>
      <x:c r="F148" s="5" t="inlineStr">
        <x:is>
          <x:t xml:space="preserve">REQ-17-HIPAA</x:t>
        </x:is>
      </x:c>
      <x:c r="G148" s="5" t="inlineStr">
        <x:is>
          <x:t xml:space="preserve">1704.03b1Organizational.12</x:t>
        </x:is>
      </x:c>
      <x:c r="H148" s="5" t="inlineStr">
        <x:is>
          <x:t xml:space="preserve">1704.03b1 Organizational.12</x:t>
        </x:is>
      </x:c>
      <x:c r="I148" s="5" t="inlineStr">
        <x:is>
          <x:t xml:space="preserve">Many:Many</x:t>
        </x:is>
      </x:c>
      <x:c r="J148" s="5" t="n">
        <x:v>2</x:v>
      </x:c>
      <x:c r="K148" s="5" t="inlineStr">
        <x:is>
          <x:t xml:space="preserve">45 CFR § 164.308(a)(1)(ii)(A)</x:t>
        </x:is>
      </x:c>
      <x:c r="L148" s="5" t="inlineStr">
        <x:is>
          <x:t xml:space="preserve">Security Management Process — Risk Analysis</x:t>
        </x:is>
      </x:c>
      <x:c r="M148" s="5" t="n">
        <x:v>1</x:v>
      </x:c>
      <x:c r="N148" s="5" t="inlineStr">
        <x:is>
          <x:t xml:space="preserve">45 C.F.R. § 164.308(a)(1)(ii)(A)</x:t>
        </x:is>
      </x:c>
      <x:c r="O148" s="5" t="inlineStr">
        <x:is>
          <x:t xml:space="preserve">Security Management Process — Risk Analysis</x:t>
        </x:is>
      </x:c>
      <x:c r="P148" s="5" t="inlineStr">
        <x:is>
          <x:t xml:space="preserve">Conduct an accurate and thorough assessment of the potential risks and vulnerabilities to the confidentiality, integrity, and availability of ePHI.</x:t>
        </x:is>
      </x:c>
      <x:c r="Q148" s="5" t="inlineStr">
        <x:is>
          <x:t xml:space="preserve">Required implementation specification</x:t>
        </x:is>
      </x:c>
      <x:c r="R148" s="5" t="inlineStr">
        <x:is>
          <x:t xml:space="preserve">Administrative Safeguards</x:t>
        </x:is>
      </x:c>
      <x:c r="S148" s="28" t="inlineStr">
        <x:is>
          <x:t xml:space="preserve">https://www.ecfr.gov/current/title-45/subtitle-A/subchapter-C/part-164/section-164.308</x:t>
        </x:is>
      </x:c>
      <x:c r="T148" s="28" t="inlineStr">
        <x:is>
          <x:t xml:space="preserve">https://www.hhs.gov/hipaa/for-professionals/security/guidance/guidance-risk-analysis/index.html</x:t>
        </x:is>
      </x:c>
      <x:c r="U148" s="5" t="inlineStr">
        <x:is>
          <x:t xml:space="preserve">Direct</x:t>
        </x:is>
      </x:c>
      <x:c r="V148" s="5" t="inlineStr">
        <x:is>
          <x:t xml:space="preserve">Control context aligns to identifying risks and vulnerabilities to ePHI.</x:t>
        </x:is>
      </x:c>
      <x:c r="W148" s="5" t="inlineStr">
        <x:is>
          <x:t xml:space="preserve">Risk analysis is the most direct HIPAA citation for assessment-oriented rows.</x:t>
        </x:is>
      </x:c>
      <x:c r="X148" s="5" t="n"/>
    </x:row>
    <x:row r="149" ht="30" customHeight="1">
      <x:c r="A149" s="5" t="inlineStr">
        <x:is>
          <x:t xml:space="preserve">ER-41|REQ-20-HIPAA|1701.03a1Organizational.12345678|Risk Management</x:t>
        </x:is>
      </x:c>
      <x:c r="B149" s="5" t="inlineStr">
        <x:is>
          <x:t xml:space="preserve">HITRUST e1.csv</x:t>
        </x:is>
      </x:c>
      <x:c r="C149" s="5" t="inlineStr">
        <x:is>
          <x:t xml:space="preserve">ER-41</x:t>
        </x:is>
      </x:c>
      <x:c r="D149" s="5" t="inlineStr">
        <x:is>
          <x:t xml:space="preserve">Policy</x:t>
        </x:is>
      </x:c>
      <x:c r="E149" s="5" t="inlineStr">
        <x:is>
          <x:t xml:space="preserve">Risk Management</x:t>
        </x:is>
      </x:c>
      <x:c r="F149" s="5" t="inlineStr">
        <x:is>
          <x:t xml:space="preserve">REQ-20-HIPAA</x:t>
        </x:is>
      </x:c>
      <x:c r="G149" s="5" t="inlineStr">
        <x:is>
          <x:t xml:space="preserve">1701.03a1Organizational.12345678</x:t>
        </x:is>
      </x:c>
      <x:c r="H149" s="5" t="inlineStr">
        <x:is>
          <x:t xml:space="preserve">1701.03a1 Organizational.12345678</x:t>
        </x:is>
      </x:c>
      <x:c r="I149" s="5" t="inlineStr">
        <x:is>
          <x:t xml:space="preserve">Many:Many</x:t>
        </x:is>
      </x:c>
      <x:c r="J149" s="5" t="n">
        <x:v>1</x:v>
      </x:c>
      <x:c r="K149" s="5" t="inlineStr">
        <x:is>
          <x:t xml:space="preserve">45 CFR § 164.308(a)(1)(ii)(B)</x:t>
        </x:is>
      </x:c>
      <x:c r="L149" s="5" t="inlineStr">
        <x:is>
          <x:t xml:space="preserve">Security Management Process — Risk Management</x:t>
        </x:is>
      </x:c>
      <x:c r="M149" s="5" t="n">
        <x:v>1</x:v>
      </x:c>
      <x:c r="N149" s="5" t="inlineStr">
        <x:is>
          <x:t xml:space="preserve">45 C.F.R. § 164.308(a)(1)(ii)(B)</x:t>
        </x:is>
      </x:c>
      <x:c r="O149" s="5" t="inlineStr">
        <x:is>
          <x:t xml:space="preserve">Security Management Process — Risk Management</x:t>
        </x:is>
      </x:c>
      <x:c r="P149" s="5" t="inlineStr">
        <x:is>
          <x:t xml:space="preserve">Implement security measures sufficient to reduce identified risks and vulnerabilities to a reasonable and appropriate level.</x:t>
        </x:is>
      </x:c>
      <x:c r="Q149" s="5" t="inlineStr">
        <x:is>
          <x:t xml:space="preserve">Required implementation specification</x:t>
        </x:is>
      </x:c>
      <x:c r="R149" s="5" t="inlineStr">
        <x:is>
          <x:t xml:space="preserve">Administrative Safeguards</x:t>
        </x:is>
      </x:c>
      <x:c r="S149" s="28" t="inlineStr">
        <x:is>
          <x:t xml:space="preserve">https://www.ecfr.gov/current/title-45/subtitle-A/subchapter-C/part-164/section-164.308</x:t>
        </x:is>
      </x:c>
      <x:c r="T149" s="28" t="inlineStr">
        <x:is>
          <x:t xml:space="preserve">https://www.hhs.gov/hipaa/for-professionals/security/guidance/guidance-risk-analysis/index.html</x:t>
        </x:is>
      </x:c>
      <x:c r="U149" s="5" t="inlineStr">
        <x:is>
          <x:t xml:space="preserve">Direct</x:t>
        </x:is>
      </x:c>
      <x:c r="V149" s="5" t="inlineStr">
        <x:is>
          <x:t xml:space="preserve">Control context aligns to reducing identified risks and vulnerabilities to a reasonable and appropriate level.</x:t>
        </x:is>
      </x:c>
      <x:c r="W149" s="5" t="inlineStr">
        <x:is>
          <x:t xml:space="preserve">Used for policy and operational rows focused on treatment/mitigation of identified risks.</x:t>
        </x:is>
      </x:c>
      <x:c r="X149" s="5" t="n"/>
    </x:row>
    <x:row r="150" ht="30" customHeight="1">
      <x:c r="A150" s="5" t="inlineStr">
        <x:is>
          <x:t xml:space="preserve">ER-41|REQ-20-HIPAA|1704.03b1Organizational.12|Risk Management</x:t>
        </x:is>
      </x:c>
      <x:c r="B150" s="5" t="inlineStr">
        <x:is>
          <x:t xml:space="preserve">HITRUST e1.csv</x:t>
        </x:is>
      </x:c>
      <x:c r="C150" s="5" t="inlineStr">
        <x:is>
          <x:t xml:space="preserve">ER-41</x:t>
        </x:is>
      </x:c>
      <x:c r="D150" s="5" t="inlineStr">
        <x:is>
          <x:t xml:space="preserve">Policy</x:t>
        </x:is>
      </x:c>
      <x:c r="E150" s="5" t="inlineStr">
        <x:is>
          <x:t xml:space="preserve">Risk Management</x:t>
        </x:is>
      </x:c>
      <x:c r="F150" s="5" t="inlineStr">
        <x:is>
          <x:t xml:space="preserve">REQ-20-HIPAA</x:t>
        </x:is>
      </x:c>
      <x:c r="G150" s="5" t="inlineStr">
        <x:is>
          <x:t xml:space="preserve">1704.03b1Organizational.12</x:t>
        </x:is>
      </x:c>
      <x:c r="H150" s="5" t="inlineStr">
        <x:is>
          <x:t xml:space="preserve">1704.03b1 Organizational.12</x:t>
        </x:is>
      </x:c>
      <x:c r="I150" s="5" t="inlineStr">
        <x:is>
          <x:t xml:space="preserve">Many:Many</x:t>
        </x:is>
      </x:c>
      <x:c r="J150" s="5" t="n">
        <x:v>2</x:v>
      </x:c>
      <x:c r="K150" s="5" t="inlineStr">
        <x:is>
          <x:t xml:space="preserve">45 CFR § 164.308(a)(1)(ii)(B)</x:t>
        </x:is>
      </x:c>
      <x:c r="L150" s="5" t="inlineStr">
        <x:is>
          <x:t xml:space="preserve">Security Management Process — Risk Management</x:t>
        </x:is>
      </x:c>
      <x:c r="M150" s="5" t="n">
        <x:v>1</x:v>
      </x:c>
      <x:c r="N150" s="5" t="inlineStr">
        <x:is>
          <x:t xml:space="preserve">45 C.F.R. § 164.308(a)(1)(ii)(B)</x:t>
        </x:is>
      </x:c>
      <x:c r="O150" s="5" t="inlineStr">
        <x:is>
          <x:t xml:space="preserve">Security Management Process — Risk Management</x:t>
        </x:is>
      </x:c>
      <x:c r="P150" s="5" t="inlineStr">
        <x:is>
          <x:t xml:space="preserve">Implement security measures sufficient to reduce identified risks and vulnerabilities to a reasonable and appropriate level.</x:t>
        </x:is>
      </x:c>
      <x:c r="Q150" s="5" t="inlineStr">
        <x:is>
          <x:t xml:space="preserve">Required implementation specification</x:t>
        </x:is>
      </x:c>
      <x:c r="R150" s="5" t="inlineStr">
        <x:is>
          <x:t xml:space="preserve">Administrative Safeguards</x:t>
        </x:is>
      </x:c>
      <x:c r="S150" s="28" t="inlineStr">
        <x:is>
          <x:t xml:space="preserve">https://www.ecfr.gov/current/title-45/subtitle-A/subchapter-C/part-164/section-164.308</x:t>
        </x:is>
      </x:c>
      <x:c r="T150" s="28" t="inlineStr">
        <x:is>
          <x:t xml:space="preserve">https://www.hhs.gov/hipaa/for-professionals/security/guidance/guidance-risk-analysis/index.html</x:t>
        </x:is>
      </x:c>
      <x:c r="U150" s="5" t="inlineStr">
        <x:is>
          <x:t xml:space="preserve">Direct</x:t>
        </x:is>
      </x:c>
      <x:c r="V150" s="5" t="inlineStr">
        <x:is>
          <x:t xml:space="preserve">Control context aligns to reducing identified risks and vulnerabilities to a reasonable and appropriate level.</x:t>
        </x:is>
      </x:c>
      <x:c r="W150" s="5" t="inlineStr">
        <x:is>
          <x:t xml:space="preserve">Used for policy and operational rows focused on treatment/mitigation of identified risks.</x:t>
        </x:is>
      </x:c>
      <x:c r="X150" s="5" t="n"/>
    </x:row>
    <x:row r="151" ht="30" customHeight="1">
      <x:c r="A151" s="5" t="inlineStr">
        <x:is>
          <x:t xml:space="preserve">ER-62|REQ-55-HIPAA|06.09b1System.2|Software/Infrastructure Production Change Ticket</x:t>
        </x:is>
      </x:c>
      <x:c r="B151" s="5" t="inlineStr">
        <x:is>
          <x:t xml:space="preserve">HITRUST e1.csv</x:t>
        </x:is>
      </x:c>
      <x:c r="C151" s="5" t="inlineStr">
        <x:is>
          <x:t xml:space="preserve">ER-62</x:t>
        </x:is>
      </x:c>
      <x:c r="D151" s="5" t="inlineStr">
        <x:is>
          <x:t xml:space="preserve">Sample</x:t>
        </x:is>
      </x:c>
      <x:c r="E151" s="5" t="inlineStr">
        <x:is>
          <x:t xml:space="preserve">Software/Infrastructure Production Change Ticket</x:t>
        </x:is>
      </x:c>
      <x:c r="F151" s="5" t="inlineStr">
        <x:is>
          <x:t xml:space="preserve">REQ-55-HIPAA</x:t>
        </x:is>
      </x:c>
      <x:c r="G151" s="5" t="inlineStr">
        <x:is>
          <x:t xml:space="preserve">06.09b1System.2</x:t>
        </x:is>
      </x:c>
      <x:c r="H151" s="5" t="inlineStr">
        <x:is>
          <x:t xml:space="preserve">06.09b1 System.2</x:t>
        </x:is>
      </x:c>
      <x:c r="I151" s="5" t="inlineStr">
        <x:is>
          <x:t xml:space="preserve">1:1</x:t>
        </x:is>
      </x:c>
      <x:c r="J151" s="5" t="n">
        <x:v>2</x:v>
      </x:c>
      <x:c r="K151" s="5" t="inlineStr">
        <x:is>
          <x:t xml:space="preserve">45 CFR § 164.308(a)(8); 45 CFR § 164.316(b)(1)</x:t>
        </x:is>
      </x:c>
      <x:c r="L151" s="5" t="inlineStr">
        <x:is>
          <x:t xml:space="preserve">Evaluation; Documentation</x:t>
        </x:is>
      </x:c>
      <x:c r="M151" s="5" t="n">
        <x:v>1</x:v>
      </x:c>
      <x:c r="N151" s="5" t="inlineStr">
        <x:is>
          <x:t xml:space="preserve">45 C.F.R. § 164.308(a)(8)</x:t>
        </x:is>
      </x:c>
      <x:c r="O151" s="5" t="inlineStr">
        <x:is>
          <x:t xml:space="preserve">Evaluation</x:t>
        </x:is>
      </x:c>
      <x:c r="P151" s="5" t="inlineStr">
        <x:is>
          <x:t xml:space="preserve">Perform periodic technical and nontechnical evaluations, and repeat them in response to environmental or operational changes affecting the security of ePHI.</x:t>
        </x:is>
      </x:c>
      <x:c r="Q151" s="5" t="inlineStr">
        <x:is>
          <x:t xml:space="preserve">Required standard</x:t>
        </x:is>
      </x:c>
      <x:c r="R151" s="5" t="inlineStr">
        <x:is>
          <x:t xml:space="preserve">Administrative Safeguards</x:t>
        </x:is>
      </x:c>
      <x:c r="S151" s="28" t="inlineStr">
        <x:is>
          <x:t xml:space="preserve">https://www.ecfr.gov/current/title-45/subtitle-A/subchapter-C/part-164/section-164.308</x:t>
        </x:is>
      </x:c>
      <x:c r="T151" s="28" t="inlineStr">
        <x:is>
          <x:t xml:space="preserve">https://www.hhs.gov/ocr/privacy/hipaa/administrative/securityrule/index.html</x:t>
        </x:is>
      </x:c>
      <x:c r="U151" s="5" t="inlineStr">
        <x:is>
          <x:t xml:space="preserve">Best-fit composite</x:t>
        </x:is>
      </x:c>
      <x:c r="V151" s="5" t="inlineStr">
        <x:is>
          <x:t xml:space="preserve">Production-change tickets/population evidence are not a named HIPAA specification, but they are strong evidence of evaluating and documenting operational changes affecting ePHI safeguards.</x:t>
        </x:is>
      </x:c>
      <x:c r="W151" s="5" t="inlineStr">
        <x:is>
          <x:t xml:space="preserve">Best-fit evidence mapping; HIPAA does not mandate a particular ticketing mechanism.</x:t>
        </x:is>
      </x:c>
      <x:c r="X151" s="5" t="n"/>
    </x:row>
    <x:row r="152" ht="30" customHeight="1">
      <x:c r="A152" s="5" t="inlineStr">
        <x:is>
          <x:t xml:space="preserve">ER-62|REQ-55-HIPAA|06.09b1System.2|Software/Infrastructure Production Change Ticket</x:t>
        </x:is>
      </x:c>
      <x:c r="B152" s="5" t="inlineStr">
        <x:is>
          <x:t xml:space="preserve">HITRUST e1.csv</x:t>
        </x:is>
      </x:c>
      <x:c r="C152" s="5" t="inlineStr">
        <x:is>
          <x:t xml:space="preserve">ER-62</x:t>
        </x:is>
      </x:c>
      <x:c r="D152" s="5" t="inlineStr">
        <x:is>
          <x:t xml:space="preserve">Sample</x:t>
        </x:is>
      </x:c>
      <x:c r="E152" s="5" t="inlineStr">
        <x:is>
          <x:t xml:space="preserve">Software/Infrastructure Production Change Ticket</x:t>
        </x:is>
      </x:c>
      <x:c r="F152" s="5" t="inlineStr">
        <x:is>
          <x:t xml:space="preserve">REQ-55-HIPAA</x:t>
        </x:is>
      </x:c>
      <x:c r="G152" s="5" t="inlineStr">
        <x:is>
          <x:t xml:space="preserve">06.09b1System.2</x:t>
        </x:is>
      </x:c>
      <x:c r="H152" s="5" t="inlineStr">
        <x:is>
          <x:t xml:space="preserve">06.09b1 System.2</x:t>
        </x:is>
      </x:c>
      <x:c r="I152" s="5" t="inlineStr">
        <x:is>
          <x:t xml:space="preserve">1:1</x:t>
        </x:is>
      </x:c>
      <x:c r="J152" s="5" t="n">
        <x:v>2</x:v>
      </x:c>
      <x:c r="K152" s="5" t="inlineStr">
        <x:is>
          <x:t xml:space="preserve">45 CFR § 164.308(a)(8); 45 CFR § 164.316(b)(1)</x:t>
        </x:is>
      </x:c>
      <x:c r="L152" s="5" t="inlineStr">
        <x:is>
          <x:t xml:space="preserve">Evaluation; Documentation</x:t>
        </x:is>
      </x:c>
      <x:c r="M152" s="5" t="n">
        <x:v>2</x:v>
      </x:c>
      <x:c r="N152" s="5" t="inlineStr">
        <x:is>
          <x:t xml:space="preserve">45 C.F.R. § 164.316(b)(1)</x:t>
        </x:is>
      </x:c>
      <x:c r="O152" s="5" t="inlineStr">
        <x:is>
          <x:t xml:space="preserve">Documentation</x:t>
        </x:is>
      </x:c>
      <x:c r="P152" s="5" t="inlineStr">
        <x:is>
          <x:t xml:space="preserve">Maintain written or electronic policies and procedures implemented to comply with the Security Rule and written or electronic records of required actions, activities, and assessments.</x:t>
        </x:is>
      </x:c>
      <x:c r="Q152" s="5" t="inlineStr">
        <x:is>
          <x:t xml:space="preserve">Standard</x:t>
        </x:is>
      </x:c>
      <x:c r="R152" s="5" t="inlineStr">
        <x:is>
          <x:t xml:space="preserve">Policies / Documentation</x:t>
        </x:is>
      </x:c>
      <x:c r="S152" s="28" t="inlineStr">
        <x:is>
          <x:t xml:space="preserve">https://www.ecfr.gov/current/title-45/subtitle-A/subchapter-C/part-164/section-164.316</x:t>
        </x:is>
      </x:c>
      <x:c r="T152" s="28" t="inlineStr">
        <x:is>
          <x:t xml:space="preserve">https://www.hhs.gov/sites/default/files/ocr/privacy/hipaa/administrative/securityrule/pprequirements.pdf</x:t>
        </x:is>
      </x:c>
      <x:c r="U152" s="5" t="inlineStr">
        <x:is>
          <x:t xml:space="preserve">Best-fit composite</x:t>
        </x:is>
      </x:c>
      <x:c r="V152" s="5" t="inlineStr">
        <x:is>
          <x:t xml:space="preserve">Production-change tickets/population evidence are not a named HIPAA specification, but they are strong evidence of evaluating and documenting operational changes affecting ePHI safeguards.</x:t>
        </x:is>
      </x:c>
      <x:c r="W152" s="5" t="inlineStr">
        <x:is>
          <x:t xml:space="preserve">Best-fit evidence mapping; HIPAA does not mandate a particular ticketing mechanism.</x:t>
        </x:is>
      </x:c>
      <x:c r="X152" s="5" t="n"/>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0" customWidth="1"/>
    <x:col min="2" max="2" width="14" customWidth="1"/>
    <x:col min="3" max="3" width="15" customWidth="1"/>
    <x:col min="4" max="4" width="40" customWidth="1"/>
    <x:col min="5" max="5" width="28" customWidth="1"/>
    <x:col min="6" max="6" width="21" customWidth="1"/>
    <x:col min="7" max="7" width="28" customWidth="1"/>
    <x:col min="8" max="8" width="23" customWidth="1"/>
    <x:col min="9" max="9" width="14" customWidth="1"/>
    <x:col min="10" max="10" width="60" customWidth="1"/>
    <x:col min="11" max="11" width="60" customWidth="1"/>
    <x:col min="12" max="12" width="60" customWidth="1"/>
    <x:col min="13" max="13" width="42" customWidth="1"/>
    <x:col min="14" max="14" width="60" customWidth="1"/>
    <x:col min="15" max="15" width="45" customWidth="1"/>
    <x:col min="16" max="16" width="60" customWidth="1"/>
    <x:col min="17" max="17" width="17" customWidth="1"/>
    <x:col min="18" max="18" width="28" customWidth="1"/>
    <x:col min="19" max="19" width="28" customWidth="1"/>
    <x:col min="20" max="20" width="28" customWidth="1"/>
    <x:col min="21" max="21" width="28" customWidth="1"/>
    <x:col min="22" max="22" width="28" customWidth="1"/>
    <x:col min="23" max="23" width="28" customWidth="1"/>
    <x:col min="24" max="24" width="28" customWidth="1"/>
    <x:col min="25" max="25" width="28" customWidth="1"/>
    <x:col min="26" max="26" width="25" customWidth="1"/>
    <x:col min="27" max="27" width="60" customWidth="1"/>
    <x:col min="28" max="28" width="28" customWidth="1"/>
    <x:col min="29" max="29" width="32" customWidth="1"/>
    <x:col min="30" max="30" width="60" customWidth="1"/>
    <x:col min="31" max="31" width="32" customWidth="1"/>
    <x:col min="32" max="32" width="27" customWidth="1"/>
    <x:col min="33" max="33" width="45" customWidth="1"/>
    <x:col min="34" max="34" width="45" customWidth="1"/>
    <x:col min="35" max="35" width="17" customWidth="1"/>
    <x:col min="36" max="36" width="28" customWidth="1"/>
    <x:col min="37" max="37" width="32" customWidth="1"/>
    <x:col min="38" max="38" width="60" customWidth="1"/>
    <x:col min="39" max="39" width="32" customWidth="1"/>
    <x:col min="40" max="40" width="27" customWidth="1"/>
    <x:col min="41" max="41" width="45" customWidth="1"/>
    <x:col min="42" max="42" width="45" customWidth="1"/>
    <x:col min="43" max="43" width="17" customWidth="1"/>
    <x:col min="44" max="44" width="28" customWidth="1"/>
    <x:col min="45" max="45" width="28" customWidth="1"/>
    <x:col min="46" max="46" width="27" customWidth="1"/>
    <x:col min="47" max="47" width="28" customWidth="1"/>
    <x:col min="48" max="48" width="22" customWidth="1"/>
    <x:col min="49" max="49" width="28" customWidth="1"/>
    <x:col min="50" max="50" width="28" customWidth="1"/>
    <x:col min="51" max="51" width="28" customWidth="1"/>
    <x:col min="52" max="52" width="17" customWidth="1"/>
    <x:col min="53" max="53" width="28" customWidth="1"/>
    <x:col min="54" max="54" width="32" customWidth="1"/>
    <x:col min="55" max="55" width="60" customWidth="1"/>
    <x:col min="56" max="56" width="32" customWidth="1"/>
    <x:col min="57" max="57" width="27" customWidth="1"/>
    <x:col min="58" max="58" width="45" customWidth="1"/>
    <x:col min="59" max="59" width="45" customWidth="1"/>
    <x:col min="60" max="60" width="28" customWidth="1"/>
    <x:col min="61" max="61" width="32" customWidth="1"/>
    <x:col min="62" max="62" width="60" customWidth="1"/>
    <x:col min="63" max="63" width="32" customWidth="1"/>
    <x:col min="64" max="64" width="27" customWidth="1"/>
    <x:col min="65" max="65" width="45" customWidth="1"/>
    <x:col min="66" max="66" width="45" customWidth="1"/>
    <x:col min="67" max="67" width="28" customWidth="1"/>
    <x:col min="68" max="68" width="32" customWidth="1"/>
    <x:col min="69" max="69" width="60" customWidth="1"/>
    <x:col min="70" max="70" width="32" customWidth="1"/>
    <x:col min="71" max="71" width="27" customWidth="1"/>
    <x:col min="72" max="72" width="45" customWidth="1"/>
    <x:col min="73" max="73" width="45" customWidth="1"/>
  </x:cols>
  <x:sheetData>
    <x:row r="1" ht="30" customHeight="1">
      <x:c r="A1" s="11" t="inlineStr">
        <x:is>
          <x:t xml:space="preserve">Source File</x:t>
        </x:is>
      </x:c>
      <x:c r="B1" s="11" t="inlineStr">
        <x:is>
          <x:t xml:space="preserve">Reference ID</x:t>
        </x:is>
      </x:c>
      <x:c r="C1" s="11" t="inlineStr">
        <x:is>
          <x:t xml:space="preserve">Category</x:t>
        </x:is>
      </x:c>
      <x:c r="D1" s="11" t="inlineStr">
        <x:is>
          <x:t xml:space="preserve">Action Item</x:t>
        </x:is>
      </x:c>
      <x:c r="E1" s="11" t="inlineStr">
        <x:is>
          <x:t xml:space="preserve">HIPAA Controls</x:t>
        </x:is>
      </x:c>
      <x:c r="F1" s="11" t="inlineStr">
        <x:is>
          <x:t xml:space="preserve">HIPAA Control Count</x:t>
        </x:is>
      </x:c>
      <x:c r="G1" s="11" t="inlineStr">
        <x:is>
          <x:t xml:space="preserve">HITRUST e1 Controls</x:t>
        </x:is>
      </x:c>
      <x:c r="H1" s="11" t="inlineStr">
        <x:is>
          <x:t xml:space="preserve">HITRUST Control Count</x:t>
        </x:is>
      </x:c>
      <x:c r="I1" s="11" t="inlineStr">
        <x:is>
          <x:t xml:space="preserve">Mapping Type</x:t>
        </x:is>
      </x:c>
      <x:c r="J1" s="11" t="inlineStr">
        <x:is>
          <x:t xml:space="preserve">Overlap Notes</x:t>
        </x:is>
      </x:c>
      <x:c r="K1" s="11" t="inlineStr">
        <x:is>
          <x:t xml:space="preserve">HIPAA 45 CFR Citation(s)</x:t>
        </x:is>
      </x:c>
      <x:c r="L1" s="11" t="inlineStr">
        <x:is>
          <x:t xml:space="preserve">HIPAA Standard / Spec</x:t>
        </x:is>
      </x:c>
      <x:c r="M1" s="11" t="inlineStr">
        <x:is>
          <x:t xml:space="preserve">45 CFR Mapping Confidence</x:t>
        </x:is>
      </x:c>
      <x:c r="N1" s="11" t="inlineStr">
        <x:is>
          <x:t xml:space="preserve">45 CFR Mapping Basis</x:t>
        </x:is>
      </x:c>
      <x:c r="O1" s="11" t="inlineStr">
        <x:is>
          <x:t xml:space="preserve">Authoritative Public Source URL(s)</x:t>
        </x:is>
      </x:c>
      <x:c r="P1" s="11" t="inlineStr">
        <x:is>
          <x:t xml:space="preserve">45 CFR Notes</x:t>
        </x:is>
      </x:c>
      <x:c r="Q1" s="11" t="inlineStr">
        <x:is>
          <x:t xml:space="preserve">HIPAA_Control_1</x:t>
        </x:is>
      </x:c>
      <x:c r="R1" s="11" t="inlineStr">
        <x:is>
          <x:t xml:space="preserve">HITRUST_e1_Control_1</x:t>
        </x:is>
      </x:c>
      <x:c r="S1" s="11" t="inlineStr">
        <x:is>
          <x:t xml:space="preserve">HITRUST_e1_Control_Display_1</x:t>
        </x:is>
      </x:c>
      <x:c r="T1" s="11" t="inlineStr">
        <x:is>
          <x:t xml:space="preserve">HITRUST_e1_Control_2</x:t>
        </x:is>
      </x:c>
      <x:c r="U1" s="11" t="inlineStr">
        <x:is>
          <x:t xml:space="preserve">HITRUST_e1_Control_Display_2</x:t>
        </x:is>
      </x:c>
      <x:c r="V1" s="11" t="inlineStr">
        <x:is>
          <x:t xml:space="preserve">HITRUST_e1_Control_3</x:t>
        </x:is>
      </x:c>
      <x:c r="W1" s="11" t="inlineStr">
        <x:is>
          <x:t xml:space="preserve">HITRUST_e1_Control_Display_3</x:t>
        </x:is>
      </x:c>
      <x:c r="X1" s="11" t="inlineStr">
        <x:is>
          <x:t xml:space="preserve">HITRUST_e1_Control_4</x:t>
        </x:is>
      </x:c>
      <x:c r="Y1" s="11" t="inlineStr">
        <x:is>
          <x:t xml:space="preserve">HITRUST_e1_Control_Display_4</x:t>
        </x:is>
      </x:c>
      <x:c r="Z1" s="11" t="inlineStr">
        <x:is>
          <x:t xml:space="preserve">Official Citation Count</x:t>
        </x:is>
      </x:c>
      <x:c r="AA1" s="11" t="inlineStr">
        <x:is>
          <x:t xml:space="preserve">Official Citation Adjustment Notes</x:t>
        </x:is>
      </x:c>
      <x:c r="AB1" s="11" t="inlineStr">
        <x:is>
          <x:t xml:space="preserve">45_CFR_Citation_1</x:t>
        </x:is>
      </x:c>
      <x:c r="AC1" s="11" t="inlineStr">
        <x:is>
          <x:t xml:space="preserve">HIPAA_Requirement_Title_1</x:t>
        </x:is>
      </x:c>
      <x:c r="AD1" s="11" t="inlineStr">
        <x:is>
          <x:t xml:space="preserve">HIPAA_Requirement_Summary_1</x:t>
        </x:is>
      </x:c>
      <x:c r="AE1" s="11" t="inlineStr">
        <x:is>
          <x:t xml:space="preserve">Implementation_Type_1</x:t>
        </x:is>
      </x:c>
      <x:c r="AF1" s="11" t="inlineStr">
        <x:is>
          <x:t xml:space="preserve">Safeguard_Family_1</x:t>
        </x:is>
      </x:c>
      <x:c r="AG1" s="11" t="inlineStr">
        <x:is>
          <x:t xml:space="preserve">Official_Section_URL_1</x:t>
        </x:is>
      </x:c>
      <x:c r="AH1" s="11" t="inlineStr">
        <x:is>
          <x:t xml:space="preserve">Official_Support_URL_1</x:t>
        </x:is>
      </x:c>
      <x:c r="AI1" s="11" t="inlineStr">
        <x:is>
          <x:t xml:space="preserve">HIPAA_Control_2</x:t>
        </x:is>
      </x:c>
      <x:c r="AJ1" s="11" t="inlineStr">
        <x:is>
          <x:t xml:space="preserve">45_CFR_Citation_2</x:t>
        </x:is>
      </x:c>
      <x:c r="AK1" s="11" t="inlineStr">
        <x:is>
          <x:t xml:space="preserve">HIPAA_Requirement_Title_2</x:t>
        </x:is>
      </x:c>
      <x:c r="AL1" s="11" t="inlineStr">
        <x:is>
          <x:t xml:space="preserve">HIPAA_Requirement_Summary_2</x:t>
        </x:is>
      </x:c>
      <x:c r="AM1" s="11" t="inlineStr">
        <x:is>
          <x:t xml:space="preserve">Implementation_Type_2</x:t>
        </x:is>
      </x:c>
      <x:c r="AN1" s="11" t="inlineStr">
        <x:is>
          <x:t xml:space="preserve">Safeguard_Family_2</x:t>
        </x:is>
      </x:c>
      <x:c r="AO1" s="11" t="inlineStr">
        <x:is>
          <x:t xml:space="preserve">Official_Section_URL_2</x:t>
        </x:is>
      </x:c>
      <x:c r="AP1" s="11" t="inlineStr">
        <x:is>
          <x:t xml:space="preserve">Official_Support_URL_2</x:t>
        </x:is>
      </x:c>
      <x:c r="AQ1" s="11" t="inlineStr">
        <x:is>
          <x:t xml:space="preserve">HIPAA_Control_3</x:t>
        </x:is>
      </x:c>
      <x:c r="AR1" s="11" t="inlineStr">
        <x:is>
          <x:t xml:space="preserve">HITRUST_e1_Control_5</x:t>
        </x:is>
      </x:c>
      <x:c r="AS1" s="11" t="inlineStr">
        <x:is>
          <x:t xml:space="preserve">HITRUST_e1_Control_Display_5</x:t>
        </x:is>
      </x:c>
      <x:c r="AT1" s="11" t="inlineStr">
        <x:is>
          <x:t xml:space="preserve">HITRUST_e1_Control_6</x:t>
        </x:is>
      </x:c>
      <x:c r="AU1" s="11" t="inlineStr">
        <x:is>
          <x:t xml:space="preserve">HITRUST_e1_Control_Display_6</x:t>
        </x:is>
      </x:c>
      <x:c r="AV1" s="11" t="inlineStr">
        <x:is>
          <x:t xml:space="preserve">HITRUST_e1_Control_7</x:t>
        </x:is>
      </x:c>
      <x:c r="AW1" s="11" t="inlineStr">
        <x:is>
          <x:t xml:space="preserve">HITRUST_e1_Control_Display_7</x:t>
        </x:is>
      </x:c>
      <x:c r="AX1" s="11" t="inlineStr">
        <x:is>
          <x:t xml:space="preserve">HITRUST_e1_Control_8</x:t>
        </x:is>
      </x:c>
      <x:c r="AY1" s="11" t="inlineStr">
        <x:is>
          <x:t xml:space="preserve">HITRUST_e1_Control_Display_8</x:t>
        </x:is>
      </x:c>
      <x:c r="AZ1" s="11" t="inlineStr">
        <x:is>
          <x:t xml:space="preserve">HIPAA_Control_4</x:t>
        </x:is>
      </x:c>
      <x:c r="BA1" s="11" t="inlineStr">
        <x:is>
          <x:t xml:space="preserve">45_CFR_Citation_3</x:t>
        </x:is>
      </x:c>
      <x:c r="BB1" s="11" t="inlineStr">
        <x:is>
          <x:t xml:space="preserve">HIPAA_Requirement_Title_3</x:t>
        </x:is>
      </x:c>
      <x:c r="BC1" s="11" t="inlineStr">
        <x:is>
          <x:t xml:space="preserve">HIPAA_Requirement_Summary_3</x:t>
        </x:is>
      </x:c>
      <x:c r="BD1" s="11" t="inlineStr">
        <x:is>
          <x:t xml:space="preserve">Implementation_Type_3</x:t>
        </x:is>
      </x:c>
      <x:c r="BE1" s="11" t="inlineStr">
        <x:is>
          <x:t xml:space="preserve">Safeguard_Family_3</x:t>
        </x:is>
      </x:c>
      <x:c r="BF1" s="11" t="inlineStr">
        <x:is>
          <x:t xml:space="preserve">Official_Section_URL_3</x:t>
        </x:is>
      </x:c>
      <x:c r="BG1" s="11" t="inlineStr">
        <x:is>
          <x:t xml:space="preserve">Official_Support_URL_3</x:t>
        </x:is>
      </x:c>
      <x:c r="BH1" s="11" t="inlineStr">
        <x:is>
          <x:t xml:space="preserve">45_CFR_Citation_4</x:t>
        </x:is>
      </x:c>
      <x:c r="BI1" s="11" t="inlineStr">
        <x:is>
          <x:t xml:space="preserve">HIPAA_Requirement_Title_4</x:t>
        </x:is>
      </x:c>
      <x:c r="BJ1" s="11" t="inlineStr">
        <x:is>
          <x:t xml:space="preserve">HIPAA_Requirement_Summary_4</x:t>
        </x:is>
      </x:c>
      <x:c r="BK1" s="11" t="inlineStr">
        <x:is>
          <x:t xml:space="preserve">Implementation_Type_4</x:t>
        </x:is>
      </x:c>
      <x:c r="BL1" s="11" t="inlineStr">
        <x:is>
          <x:t xml:space="preserve">Safeguard_Family_4</x:t>
        </x:is>
      </x:c>
      <x:c r="BM1" s="11" t="inlineStr">
        <x:is>
          <x:t xml:space="preserve">Official_Section_URL_4</x:t>
        </x:is>
      </x:c>
      <x:c r="BN1" s="11" t="inlineStr">
        <x:is>
          <x:t xml:space="preserve">Official_Support_URL_4</x:t>
        </x:is>
      </x:c>
      <x:c r="BO1" s="11" t="inlineStr">
        <x:is>
          <x:t xml:space="preserve">45_CFR_Citation_5</x:t>
        </x:is>
      </x:c>
      <x:c r="BP1" s="11" t="inlineStr">
        <x:is>
          <x:t xml:space="preserve">HIPAA_Requirement_Title_5</x:t>
        </x:is>
      </x:c>
      <x:c r="BQ1" s="11" t="inlineStr">
        <x:is>
          <x:t xml:space="preserve">HIPAA_Requirement_Summary_5</x:t>
        </x:is>
      </x:c>
      <x:c r="BR1" s="11" t="inlineStr">
        <x:is>
          <x:t xml:space="preserve">Implementation_Type_5</x:t>
        </x:is>
      </x:c>
      <x:c r="BS1" s="11" t="inlineStr">
        <x:is>
          <x:t xml:space="preserve">Safeguard_Family_5</x:t>
        </x:is>
      </x:c>
      <x:c r="BT1" s="11" t="inlineStr">
        <x:is>
          <x:t xml:space="preserve">Official_Section_URL_5</x:t>
        </x:is>
      </x:c>
      <x:c r="BU1" s="11" t="inlineStr">
        <x:is>
          <x:t xml:space="preserve">Official_Support_URL_5</x:t>
        </x:is>
      </x:c>
    </x:row>
    <x:row r="2" ht="30" customHeight="1">
      <x:c r="A2" s="5" t="inlineStr">
        <x:is>
          <x:t xml:space="preserve">HITRUST e1.csv</x:t>
        </x:is>
      </x:c>
      <x:c r="B2" s="5" t="inlineStr">
        <x:is>
          <x:t xml:space="preserve">ER-18</x:t>
        </x:is>
      </x:c>
      <x:c r="C2" s="5" t="inlineStr">
        <x:is>
          <x:t xml:space="preserve">Configuration</x:t>
        </x:is>
      </x:c>
      <x:c r="D2" s="5" t="inlineStr">
        <x:is>
          <x:t xml:space="preserve">Anti-malware and Alerts</x:t>
        </x:is>
      </x:c>
      <x:c r="E2" s="5" t="inlineStr">
        <x:is>
          <x:t xml:space="preserve">REQ-38-HIPAA</x:t>
        </x:is>
      </x:c>
      <x:c r="F2" s="5" t="n">
        <x:v>1</x:v>
      </x:c>
      <x:c r="G2" s="5" t="inlineStr">
        <x:is>
          <x:t xml:space="preserve">0226.09k1Organizational.2, 08.09m1Organizational.8, 02962.09j1Organizational.5, 0207.09j1Organizational.6</x:t>
        </x:is>
      </x:c>
      <x:c r="H2" s="5" t="n">
        <x:v>4</x:v>
      </x:c>
      <x:c r="I2" s="5" t="inlineStr">
        <x:is>
          <x:t xml:space="preserve">1:Many</x:t>
        </x:is>
      </x:c>
      <x:c r="J2" s="5" t="inlineStr">
        <x:is>
          <x:t xml:space="preserve">One HIPAA local control decomposes into multiple HITRUST e1 controls in this action item.</x:t>
        </x:is>
      </x:c>
      <x:c r="K2" s="5" t="inlineStr">
        <x:is>
          <x:t xml:space="preserve">45 CFR § 164.308(a)(5)(ii)(B)</x:t>
        </x:is>
      </x:c>
      <x:c r="L2" s="5" t="inlineStr">
        <x:is>
          <x:t xml:space="preserve">Security Awareness and Training — Protection from Malicious Software</x:t>
        </x:is>
      </x:c>
      <x:c r="M2" s="5" t="inlineStr">
        <x:is>
          <x:t xml:space="preserve">Direct</x:t>
        </x:is>
      </x:c>
      <x:c r="N2" s="5" t="inlineStr">
        <x:is>
          <x:t xml:space="preserve">Anti-malware evidence aligns directly to guarding against, detecting, and reporting malicious software.</x:t>
        </x:is>
      </x:c>
      <x:c r="O2"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P2" s="5" t="inlineStr">
        <x:is>
          <x:t xml:space="preserve">Alerts are treated as part of guarding against/detecting malicious software.</x:t>
        </x:is>
      </x:c>
      <x:c r="Q2" s="5" t="inlineStr">
        <x:is>
          <x:t xml:space="preserve">REQ-38-HIPAA</x:t>
        </x:is>
      </x:c>
      <x:c r="R2" s="5" t="inlineStr">
        <x:is>
          <x:t xml:space="preserve">0226.09k1Organizational.2</x:t>
        </x:is>
      </x:c>
      <x:c r="S2" s="5" t="inlineStr">
        <x:is>
          <x:t xml:space="preserve">0226.09k1 Organizational.2</x:t>
        </x:is>
      </x:c>
      <x:c r="T2" s="5" t="inlineStr">
        <x:is>
          <x:t xml:space="preserve">08.09m1Organizational.8</x:t>
        </x:is>
      </x:c>
      <x:c r="U2" s="5" t="inlineStr">
        <x:is>
          <x:t xml:space="preserve">08.09m1 Organizational.8</x:t>
        </x:is>
      </x:c>
      <x:c r="V2" s="5" t="inlineStr">
        <x:is>
          <x:t xml:space="preserve">02962.09j1Organizational.5</x:t>
        </x:is>
      </x:c>
      <x:c r="W2" s="5" t="inlineStr">
        <x:is>
          <x:t xml:space="preserve">02962.09j1 Organizational.5</x:t>
        </x:is>
      </x:c>
      <x:c r="X2" s="5" t="inlineStr">
        <x:is>
          <x:t xml:space="preserve">0207.09j1Organizational.6</x:t>
        </x:is>
      </x:c>
      <x:c r="Y2" s="5" t="inlineStr">
        <x:is>
          <x:t xml:space="preserve">0207.09j1 Organizational.6</x:t>
        </x:is>
      </x:c>
      <x:c r="Z2" s="5" t="n">
        <x:v>1</x:v>
      </x:c>
      <x:c r="AA2" s="5" t="n"/>
      <x:c r="AB2" s="5" t="inlineStr">
        <x:is>
          <x:t xml:space="preserve">45 C.F.R. § 164.308(a)(5)(ii)(B)</x:t>
        </x:is>
      </x:c>
      <x:c r="AC2" s="5" t="inlineStr">
        <x:is>
          <x:t xml:space="preserve">Security Awareness and Training — Protection from Malicious Software</x:t>
        </x:is>
      </x:c>
      <x:c r="AD2" s="5" t="inlineStr">
        <x:is>
          <x:t xml:space="preserve">Implement procedures for guarding against, detecting, and reporting malicious software.</x:t>
        </x:is>
      </x:c>
      <x:c r="AE2" s="5" t="inlineStr">
        <x:is>
          <x:t xml:space="preserve">Addressable implementation specification</x:t>
        </x:is>
      </x:c>
      <x:c r="AF2" s="5" t="inlineStr">
        <x:is>
          <x:t xml:space="preserve">Administrative Safeguards</x:t>
        </x:is>
      </x:c>
      <x:c r="AG2" s="28" t="inlineStr">
        <x:is>
          <x:t xml:space="preserve">https://www.ecfr.gov/current/title-45/subtitle-A/subchapter-C/part-164/section-164.308</x:t>
        </x:is>
      </x:c>
      <x:c r="AH2" s="28" t="inlineStr">
        <x:is>
          <x:t xml:space="preserve">https://www.hhs.gov/hipaa/for-professionals/compliance-enforcement/audit/protocol-edited/index.html</x:t>
        </x:is>
      </x:c>
      <x:c r="AI2" s="5" t="n"/>
      <x:c r="AJ2" s="5" t="n"/>
      <x:c r="AK2" s="5" t="n"/>
      <x:c r="AL2" s="5" t="n"/>
      <x:c r="AM2" s="5" t="n"/>
      <x:c r="AN2" s="5" t="n"/>
      <x:c r="AO2" s="5" t="n"/>
      <x:c r="AP2" s="5" t="n"/>
      <x:c r="AQ2" s="5" t="n"/>
      <x:c r="AR2" s="5" t="n"/>
      <x:c r="AS2" s="5" t="n"/>
      <x:c r="AT2" s="5" t="n"/>
      <x:c r="AU2" s="5" t="n"/>
      <x:c r="AV2" s="5" t="n"/>
      <x:c r="AW2" s="5" t="n"/>
      <x:c r="AX2" s="5" t="n"/>
      <x:c r="AY2" s="5" t="n"/>
      <x:c r="AZ2" s="5" t="n"/>
      <x:c r="BA2" s="5" t="n"/>
      <x:c r="BB2" s="5" t="n"/>
      <x:c r="BC2" s="5" t="n"/>
      <x:c r="BD2" s="5" t="n"/>
      <x:c r="BE2" s="5" t="n"/>
      <x:c r="BF2" s="5" t="n"/>
      <x:c r="BG2" s="5" t="n"/>
      <x:c r="BH2" s="5" t="n"/>
      <x:c r="BI2" s="5" t="n"/>
      <x:c r="BJ2" s="5" t="n"/>
      <x:c r="BK2" s="5" t="n"/>
      <x:c r="BL2" s="5" t="n"/>
      <x:c r="BM2" s="5" t="n"/>
      <x:c r="BN2" s="5" t="n"/>
      <x:c r="BO2" s="5" t="n"/>
      <x:c r="BP2" s="5" t="n"/>
      <x:c r="BQ2" s="5" t="n"/>
      <x:c r="BR2" s="5" t="n"/>
      <x:c r="BS2" s="5" t="n"/>
      <x:c r="BT2" s="5" t="n"/>
      <x:c r="BU2" s="5" t="n"/>
    </x:row>
    <x:row r="3" ht="30" customHeight="1">
      <x:c r="A3" s="5" t="inlineStr">
        <x:is>
          <x:t xml:space="preserve">HITRUST e1.csv</x:t>
        </x:is>
      </x:c>
      <x:c r="B3" s="5" t="inlineStr">
        <x:is>
          <x:t xml:space="preserve">ER-114</x:t>
        </x:is>
      </x:c>
      <x:c r="C3" s="5" t="inlineStr">
        <x:is>
          <x:t xml:space="preserve">Configuration</x:t>
        </x:is>
      </x:c>
      <x:c r="D3" s="5" t="inlineStr">
        <x:is>
          <x:t xml:space="preserve">Backups and Schedules</x:t>
        </x:is>
      </x:c>
      <x:c r="E3" s="5" t="inlineStr">
        <x:is>
          <x:t xml:space="preserve">REQ-62-HIPAA, REQ-63-HIPAA</x:t>
        </x:is>
      </x:c>
      <x:c r="F3" s="5" t="n">
        <x:v>2</x:v>
      </x:c>
      <x:c r="G3" s="5" t="inlineStr">
        <x:is>
          <x:t xml:space="preserve">1616.09l1Organizational.16, 16.09l1Organizational.4, 1618.09l1Organizational.45</x:t>
        </x:is>
      </x:c>
      <x:c r="H3" s="5" t="n">
        <x:v>3</x:v>
      </x:c>
      <x:c r="I3" s="5" t="inlineStr">
        <x:is>
          <x:t xml:space="preserve">Many:Many</x:t>
        </x:is>
      </x:c>
      <x:c r="J3" s="5" t="inlineStr">
        <x:is>
          <x:t xml:space="preserve">Composite overlap: multiple HIPAA and HITRUST e1 controls are satisfied by the same action item.</x:t>
        </x:is>
      </x:c>
      <x:c r="K3" s="5" t="inlineStr">
        <x:is>
          <x:t xml:space="preserve">45 CFR § 164.308(a)(7)(ii)(A) | 45 CFR § 164.308(a)(7)(ii)(B)</x:t>
        </x:is>
      </x:c>
      <x:c r="L3" s="5" t="inlineStr">
        <x:is>
          <x:t xml:space="preserve">Contingency Plan — Data Backup Plan | Contingency Plan — Disaster Recovery Plan</x:t>
        </x:is>
      </x:c>
      <x:c r="M3" s="5" t="inlineStr">
        <x:is>
          <x:t xml:space="preserve">Direct | Best-fit</x:t>
        </x:is>
      </x:c>
      <x:c r="N3" s="5" t="inlineStr">
        <x:is>
          <x:t xml:space="preserve">Backup schedules most directly align to maintaining retrievable exact copies of ePHI. | Backup/replication planning most closely aligns to restoring lost data and recovering operations after a disruption.</x:t>
        </x:is>
      </x:c>
      <x:c r="O3"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 | https://www.hhs.gov/sites/default/files/ocr/privacy/hipaa/administrative/combined/hipaa-simplification-201303.pdf</x:t>
        </x:is>
      </x:c>
      <x:c r="P3" s="5" t="inlineStr">
        <x:is>
          <x:t xml:space="preserve">Used for backup schedule evidence. | Used for schedule-level backup rows when the internal control appears to emphasize recoverability/replication.</x:t>
        </x:is>
      </x:c>
      <x:c r="Q3" s="5" t="inlineStr">
        <x:is>
          <x:t xml:space="preserve">REQ-62-HIPAA</x:t>
        </x:is>
      </x:c>
      <x:c r="R3" s="5" t="inlineStr">
        <x:is>
          <x:t xml:space="preserve">1616.09l1Organizational.16</x:t>
        </x:is>
      </x:c>
      <x:c r="S3" s="5" t="inlineStr">
        <x:is>
          <x:t xml:space="preserve">1616.09l1 Organizational.16</x:t>
        </x:is>
      </x:c>
      <x:c r="T3" s="5" t="inlineStr">
        <x:is>
          <x:t xml:space="preserve">16.09l1Organizational.4</x:t>
        </x:is>
      </x:c>
      <x:c r="U3" s="5" t="inlineStr">
        <x:is>
          <x:t xml:space="preserve">16.09l1 Organizational.4</x:t>
        </x:is>
      </x:c>
      <x:c r="V3" s="5" t="inlineStr">
        <x:is>
          <x:t xml:space="preserve">1618.09l1Organizational.45</x:t>
        </x:is>
      </x:c>
      <x:c r="W3" s="5" t="inlineStr">
        <x:is>
          <x:t xml:space="preserve">1618.09l1 Organizational.45</x:t>
        </x:is>
      </x:c>
      <x:c r="X3" s="5" t="n"/>
      <x:c r="Y3" s="5" t="n"/>
      <x:c r="Z3" s="5" t="n">
        <x:v>2</x:v>
      </x:c>
      <x:c r="AA3" s="5" t="n"/>
      <x:c r="AB3" s="5" t="inlineStr">
        <x:is>
          <x:t xml:space="preserve">45 C.F.R. § 164.308(a)(7)(ii)(A)</x:t>
        </x:is>
      </x:c>
      <x:c r="AC3" s="5" t="inlineStr">
        <x:is>
          <x:t xml:space="preserve">Contingency Plan — Data Backup Plan</x:t>
        </x:is>
      </x:c>
      <x:c r="AD3" s="5" t="inlineStr">
        <x:is>
          <x:t xml:space="preserve">Establish and implement procedures to create and maintain retrievable exact copies of ePHI.</x:t>
        </x:is>
      </x:c>
      <x:c r="AE3" s="5" t="inlineStr">
        <x:is>
          <x:t xml:space="preserve">Required implementation specification</x:t>
        </x:is>
      </x:c>
      <x:c r="AF3" s="5" t="inlineStr">
        <x:is>
          <x:t xml:space="preserve">Administrative Safeguards</x:t>
        </x:is>
      </x:c>
      <x:c r="AG3" s="28" t="inlineStr">
        <x:is>
          <x:t xml:space="preserve">https://www.ecfr.gov/current/title-45/subtitle-A/subchapter-C/part-164/section-164.308</x:t>
        </x:is>
      </x:c>
      <x:c r="AH3" s="28" t="inlineStr">
        <x:is>
          <x:t xml:space="preserve">https://www.hhs.gov/hipaa/for-professionals/security/guidance/cybersecurity/ransomware-fact-sheet/index.html</x:t>
        </x:is>
      </x:c>
      <x:c r="AI3" s="5" t="inlineStr">
        <x:is>
          <x:t xml:space="preserve">REQ-63-HIPAA</x:t>
        </x:is>
      </x:c>
      <x:c r="AJ3" s="5" t="inlineStr">
        <x:is>
          <x:t xml:space="preserve">45 C.F.R. § 164.308(a)(7)(ii)(B)</x:t>
        </x:is>
      </x:c>
      <x:c r="AK3" s="5" t="inlineStr">
        <x:is>
          <x:t xml:space="preserve">Contingency Plan — Disaster Recovery Plan</x:t>
        </x:is>
      </x:c>
      <x:c r="AL3" s="5" t="inlineStr">
        <x:is>
          <x:t xml:space="preserve">Establish and implement procedures to restore any loss of data.</x:t>
        </x:is>
      </x:c>
      <x:c r="AM3" s="5" t="inlineStr">
        <x:is>
          <x:t xml:space="preserve">Required implementation specification</x:t>
        </x:is>
      </x:c>
      <x:c r="AN3" s="5" t="inlineStr">
        <x:is>
          <x:t xml:space="preserve">Administrative Safeguards</x:t>
        </x:is>
      </x:c>
      <x:c r="AO3" s="28" t="inlineStr">
        <x:is>
          <x:t xml:space="preserve">https://www.ecfr.gov/current/title-45/subtitle-A/subchapter-C/part-164/section-164.308</x:t>
        </x:is>
      </x:c>
      <x:c r="AP3" s="28" t="inlineStr">
        <x:is>
          <x:t xml:space="preserve">https://www.hhs.gov/hipaa/for-professionals/security/guidance/cybersecurity/ransomware-fact-sheet/index.html</x:t>
        </x:is>
      </x:c>
      <x:c r="AQ3" s="5" t="n"/>
      <x:c r="AR3" s="5" t="n"/>
      <x:c r="AS3" s="5" t="n"/>
      <x:c r="AT3" s="5" t="n"/>
      <x:c r="AU3" s="5" t="n"/>
      <x:c r="AV3" s="5" t="n"/>
      <x:c r="AW3" s="5" t="n"/>
      <x:c r="AX3" s="5" t="n"/>
      <x:c r="AY3" s="5" t="n"/>
      <x:c r="AZ3" s="5" t="n"/>
      <x:c r="BA3" s="5" t="n"/>
      <x:c r="BB3" s="5" t="n"/>
      <x:c r="BC3" s="5" t="n"/>
      <x:c r="BD3" s="5" t="n"/>
      <x:c r="BE3" s="5" t="n"/>
      <x:c r="BF3" s="5" t="n"/>
      <x:c r="BG3" s="5" t="n"/>
      <x:c r="BH3" s="5" t="n"/>
      <x:c r="BI3" s="5" t="n"/>
      <x:c r="BJ3" s="5" t="n"/>
      <x:c r="BK3" s="5" t="n"/>
      <x:c r="BL3" s="5" t="n"/>
      <x:c r="BM3" s="5" t="n"/>
      <x:c r="BN3" s="5" t="n"/>
      <x:c r="BO3" s="5" t="n"/>
      <x:c r="BP3" s="5" t="n"/>
      <x:c r="BQ3" s="5" t="n"/>
      <x:c r="BR3" s="5" t="n"/>
      <x:c r="BS3" s="5" t="n"/>
      <x:c r="BT3" s="5" t="n"/>
      <x:c r="BU3" s="5" t="n"/>
    </x:row>
    <x:row r="4" ht="30" customHeight="1">
      <x:c r="A4" s="5" t="inlineStr">
        <x:is>
          <x:t xml:space="preserve">HITRUST e1.csv</x:t>
        </x:is>
      </x:c>
      <x:c r="B4" s="5" t="inlineStr">
        <x:is>
          <x:t xml:space="preserve">ER-1</x:t>
        </x:is>
      </x:c>
      <x:c r="C4" s="5" t="inlineStr">
        <x:is>
          <x:t xml:space="preserve">Configuration</x:t>
        </x:is>
      </x:c>
      <x:c r="D4" s="5" t="inlineStr">
        <x:is>
          <x:t xml:space="preserve">Data Encryption at Rest</x:t>
        </x:is>
      </x:c>
      <x:c r="E4" s="5" t="inlineStr">
        <x:is>
          <x:t xml:space="preserve">REQ-33-HIPAA, REQ-34-HIPAA, REQ-35-HIPAA</x:t>
        </x:is>
      </x:c>
      <x:c r="F4" s="5" t="n">
        <x:v>3</x:v>
      </x:c>
      <x:c r="G4" s="5" t="inlineStr">
        <x:is>
          <x:t xml:space="preserve">04.01x1Organizational.5, 1903.06d1Organizational.3456711</x:t>
        </x:is>
      </x:c>
      <x:c r="H4" s="5" t="n">
        <x:v>2</x:v>
      </x:c>
      <x:c r="I4" s="5" t="inlineStr">
        <x:is>
          <x:t xml:space="preserve">Many:Many</x:t>
        </x:is>
      </x:c>
      <x:c r="J4" s="5" t="inlineStr">
        <x:is>
          <x:t xml:space="preserve">Composite overlap: multiple HIPAA and HITRUST e1 controls are satisfied by the same action item.</x:t>
        </x:is>
      </x:c>
      <x:c r="K4" s="5" t="inlineStr">
        <x:is>
          <x:t xml:space="preserve">45 CFR § 164.312(a)(2)(iv)</x:t>
        </x:is>
      </x:c>
      <x:c r="L4" s="5" t="inlineStr">
        <x:is>
          <x:t xml:space="preserve">Access Control — Encryption and Decryption</x:t>
        </x:is>
      </x:c>
      <x:c r="M4" s="5" t="inlineStr">
        <x:is>
          <x:t xml:space="preserve">Direct | Best-fit</x:t>
        </x:is>
      </x:c>
      <x:c r="N4" s="5" t="inlineStr">
        <x:is>
          <x:t xml:space="preserve">At-rest encryption evidence aligns directly to the encryption/decryption implementation specification under access control. | Control/action-item context aligns to at-rest encryption. | This internal control ID also appears on an at-rest encryption row in the source spreadsheets, so the row context points to at-rest encryption even though the same control family also covers transmission encryption elsewhere.</x:t>
        </x:is>
      </x:c>
      <x:c r="O4"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P4" s="5" t="inlineStr">
        <x:is>
          <x:t xml:space="preserve">Used when the shared action item is explicitly at-rest encryption. | Used for data-encryption-at-rest rows. | Row-context mapping takes precedence over the broader internal control family.</x:t>
        </x:is>
      </x:c>
      <x:c r="Q4" s="5" t="inlineStr">
        <x:is>
          <x:t xml:space="preserve">REQ-33-HIPAA</x:t>
        </x:is>
      </x:c>
      <x:c r="R4" s="5" t="inlineStr">
        <x:is>
          <x:t xml:space="preserve">04.01x1Organizational.5</x:t>
        </x:is>
      </x:c>
      <x:c r="S4" s="5" t="inlineStr">
        <x:is>
          <x:t xml:space="preserve">04.01x1 Organizational.5</x:t>
        </x:is>
      </x:c>
      <x:c r="T4" s="5" t="inlineStr">
        <x:is>
          <x:t xml:space="preserve">1903.06d1Organizational.3456711</x:t>
        </x:is>
      </x:c>
      <x:c r="U4" s="5" t="inlineStr">
        <x:is>
          <x:t xml:space="preserve">1903.06d1 Organizational.3456711</x:t>
        </x:is>
      </x:c>
      <x:c r="V4" s="5" t="n"/>
      <x:c r="W4" s="5" t="n"/>
      <x:c r="X4" s="5" t="n"/>
      <x:c r="Y4" s="5" t="n"/>
      <x:c r="Z4" s="5" t="n">
        <x:v>1</x:v>
      </x:c>
      <x:c r="AA4" s="5" t="n"/>
      <x:c r="AB4" s="5" t="inlineStr">
        <x:is>
          <x:t xml:space="preserve">45 C.F.R. § 164.312(a)(2)(iv)</x:t>
        </x:is>
      </x:c>
      <x:c r="AC4" s="5" t="inlineStr">
        <x:is>
          <x:t xml:space="preserve">Access Control — Encryption and Decryption</x:t>
        </x:is>
      </x:c>
      <x:c r="AD4" s="5" t="inlineStr">
        <x:is>
          <x:t xml:space="preserve">Implement a mechanism to encrypt and decrypt ePHI.</x:t>
        </x:is>
      </x:c>
      <x:c r="AE4" s="5" t="inlineStr">
        <x:is>
          <x:t xml:space="preserve">Addressable implementation specification</x:t>
        </x:is>
      </x:c>
      <x:c r="AF4" s="5" t="inlineStr">
        <x:is>
          <x:t xml:space="preserve">Technical Safeguards</x:t>
        </x:is>
      </x:c>
      <x:c r="AG4" s="28" t="inlineStr">
        <x:is>
          <x:t xml:space="preserve">https://www.ecfr.gov/current/title-45/subtitle-A/subchapter-C/part-164/section-164.312</x:t>
        </x:is>
      </x:c>
      <x:c r="AH4" s="28" t="inlineStr">
        <x:is>
          <x:t xml:space="preserve">https://www.hhs.gov/hipaa/for-professionals/faq/2001/is-the-use-of-encryption-mandatory-in-the-security-rule/index.html</x:t>
        </x:is>
      </x:c>
      <x:c r="AI4" s="5" t="inlineStr">
        <x:is>
          <x:t xml:space="preserve">REQ-34-HIPAA</x:t>
        </x:is>
      </x:c>
      <x:c r="AJ4" s="5" t="n"/>
      <x:c r="AK4" s="5" t="n"/>
      <x:c r="AL4" s="5" t="n"/>
      <x:c r="AM4" s="5" t="n"/>
      <x:c r="AN4" s="5" t="n"/>
      <x:c r="AO4" s="5" t="n"/>
      <x:c r="AP4" s="5" t="n"/>
      <x:c r="AQ4" s="5" t="inlineStr">
        <x:is>
          <x:t xml:space="preserve">REQ-35-HIPAA</x:t>
        </x:is>
      </x:c>
      <x:c r="AR4" s="5" t="n"/>
      <x:c r="AS4" s="5" t="n"/>
      <x:c r="AT4" s="5" t="n"/>
      <x:c r="AU4" s="5" t="n"/>
      <x:c r="AV4" s="5" t="n"/>
      <x:c r="AW4" s="5" t="n"/>
      <x:c r="AX4" s="5" t="n"/>
      <x:c r="AY4" s="5" t="n"/>
      <x:c r="AZ4" s="5" t="n"/>
      <x:c r="BA4" s="5" t="n"/>
      <x:c r="BB4" s="5" t="n"/>
      <x:c r="BC4" s="5" t="n"/>
      <x:c r="BD4" s="5" t="n"/>
      <x:c r="BE4" s="5" t="n"/>
      <x:c r="BF4" s="5" t="n"/>
      <x:c r="BG4" s="5" t="n"/>
      <x:c r="BH4" s="5" t="n"/>
      <x:c r="BI4" s="5" t="n"/>
      <x:c r="BJ4" s="5" t="n"/>
      <x:c r="BK4" s="5" t="n"/>
      <x:c r="BL4" s="5" t="n"/>
      <x:c r="BM4" s="5" t="n"/>
      <x:c r="BN4" s="5" t="n"/>
      <x:c r="BO4" s="5" t="n"/>
      <x:c r="BP4" s="5" t="n"/>
      <x:c r="BQ4" s="5" t="n"/>
      <x:c r="BR4" s="5" t="n"/>
      <x:c r="BS4" s="5" t="n"/>
      <x:c r="BT4" s="5" t="n"/>
      <x:c r="BU4" s="5" t="n"/>
    </x:row>
    <x:row r="5" ht="30" customHeight="1">
      <x:c r="A5" s="5" t="inlineStr">
        <x:is>
          <x:t xml:space="preserve">HITRUST e1.csv</x:t>
        </x:is>
      </x:c>
      <x:c r="B5" s="5" t="inlineStr">
        <x:is>
          <x:t xml:space="preserve">ER-3</x:t>
        </x:is>
      </x:c>
      <x:c r="C5" s="5" t="inlineStr">
        <x:is>
          <x:t xml:space="preserve">Configuration</x:t>
        </x:is>
      </x:c>
      <x:c r="D5" s="5" t="inlineStr">
        <x:is>
          <x:t xml:space="preserve">Encryption In Transit (Ex. TLS Protocols)</x:t>
        </x:is>
      </x:c>
      <x:c r="E5" s="5" t="inlineStr">
        <x:is>
          <x:t xml:space="preserve">REQ-33-HIPAA, REQ-35-HIPAA</x:t>
        </x:is>
      </x:c>
      <x:c r="F5" s="5" t="n">
        <x:v>2</x:v>
      </x:c>
      <x:c r="G5" s="5" t="inlineStr">
        <x:is>
          <x:t xml:space="preserve">04.01x1Organizational.5, 0913.09s1Organizational.5, 1013.01r1System.2, 0862.09m2Organizational.8, 0928.09v2Organizational.1, 0945.09y1Organizational.3, 0954.10d1System.1, 0903.10f1Organizational.1.a</x:t>
        </x:is>
      </x:c>
      <x:c r="H5" s="5" t="n">
        <x:v>8</x:v>
      </x:c>
      <x:c r="I5" s="5" t="inlineStr">
        <x:is>
          <x:t xml:space="preserve">Many:Many</x:t>
        </x:is>
      </x:c>
      <x:c r="J5" s="5" t="inlineStr">
        <x:is>
          <x:t xml:space="preserve">Composite overlap: multiple HIPAA and HITRUST e1 controls are satisfied by the same action item.</x:t>
        </x:is>
      </x:c>
      <x:c r="K5" s="5" t="inlineStr">
        <x:is>
          <x:t xml:space="preserve">45 CFR § 164.312(e)(2)(ii)</x:t>
        </x:is>
      </x:c>
      <x:c r="L5" s="5" t="inlineStr">
        <x:is>
          <x:t xml:space="preserve">Transmission Security — Encryption</x:t>
        </x:is>
      </x:c>
      <x:c r="M5" s="5" t="inlineStr">
        <x:is>
          <x:t xml:space="preserve">Direct</x:t>
        </x:is>
      </x:c>
      <x:c r="N5" s="5" t="inlineStr">
        <x:is>
          <x:t xml:space="preserve">Transmission-encryption evidence aligns directly to the transmission-security encryption implementation specification. | Action item explicitly addresses encryption in transit.</x:t>
        </x:is>
      </x:c>
      <x:c r="O5"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P5" s="5" t="inlineStr">
        <x:is>
          <x:t xml:space="preserve">Used when the shared action item is explicitly in-transit encryption. | Used for transport/TLS evidence.</x:t>
        </x:is>
      </x:c>
      <x:c r="Q5" s="5" t="inlineStr">
        <x:is>
          <x:t xml:space="preserve">REQ-33-HIPAA</x:t>
        </x:is>
      </x:c>
      <x:c r="R5" s="5" t="inlineStr">
        <x:is>
          <x:t xml:space="preserve">04.01x1Organizational.5</x:t>
        </x:is>
      </x:c>
      <x:c r="S5" s="5" t="inlineStr">
        <x:is>
          <x:t xml:space="preserve">04.01x1 Organizational.5</x:t>
        </x:is>
      </x:c>
      <x:c r="T5" s="5" t="inlineStr">
        <x:is>
          <x:t xml:space="preserve">0913.09s1Organizational.5</x:t>
        </x:is>
      </x:c>
      <x:c r="U5" s="5" t="inlineStr">
        <x:is>
          <x:t xml:space="preserve">0913.09s1 Organizational.5</x:t>
        </x:is>
      </x:c>
      <x:c r="V5" s="5" t="inlineStr">
        <x:is>
          <x:t xml:space="preserve">1013.01r1System.2</x:t>
        </x:is>
      </x:c>
      <x:c r="W5" s="5" t="inlineStr">
        <x:is>
          <x:t xml:space="preserve">1013.01r1 System.2</x:t>
        </x:is>
      </x:c>
      <x:c r="X5" s="5" t="inlineStr">
        <x:is>
          <x:t xml:space="preserve">0862.09m2Organizational.8</x:t>
        </x:is>
      </x:c>
      <x:c r="Y5" s="5" t="inlineStr">
        <x:is>
          <x:t xml:space="preserve">0862.09m2 Organizational.8</x:t>
        </x:is>
      </x:c>
      <x:c r="Z5" s="5" t="n">
        <x:v>1</x:v>
      </x:c>
      <x:c r="AA5" s="5" t="n"/>
      <x:c r="AB5" s="5" t="inlineStr">
        <x:is>
          <x:t xml:space="preserve">45 C.F.R. § 164.312(e)(2)(ii)</x:t>
        </x:is>
      </x:c>
      <x:c r="AC5" s="5" t="inlineStr">
        <x:is>
          <x:t xml:space="preserve">Transmission Security — Encryption</x:t>
        </x:is>
      </x:c>
      <x:c r="AD5" s="5" t="inlineStr">
        <x:is>
          <x:t xml:space="preserve">Implement a mechanism to encrypt ePHI whenever deemed appropriate during electronic transmission.</x:t>
        </x:is>
      </x:c>
      <x:c r="AE5" s="5" t="inlineStr">
        <x:is>
          <x:t xml:space="preserve">Addressable implementation specification</x:t>
        </x:is>
      </x:c>
      <x:c r="AF5" s="5" t="inlineStr">
        <x:is>
          <x:t xml:space="preserve">Technical Safeguards</x:t>
        </x:is>
      </x:c>
      <x:c r="AG5" s="28" t="inlineStr">
        <x:is>
          <x:t xml:space="preserve">https://www.ecfr.gov/current/title-45/subtitle-A/subchapter-C/part-164/section-164.312</x:t>
        </x:is>
      </x:c>
      <x:c r="AH5" s="28" t="inlineStr">
        <x:is>
          <x:t xml:space="preserve">https://www.hhs.gov/hipaa/for-professionals/faq/2001/is-the-use-of-encryption-mandatory-in-the-security-rule/index.html</x:t>
        </x:is>
      </x:c>
      <x:c r="AI5" s="5" t="inlineStr">
        <x:is>
          <x:t xml:space="preserve">REQ-35-HIPAA</x:t>
        </x:is>
      </x:c>
      <x:c r="AJ5" s="5" t="n"/>
      <x:c r="AK5" s="5" t="n"/>
      <x:c r="AL5" s="5" t="n"/>
      <x:c r="AM5" s="5" t="n"/>
      <x:c r="AN5" s="5" t="n"/>
      <x:c r="AO5" s="5" t="n"/>
      <x:c r="AP5" s="5" t="n"/>
      <x:c r="AQ5" s="5" t="n"/>
      <x:c r="AR5" s="5" t="inlineStr">
        <x:is>
          <x:t xml:space="preserve">0928.09v2Organizational.1</x:t>
        </x:is>
      </x:c>
      <x:c r="AS5" s="5" t="inlineStr">
        <x:is>
          <x:t xml:space="preserve">0928.09v2 Organizational.1</x:t>
        </x:is>
      </x:c>
      <x:c r="AT5" s="5" t="inlineStr">
        <x:is>
          <x:t xml:space="preserve">0945.09y1Organizational.3</x:t>
        </x:is>
      </x:c>
      <x:c r="AU5" s="5" t="inlineStr">
        <x:is>
          <x:t xml:space="preserve">0945.09y1 Organizational.3</x:t>
        </x:is>
      </x:c>
      <x:c r="AV5" s="5" t="inlineStr">
        <x:is>
          <x:t xml:space="preserve">0954.10d1System.1</x:t>
        </x:is>
      </x:c>
      <x:c r="AW5" s="5" t="inlineStr">
        <x:is>
          <x:t xml:space="preserve">0954.10d1 System.1</x:t>
        </x:is>
      </x:c>
      <x:c r="AX5" s="5" t="inlineStr">
        <x:is>
          <x:t xml:space="preserve">0903.10f1Organizational.1.a</x:t>
        </x:is>
      </x:c>
      <x:c r="AY5" s="5" t="inlineStr">
        <x:is>
          <x:t xml:space="preserve">0903.10f1 Organizational.1.a</x:t>
        </x:is>
      </x:c>
      <x:c r="AZ5" s="5" t="n"/>
      <x:c r="BA5" s="5" t="n"/>
      <x:c r="BB5" s="5" t="n"/>
      <x:c r="BC5" s="5" t="n"/>
      <x:c r="BD5" s="5" t="n"/>
      <x:c r="BE5" s="5" t="n"/>
      <x:c r="BF5" s="5" t="n"/>
      <x:c r="BG5" s="5" t="n"/>
      <x:c r="BH5" s="5" t="n"/>
      <x:c r="BI5" s="5" t="n"/>
      <x:c r="BJ5" s="5" t="n"/>
      <x:c r="BK5" s="5" t="n"/>
      <x:c r="BL5" s="5" t="n"/>
      <x:c r="BM5" s="5" t="n"/>
      <x:c r="BN5" s="5" t="n"/>
      <x:c r="BO5" s="5" t="n"/>
      <x:c r="BP5" s="5" t="n"/>
      <x:c r="BQ5" s="5" t="n"/>
      <x:c r="BR5" s="5" t="n"/>
      <x:c r="BS5" s="5" t="n"/>
      <x:c r="BT5" s="5" t="n"/>
      <x:c r="BU5" s="5" t="n"/>
    </x:row>
    <x:row r="6" ht="30" customHeight="1">
      <x:c r="A6" s="5" t="inlineStr">
        <x:is>
          <x:t xml:space="preserve">HITRUST e1.csv</x:t>
        </x:is>
      </x:c>
      <x:c r="B6" s="5" t="inlineStr">
        <x:is>
          <x:t xml:space="preserve">ER-88</x:t>
        </x:is>
      </x:c>
      <x:c r="C6" s="5" t="inlineStr">
        <x:is>
          <x:t xml:space="preserve">Configuration</x:t>
        </x:is>
      </x:c>
      <x:c r="D6" s="5" t="inlineStr">
        <x:is>
          <x:t xml:space="preserve">Evidence of Multi-Factor Authentication</x:t>
        </x:is>
      </x:c>
      <x:c r="E6" s="5" t="inlineStr">
        <x:is>
          <x:t xml:space="preserve">REQ-27-HIPAA</x:t>
        </x:is>
      </x:c>
      <x:c r="F6" s="5" t="n">
        <x:v>1</x:v>
      </x:c>
      <x:c r="G6" s="5" t="inlineStr">
        <x:is>
          <x:t xml:space="preserve">11.01q1System.3, 11.01q1System.4</x:t>
        </x:is>
      </x:c>
      <x:c r="H6" s="5" t="n">
        <x:v>2</x:v>
      </x:c>
      <x:c r="I6" s="5" t="inlineStr">
        <x:is>
          <x:t xml:space="preserve">1:Many</x:t>
        </x:is>
      </x:c>
      <x:c r="J6" s="5" t="inlineStr">
        <x:is>
          <x:t xml:space="preserve">One HIPAA local control decomposes into multiple HITRUST e1 controls in this action item.</x:t>
        </x:is>
      </x:c>
      <x:c r="K6" s="5" t="inlineStr">
        <x:is>
          <x:t xml:space="preserve">45 CFR § 164.312(d)</x:t>
        </x:is>
      </x:c>
      <x:c r="L6" s="5" t="inlineStr">
        <x:is>
          <x:t xml:space="preserve">Person or Entity Authentication</x:t>
        </x:is>
      </x:c>
      <x:c r="M6" s="5" t="inlineStr">
        <x:is>
          <x:t xml:space="preserve">Direct</x:t>
        </x:is>
      </x:c>
      <x:c r="N6" s="5" t="inlineStr">
        <x:is>
          <x:t xml:space="preserve">MFA evidence most directly supports verifying that the person or entity seeking access is the one claimed.</x:t>
        </x:is>
      </x:c>
      <x:c r="O6" s="28"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P6" s="5" t="inlineStr">
        <x:is>
          <x:t xml:space="preserve">HIPAA does not mandate a specific technology such as MFA in all cases, but MFA evidence is a strong implementation of this standard.</x:t>
        </x:is>
      </x:c>
      <x:c r="Q6" s="5" t="inlineStr">
        <x:is>
          <x:t xml:space="preserve">REQ-27-HIPAA</x:t>
        </x:is>
      </x:c>
      <x:c r="R6" s="5" t="inlineStr">
        <x:is>
          <x:t xml:space="preserve">11.01q1System.3</x:t>
        </x:is>
      </x:c>
      <x:c r="S6" s="5" t="inlineStr">
        <x:is>
          <x:t xml:space="preserve">11.01q1 System.3</x:t>
        </x:is>
      </x:c>
      <x:c r="T6" s="5" t="inlineStr">
        <x:is>
          <x:t xml:space="preserve">11.01q1System.4</x:t>
        </x:is>
      </x:c>
      <x:c r="U6" s="5" t="inlineStr">
        <x:is>
          <x:t xml:space="preserve">11.01q1 System.4</x:t>
        </x:is>
      </x:c>
      <x:c r="V6" s="5" t="n"/>
      <x:c r="W6" s="5" t="n"/>
      <x:c r="X6" s="5" t="n"/>
      <x:c r="Y6" s="5" t="n"/>
      <x:c r="Z6" s="5" t="n">
        <x:v>1</x:v>
      </x:c>
      <x:c r="AA6" s="5" t="n"/>
      <x:c r="AB6" s="5" t="inlineStr">
        <x:is>
          <x:t xml:space="preserve">45 C.F.R. § 164.312(d)</x:t>
        </x:is>
      </x:c>
      <x:c r="AC6" s="5" t="inlineStr">
        <x:is>
          <x:t xml:space="preserve">Person or Entity Authentication</x:t>
        </x:is>
      </x:c>
      <x:c r="AD6" s="5" t="inlineStr">
        <x:is>
          <x:t xml:space="preserve">Implement procedures to verify that a person or entity seeking access to ePHI is the one claimed.</x:t>
        </x:is>
      </x:c>
      <x:c r="AE6" s="5" t="inlineStr">
        <x:is>
          <x:t xml:space="preserve">Required standard</x:t>
        </x:is>
      </x:c>
      <x:c r="AF6" s="5" t="inlineStr">
        <x:is>
          <x:t xml:space="preserve">Technical Safeguards</x:t>
        </x:is>
      </x:c>
      <x:c r="AG6" s="28" t="inlineStr">
        <x:is>
          <x:t xml:space="preserve">https://www.ecfr.gov/current/title-45/subtitle-A/subchapter-C/part-164/section-164.312</x:t>
        </x:is>
      </x:c>
      <x:c r="AH6" s="28" t="inlineStr">
        <x:is>
          <x:t xml:space="preserve">https://www.hhs.gov/hipaa/for-professionals/compliance-enforcement/audit/protocol-edited/index.html</x:t>
        </x:is>
      </x:c>
      <x:c r="AI6" s="5" t="n"/>
      <x:c r="AJ6" s="5" t="n"/>
      <x:c r="AK6" s="5" t="n"/>
      <x:c r="AL6" s="5" t="n"/>
      <x:c r="AM6" s="5" t="n"/>
      <x:c r="AN6" s="5" t="n"/>
      <x:c r="AO6" s="5" t="n"/>
      <x:c r="AP6" s="5" t="n"/>
      <x:c r="AQ6" s="5" t="n"/>
      <x:c r="AR6" s="5" t="n"/>
      <x:c r="AS6" s="5" t="n"/>
      <x:c r="AT6" s="5" t="n"/>
      <x:c r="AU6" s="5" t="n"/>
      <x:c r="AV6" s="5" t="n"/>
      <x:c r="AW6" s="5" t="n"/>
      <x:c r="AX6" s="5" t="n"/>
      <x:c r="AY6" s="5" t="n"/>
      <x:c r="AZ6" s="5" t="n"/>
      <x:c r="BA6" s="5" t="n"/>
      <x:c r="BB6" s="5" t="n"/>
      <x:c r="BC6" s="5" t="n"/>
      <x:c r="BD6" s="5" t="n"/>
      <x:c r="BE6" s="5" t="n"/>
      <x:c r="BF6" s="5" t="n"/>
      <x:c r="BG6" s="5" t="n"/>
      <x:c r="BH6" s="5" t="n"/>
      <x:c r="BI6" s="5" t="n"/>
      <x:c r="BJ6" s="5" t="n"/>
      <x:c r="BK6" s="5" t="n"/>
      <x:c r="BL6" s="5" t="n"/>
      <x:c r="BM6" s="5" t="n"/>
      <x:c r="BN6" s="5" t="n"/>
      <x:c r="BO6" s="5" t="n"/>
      <x:c r="BP6" s="5" t="n"/>
      <x:c r="BQ6" s="5" t="n"/>
      <x:c r="BR6" s="5" t="n"/>
      <x:c r="BS6" s="5" t="n"/>
      <x:c r="BT6" s="5" t="n"/>
      <x:c r="BU6" s="5" t="n"/>
    </x:row>
    <x:row r="7" ht="30" customHeight="1">
      <x:c r="A7" s="5" t="inlineStr">
        <x:is>
          <x:t xml:space="preserve">HITRUST e1.csv</x:t>
        </x:is>
      </x:c>
      <x:c r="B7" s="5" t="inlineStr">
        <x:is>
          <x:t xml:space="preserve">ER-91</x:t>
        </x:is>
      </x:c>
      <x:c r="C7" s="5" t="inlineStr">
        <x:is>
          <x:t xml:space="preserve">Configuration</x:t>
        </x:is>
      </x:c>
      <x:c r="D7" s="5" t="inlineStr">
        <x:is>
          <x:t xml:space="preserve">Firewall Rules/Security Groups</x:t>
        </x:is>
      </x:c>
      <x:c r="E7" s="5" t="inlineStr">
        <x:is>
          <x:t xml:space="preserve">REQ-37-HIPAA</x:t>
        </x:is>
      </x:c>
      <x:c r="F7" s="5" t="n">
        <x:v>1</x:v>
      </x:c>
      <x:c r="G7" s="5" t="inlineStr">
        <x:is>
          <x:t xml:space="preserve">0265.09m1Organizational.2, 0805.01m1Organizational.12</x:t>
        </x:is>
      </x:c>
      <x:c r="H7" s="5" t="n">
        <x:v>2</x:v>
      </x:c>
      <x:c r="I7" s="5" t="inlineStr">
        <x:is>
          <x:t xml:space="preserve">1:Many</x:t>
        </x:is>
      </x:c>
      <x:c r="J7" s="5" t="inlineStr">
        <x:is>
          <x:t xml:space="preserve">One HIPAA local control decomposes into multiple HITRUST e1 controls in this action item.</x:t>
        </x:is>
      </x:c>
      <x:c r="K7" s="5" t="inlineStr">
        <x:is>
          <x:t xml:space="preserve">45 CFR § 164.312(a)(1)</x:t>
        </x:is>
      </x:c>
      <x:c r="L7" s="5" t="inlineStr">
        <x:is>
          <x:t xml:space="preserve">Access Control</x:t>
        </x:is>
      </x:c>
      <x:c r="M7" s="5" t="inlineStr">
        <x:is>
          <x:t xml:space="preserve">Best-fit</x:t>
        </x:is>
      </x:c>
      <x:c r="N7" s="5" t="inlineStr">
        <x:is>
          <x:t xml:space="preserve">Firewall rules/security groups are a technical means of enforcing access restrictions around systems containing ePHI.</x:t>
        </x:is>
      </x:c>
      <x:c r="O7" s="28"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P7" s="5" t="inlineStr">
        <x:is>
          <x:t xml:space="preserve">Mapped to the broad access-control standard because HIPAA does not list firewall rules as a separate named specification.</x:t>
        </x:is>
      </x:c>
      <x:c r="Q7" s="5" t="inlineStr">
        <x:is>
          <x:t xml:space="preserve">REQ-37-HIPAA</x:t>
        </x:is>
      </x:c>
      <x:c r="R7" s="5" t="inlineStr">
        <x:is>
          <x:t xml:space="preserve">0265.09m1Organizational.2</x:t>
        </x:is>
      </x:c>
      <x:c r="S7" s="5" t="inlineStr">
        <x:is>
          <x:t xml:space="preserve">0265.09m1 Organizational.2</x:t>
        </x:is>
      </x:c>
      <x:c r="T7" s="5" t="inlineStr">
        <x:is>
          <x:t xml:space="preserve">0805.01m1Organizational.12</x:t>
        </x:is>
      </x:c>
      <x:c r="U7" s="5" t="inlineStr">
        <x:is>
          <x:t xml:space="preserve">0805.01m1 Organizational.12</x:t>
        </x:is>
      </x:c>
      <x:c r="V7" s="5" t="n"/>
      <x:c r="W7" s="5" t="n"/>
      <x:c r="X7" s="5" t="n"/>
      <x:c r="Y7" s="5" t="n"/>
      <x:c r="Z7" s="5" t="n">
        <x:v>1</x:v>
      </x:c>
      <x:c r="AA7" s="5" t="n"/>
      <x:c r="AB7" s="5" t="inlineStr">
        <x:is>
          <x:t xml:space="preserve">45 C.F.R. § 164.312(a)(1)</x:t>
        </x:is>
      </x:c>
      <x:c r="AC7" s="5" t="inlineStr">
        <x:is>
          <x:t xml:space="preserve">Access Control</x:t>
        </x:is>
      </x:c>
      <x:c r="AD7" s="5" t="inlineStr">
        <x:is>
          <x:t xml:space="preserve">Implement technical policies and procedures for electronic information systems that maintain ePHI to allow access only to persons or software programs with authorized access rights.</x:t>
        </x:is>
      </x:c>
      <x:c r="AE7" s="5" t="inlineStr">
        <x:is>
          <x:t xml:space="preserve">Standard</x:t>
        </x:is>
      </x:c>
      <x:c r="AF7" s="5" t="inlineStr">
        <x:is>
          <x:t xml:space="preserve">Technical Safeguards</x:t>
        </x:is>
      </x:c>
      <x:c r="AG7" s="28" t="inlineStr">
        <x:is>
          <x:t xml:space="preserve">https://www.ecfr.gov/current/title-45/subtitle-A/subchapter-C/part-164/section-164.312</x:t>
        </x:is>
      </x:c>
      <x:c r="AH7" s="28" t="inlineStr">
        <x:is>
          <x:t xml:space="preserve">https://www.hhs.gov/hipaa/for-professionals/compliance-enforcement/audit/protocol-edited/index.html</x:t>
        </x:is>
      </x:c>
      <x:c r="AI7" s="5" t="n"/>
      <x:c r="AJ7" s="5" t="n"/>
      <x:c r="AK7" s="5" t="n"/>
      <x:c r="AL7" s="5" t="n"/>
      <x:c r="AM7" s="5" t="n"/>
      <x:c r="AN7" s="5" t="n"/>
      <x:c r="AO7" s="5" t="n"/>
      <x:c r="AP7" s="5" t="n"/>
      <x:c r="AQ7" s="5" t="n"/>
      <x:c r="AR7" s="5" t="n"/>
      <x:c r="AS7" s="5" t="n"/>
      <x:c r="AT7" s="5" t="n"/>
      <x:c r="AU7" s="5" t="n"/>
      <x:c r="AV7" s="5" t="n"/>
      <x:c r="AW7" s="5" t="n"/>
      <x:c r="AX7" s="5" t="n"/>
      <x:c r="AY7" s="5" t="n"/>
      <x:c r="AZ7" s="5" t="n"/>
      <x:c r="BA7" s="5" t="n"/>
      <x:c r="BB7" s="5" t="n"/>
      <x:c r="BC7" s="5" t="n"/>
      <x:c r="BD7" s="5" t="n"/>
      <x:c r="BE7" s="5" t="n"/>
      <x:c r="BF7" s="5" t="n"/>
      <x:c r="BG7" s="5" t="n"/>
      <x:c r="BH7" s="5" t="n"/>
      <x:c r="BI7" s="5" t="n"/>
      <x:c r="BJ7" s="5" t="n"/>
      <x:c r="BK7" s="5" t="n"/>
      <x:c r="BL7" s="5" t="n"/>
      <x:c r="BM7" s="5" t="n"/>
      <x:c r="BN7" s="5" t="n"/>
      <x:c r="BO7" s="5" t="n"/>
      <x:c r="BP7" s="5" t="n"/>
      <x:c r="BQ7" s="5" t="n"/>
      <x:c r="BR7" s="5" t="n"/>
      <x:c r="BS7" s="5" t="n"/>
      <x:c r="BT7" s="5" t="n"/>
      <x:c r="BU7" s="5" t="n"/>
    </x:row>
    <x:row r="8" ht="30" customHeight="1">
      <x:c r="A8" s="5" t="inlineStr">
        <x:is>
          <x:t xml:space="preserve">HITRUST e1.csv</x:t>
        </x:is>
      </x:c>
      <x:c r="B8" s="5" t="inlineStr">
        <x:is>
          <x:t xml:space="preserve">ER-12</x:t>
        </x:is>
      </x:c>
      <x:c r="C8" s="5" t="inlineStr">
        <x:is>
          <x:t xml:space="preserve">Configuration</x:t>
        </x:is>
      </x:c>
      <x:c r="D8" s="5" t="inlineStr">
        <x:is>
          <x:t xml:space="preserve">List of All Production Systems (Servers, VMs, Data Stores)</x:t>
        </x:is>
      </x:c>
      <x:c r="E8" s="5" t="inlineStr">
        <x:is>
          <x:t xml:space="preserve">REQ-33-HIPAA, REQ-34-HIPAA, REQ-43-HIPAA, REQ-102-HIPAA</x:t>
        </x:is>
      </x:c>
      <x:c r="F8" s="5" t="n">
        <x:v>4</x:v>
      </x:c>
      <x:c r="G8" s="5" t="inlineStr">
        <x:is>
          <x:t xml:space="preserve">0701.07a1Organizational.8, 0701.07a1Organizational.7, 07.07a1Organizational.8</x:t>
        </x:is>
      </x:c>
      <x:c r="H8" s="5" t="n">
        <x:v>3</x:v>
      </x:c>
      <x:c r="I8" s="5" t="inlineStr">
        <x:is>
          <x:t xml:space="preserve">Many:Many</x:t>
        </x:is>
      </x:c>
      <x:c r="J8" s="5" t="inlineStr">
        <x:is>
          <x:t xml:space="preserve">Composite overlap: multiple HIPAA and HITRUST e1 controls are satisfied by the same action item.</x:t>
        </x:is>
      </x:c>
      <x:c r="K8" s="5" t="inlineStr">
        <x:is>
          <x:t xml:space="preserve">45 CFR § 164.308(a)(1)(ii)(A) | 45 CFR § 164.312(a)(2)(iv) | 45 CFR § 164.312(e)(2)(ii) | 45 CFR § 164.308(a)(1)(ii)(B)</x:t>
        </x:is>
      </x:c>
      <x:c r="L8" s="5" t="inlineStr">
        <x:is>
          <x:t xml:space="preserve">Security Management Process — Risk Analysis | Access Control — Encryption and Decryption | Transmission Security — Encryption | Security Management Process — Risk Management</x:t>
        </x:is>
      </x:c>
      <x:c r="M8" s="5" t="inlineStr">
        <x:is>
          <x:t xml:space="preserve">Best-fit composite | Best-fit</x:t>
        </x:is>
      </x:c>
      <x:c r="N8" s="5" t="inlineStr">
        <x:is>
          <x:t xml:space="preserve">System-inventory evidence is not explicitly named in the Security Rule, but OCR guidance treats asset inventories and system scoping as supporting accurate risk analysis and implementation of encryption safeguards. | System inventory supports scoping/coverage of at-rest encryption and accurate risk analysis. | A production-systems inventory is supporting evidence for patch coverage and vulnerability scoping under risk analysis/risk management. | HIPAA does not expressly mandate an IT asset inventory, but OCR guidance says a comprehensive technology asset inventory and ePHI data-flow diagrams are valuable tools for an accurate and thorough risk analysis.</x:t>
        </x:is>
      </x:c>
      <x:c r="O8"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P8" s="5" t="inlineStr">
        <x:is>
          <x:t xml:space="preserve">Inventory/list-of-systems evidence is supporting evidence for encryption coverage, not a standalone named HIPAA inventory mandate. | Asset inventory is supporting evidence rather than an explicit standalone at-rest-encryption requirement. | OCR guidance treats a technology asset inventory as a valuable tool for accurate and thorough risk analysis. | Mapped as supporting evidence for risk analysis rather than as a standalone named HIPAA inventory control.</x:t>
        </x:is>
      </x:c>
      <x:c r="Q8" s="5" t="inlineStr">
        <x:is>
          <x:t xml:space="preserve">REQ-33-HIPAA</x:t>
        </x:is>
      </x:c>
      <x:c r="R8" s="5" t="inlineStr">
        <x:is>
          <x:t xml:space="preserve">0701.07a1Organizational.8</x:t>
        </x:is>
      </x:c>
      <x:c r="S8" s="5" t="inlineStr">
        <x:is>
          <x:t xml:space="preserve">0701.07a1 Organizational.8</x:t>
        </x:is>
      </x:c>
      <x:c r="T8" s="5" t="inlineStr">
        <x:is>
          <x:t xml:space="preserve">0701.07a1Organizational.7</x:t>
        </x:is>
      </x:c>
      <x:c r="U8" s="5" t="inlineStr">
        <x:is>
          <x:t xml:space="preserve">0701.07a1 Organizational.7</x:t>
        </x:is>
      </x:c>
      <x:c r="V8" s="5" t="inlineStr">
        <x:is>
          <x:t xml:space="preserve">07.07a1Organizational.8</x:t>
        </x:is>
      </x:c>
      <x:c r="W8" s="5" t="inlineStr">
        <x:is>
          <x:t xml:space="preserve">07.07a1 Organizational.8</x:t>
        </x:is>
      </x:c>
      <x:c r="X8" s="5" t="n"/>
      <x:c r="Y8" s="5" t="n"/>
      <x:c r="Z8" s="5" t="n">
        <x:v>4</x:v>
      </x:c>
      <x:c r="AA8" s="5" t="n"/>
      <x:c r="AB8" s="5" t="inlineStr">
        <x:is>
          <x:t xml:space="preserve">45 C.F.R. § 164.308(a)(1)(ii)(A)</x:t>
        </x:is>
      </x:c>
      <x:c r="AC8" s="5" t="inlineStr">
        <x:is>
          <x:t xml:space="preserve">Security Management Process — Risk Analysis</x:t>
        </x:is>
      </x:c>
      <x:c r="AD8" s="5" t="inlineStr">
        <x:is>
          <x:t xml:space="preserve">Conduct an accurate and thorough assessment of the potential risks and vulnerabilities to the confidentiality, integrity, and availability of ePHI.</x:t>
        </x:is>
      </x:c>
      <x:c r="AE8" s="5" t="inlineStr">
        <x:is>
          <x:t xml:space="preserve">Required implementation specification</x:t>
        </x:is>
      </x:c>
      <x:c r="AF8" s="5" t="inlineStr">
        <x:is>
          <x:t xml:space="preserve">Administrative Safeguards</x:t>
        </x:is>
      </x:c>
      <x:c r="AG8" s="28" t="inlineStr">
        <x:is>
          <x:t xml:space="preserve">https://www.ecfr.gov/current/title-45/subtitle-A/subchapter-C/part-164/section-164.308</x:t>
        </x:is>
      </x:c>
      <x:c r="AH8" s="28" t="inlineStr">
        <x:is>
          <x:t xml:space="preserve">https://www.hhs.gov/hipaa/for-professionals/security/guidance/guidance-risk-analysis/index.html</x:t>
        </x:is>
      </x:c>
      <x:c r="AI8" s="5" t="inlineStr">
        <x:is>
          <x:t xml:space="preserve">REQ-34-HIPAA</x:t>
        </x:is>
      </x:c>
      <x:c r="AJ8" s="5" t="inlineStr">
        <x:is>
          <x:t xml:space="preserve">45 C.F.R. § 164.312(a)(2)(iv)</x:t>
        </x:is>
      </x:c>
      <x:c r="AK8" s="5" t="inlineStr">
        <x:is>
          <x:t xml:space="preserve">Access Control — Encryption and Decryption</x:t>
        </x:is>
      </x:c>
      <x:c r="AL8" s="5" t="inlineStr">
        <x:is>
          <x:t xml:space="preserve">Implement a mechanism to encrypt and decrypt ePHI.</x:t>
        </x:is>
      </x:c>
      <x:c r="AM8" s="5" t="inlineStr">
        <x:is>
          <x:t xml:space="preserve">Addressable implementation specification</x:t>
        </x:is>
      </x:c>
      <x:c r="AN8" s="5" t="inlineStr">
        <x:is>
          <x:t xml:space="preserve">Technical Safeguards</x:t>
        </x:is>
      </x:c>
      <x:c r="AO8" s="28" t="inlineStr">
        <x:is>
          <x:t xml:space="preserve">https://www.ecfr.gov/current/title-45/subtitle-A/subchapter-C/part-164/section-164.312</x:t>
        </x:is>
      </x:c>
      <x:c r="AP8" s="28" t="inlineStr">
        <x:is>
          <x:t xml:space="preserve">https://www.hhs.gov/hipaa/for-professionals/faq/2001/is-the-use-of-encryption-mandatory-in-the-security-rule/index.html</x:t>
        </x:is>
      </x:c>
      <x:c r="AQ8" s="5" t="inlineStr">
        <x:is>
          <x:t xml:space="preserve">REQ-43-HIPAA</x:t>
        </x:is>
      </x:c>
      <x:c r="AR8" s="5" t="n"/>
      <x:c r="AS8" s="5" t="n"/>
      <x:c r="AT8" s="5" t="n"/>
      <x:c r="AU8" s="5" t="n"/>
      <x:c r="AV8" s="5" t="n"/>
      <x:c r="AW8" s="5" t="n"/>
      <x:c r="AX8" s="5" t="n"/>
      <x:c r="AY8" s="5" t="n"/>
      <x:c r="AZ8" s="5" t="inlineStr">
        <x:is>
          <x:t xml:space="preserve">REQ-102-HIPAA</x:t>
        </x:is>
      </x:c>
      <x:c r="BA8" s="5" t="inlineStr">
        <x:is>
          <x:t xml:space="preserve">45 C.F.R. § 164.312(e)(2)(ii)</x:t>
        </x:is>
      </x:c>
      <x:c r="BB8" s="5" t="inlineStr">
        <x:is>
          <x:t xml:space="preserve">Transmission Security — Encryption</x:t>
        </x:is>
      </x:c>
      <x:c r="BC8" s="5" t="inlineStr">
        <x:is>
          <x:t xml:space="preserve">Implement a mechanism to encrypt ePHI whenever deemed appropriate during electronic transmission.</x:t>
        </x:is>
      </x:c>
      <x:c r="BD8" s="5" t="inlineStr">
        <x:is>
          <x:t xml:space="preserve">Addressable implementation specification</x:t>
        </x:is>
      </x:c>
      <x:c r="BE8" s="5" t="inlineStr">
        <x:is>
          <x:t xml:space="preserve">Technical Safeguards</x:t>
        </x:is>
      </x:c>
      <x:c r="BF8" s="28" t="inlineStr">
        <x:is>
          <x:t xml:space="preserve">https://www.ecfr.gov/current/title-45/subtitle-A/subchapter-C/part-164/section-164.312</x:t>
        </x:is>
      </x:c>
      <x:c r="BG8" s="28" t="inlineStr">
        <x:is>
          <x:t xml:space="preserve">https://www.hhs.gov/hipaa/for-professionals/faq/2001/is-the-use-of-encryption-mandatory-in-the-security-rule/index.html</x:t>
        </x:is>
      </x:c>
      <x:c r="BH8" s="5" t="inlineStr">
        <x:is>
          <x:t xml:space="preserve">45 C.F.R. § 164.308(a)(1)(ii)(B)</x:t>
        </x:is>
      </x:c>
      <x:c r="BI8" s="5" t="inlineStr">
        <x:is>
          <x:t xml:space="preserve">Security Management Process — Risk Management</x:t>
        </x:is>
      </x:c>
      <x:c r="BJ8" s="5" t="inlineStr">
        <x:is>
          <x:t xml:space="preserve">Implement security measures sufficient to reduce identified risks and vulnerabilities to a reasonable and appropriate level.</x:t>
        </x:is>
      </x:c>
      <x:c r="BK8" s="5" t="inlineStr">
        <x:is>
          <x:t xml:space="preserve">Required implementation specification</x:t>
        </x:is>
      </x:c>
      <x:c r="BL8" s="5" t="inlineStr">
        <x:is>
          <x:t xml:space="preserve">Administrative Safeguards</x:t>
        </x:is>
      </x:c>
      <x:c r="BM8" s="28" t="inlineStr">
        <x:is>
          <x:t xml:space="preserve">https://www.ecfr.gov/current/title-45/subtitle-A/subchapter-C/part-164/section-164.308</x:t>
        </x:is>
      </x:c>
      <x:c r="BN8" s="28" t="inlineStr">
        <x:is>
          <x:t xml:space="preserve">https://www.hhs.gov/hipaa/for-professionals/security/guidance/guidance-risk-analysis/index.html</x:t>
        </x:is>
      </x:c>
      <x:c r="BO8" s="5" t="n"/>
      <x:c r="BP8" s="5" t="n"/>
      <x:c r="BQ8" s="5" t="n"/>
      <x:c r="BR8" s="5" t="n"/>
      <x:c r="BS8" s="5" t="n"/>
      <x:c r="BT8" s="5" t="n"/>
      <x:c r="BU8" s="5" t="n"/>
    </x:row>
    <x:row r="9" ht="30" customHeight="1">
      <x:c r="A9" s="5" t="inlineStr">
        <x:is>
          <x:t xml:space="preserve">HITRUST e1.csv</x:t>
        </x:is>
      </x:c>
      <x:c r="B9" s="5" t="inlineStr">
        <x:is>
          <x:t xml:space="preserve">ER-83</x:t>
        </x:is>
      </x:c>
      <x:c r="C9" s="5" t="inlineStr">
        <x:is>
          <x:t xml:space="preserve">Configuration</x:t>
        </x:is>
      </x:c>
      <x:c r="D9" s="5" t="inlineStr">
        <x:is>
          <x:t xml:space="preserve">Network Diagram and Segmentation</x:t>
        </x:is>
      </x:c>
      <x:c r="E9" s="5" t="inlineStr">
        <x:is>
          <x:t xml:space="preserve">REQ-36-HIPAA</x:t>
        </x:is>
      </x:c>
      <x:c r="F9" s="5" t="n">
        <x:v>1</x:v>
      </x:c>
      <x:c r="G9" s="5" t="inlineStr">
        <x:is>
          <x:t xml:space="preserve">0805.01m1Organizational.12, 0504.09m1Organizational.13</x:t>
        </x:is>
      </x:c>
      <x:c r="H9" s="5" t="n">
        <x:v>2</x:v>
      </x:c>
      <x:c r="I9" s="5" t="inlineStr">
        <x:is>
          <x:t xml:space="preserve">1:Many</x:t>
        </x:is>
      </x:c>
      <x:c r="J9" s="5" t="inlineStr">
        <x:is>
          <x:t xml:space="preserve">One HIPAA local control decomposes into multiple HITRUST e1 controls in this action item.</x:t>
        </x:is>
      </x:c>
      <x:c r="K9" s="5" t="inlineStr">
        <x:is>
          <x:t xml:space="preserve">45 CFR § 164.312(a)(1)</x:t>
        </x:is>
      </x:c>
      <x:c r="L9" s="5" t="inlineStr">
        <x:is>
          <x:t xml:space="preserve">Access Control</x:t>
        </x:is>
      </x:c>
      <x:c r="M9" s="5" t="inlineStr">
        <x:is>
          <x:t xml:space="preserve">Best-fit</x:t>
        </x:is>
      </x:c>
      <x:c r="N9" s="5" t="inlineStr">
        <x:is>
          <x:t xml:space="preserve">HIPAA does not explicitly name network segmentation, but OCR guidance and enforcement materials cite segmentation as a way to implement access control between systems.</x:t>
        </x:is>
      </x:c>
      <x:c r="O9" s="28"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P9" s="5" t="inlineStr">
        <x:is>
          <x:t xml:space="preserve">Mapped as an access-control implementation example rather than a standalone named HIPAA implementation specification.</x:t>
        </x:is>
      </x:c>
      <x:c r="Q9" s="5" t="inlineStr">
        <x:is>
          <x:t xml:space="preserve">REQ-36-HIPAA</x:t>
        </x:is>
      </x:c>
      <x:c r="R9" s="5" t="inlineStr">
        <x:is>
          <x:t xml:space="preserve">0805.01m1Organizational.12</x:t>
        </x:is>
      </x:c>
      <x:c r="S9" s="5" t="inlineStr">
        <x:is>
          <x:t xml:space="preserve">0805.01m1 Organizational.12</x:t>
        </x:is>
      </x:c>
      <x:c r="T9" s="5" t="inlineStr">
        <x:is>
          <x:t xml:space="preserve">0504.09m1Organizational.13</x:t>
        </x:is>
      </x:c>
      <x:c r="U9" s="5" t="inlineStr">
        <x:is>
          <x:t xml:space="preserve">0504.09m1 Organizational.13</x:t>
        </x:is>
      </x:c>
      <x:c r="V9" s="5" t="n"/>
      <x:c r="W9" s="5" t="n"/>
      <x:c r="X9" s="5" t="n"/>
      <x:c r="Y9" s="5" t="n"/>
      <x:c r="Z9" s="5" t="n">
        <x:v>1</x:v>
      </x:c>
      <x:c r="AA9" s="5" t="n"/>
      <x:c r="AB9" s="5" t="inlineStr">
        <x:is>
          <x:t xml:space="preserve">45 C.F.R. § 164.312(a)(1)</x:t>
        </x:is>
      </x:c>
      <x:c r="AC9" s="5" t="inlineStr">
        <x:is>
          <x:t xml:space="preserve">Access Control</x:t>
        </x:is>
      </x:c>
      <x:c r="AD9" s="5" t="inlineStr">
        <x:is>
          <x:t xml:space="preserve">Implement technical policies and procedures for electronic information systems that maintain ePHI to allow access only to persons or software programs with authorized access rights.</x:t>
        </x:is>
      </x:c>
      <x:c r="AE9" s="5" t="inlineStr">
        <x:is>
          <x:t xml:space="preserve">Standard</x:t>
        </x:is>
      </x:c>
      <x:c r="AF9" s="5" t="inlineStr">
        <x:is>
          <x:t xml:space="preserve">Technical Safeguards</x:t>
        </x:is>
      </x:c>
      <x:c r="AG9" s="28" t="inlineStr">
        <x:is>
          <x:t xml:space="preserve">https://www.ecfr.gov/current/title-45/subtitle-A/subchapter-C/part-164/section-164.312</x:t>
        </x:is>
      </x:c>
      <x:c r="AH9" s="28" t="inlineStr">
        <x:is>
          <x:t xml:space="preserve">https://www.hhs.gov/hipaa/for-professionals/compliance-enforcement/audit/protocol-edited/index.html</x:t>
        </x:is>
      </x:c>
      <x:c r="AI9" s="5" t="n"/>
      <x:c r="AJ9" s="5" t="n"/>
      <x:c r="AK9" s="5" t="n"/>
      <x:c r="AL9" s="5" t="n"/>
      <x:c r="AM9" s="5" t="n"/>
      <x:c r="AN9" s="5" t="n"/>
      <x:c r="AO9" s="5" t="n"/>
      <x:c r="AP9" s="5" t="n"/>
      <x:c r="AQ9" s="5" t="n"/>
      <x:c r="AR9" s="5" t="n"/>
      <x:c r="AS9" s="5" t="n"/>
      <x:c r="AT9" s="5" t="n"/>
      <x:c r="AU9" s="5" t="n"/>
      <x:c r="AV9" s="5" t="n"/>
      <x:c r="AW9" s="5" t="n"/>
      <x:c r="AX9" s="5" t="n"/>
      <x:c r="AY9" s="5" t="n"/>
      <x:c r="AZ9" s="5" t="n"/>
      <x:c r="BA9" s="5" t="n"/>
      <x:c r="BB9" s="5" t="n"/>
      <x:c r="BC9" s="5" t="n"/>
      <x:c r="BD9" s="5" t="n"/>
      <x:c r="BE9" s="5" t="n"/>
      <x:c r="BF9" s="5" t="n"/>
      <x:c r="BG9" s="5" t="n"/>
      <x:c r="BH9" s="5" t="n"/>
      <x:c r="BI9" s="5" t="n"/>
      <x:c r="BJ9" s="5" t="n"/>
      <x:c r="BK9" s="5" t="n"/>
      <x:c r="BL9" s="5" t="n"/>
      <x:c r="BM9" s="5" t="n"/>
      <x:c r="BN9" s="5" t="n"/>
      <x:c r="BO9" s="5" t="n"/>
      <x:c r="BP9" s="5" t="n"/>
      <x:c r="BQ9" s="5" t="n"/>
      <x:c r="BR9" s="5" t="n"/>
      <x:c r="BS9" s="5" t="n"/>
      <x:c r="BT9" s="5" t="n"/>
      <x:c r="BU9" s="5" t="n"/>
    </x:row>
    <x:row r="10" ht="30" customHeight="1">
      <x:c r="A10" s="5" t="inlineStr">
        <x:is>
          <x:t xml:space="preserve">HITRUST e1.csv</x:t>
        </x:is>
      </x:c>
      <x:c r="B10" s="5" t="inlineStr">
        <x:is>
          <x:t xml:space="preserve">ER-67</x:t>
        </x:is>
      </x:c>
      <x:c r="C10" s="5" t="inlineStr">
        <x:is>
          <x:t xml:space="preserve">Configuration</x:t>
        </x:is>
      </x:c>
      <x:c r="D10" s="5" t="inlineStr">
        <x:is>
          <x:t xml:space="preserve">Password Vault and Shared Accounts</x:t>
        </x:is>
      </x:c>
      <x:c r="E10" s="5" t="inlineStr">
        <x:is>
          <x:t xml:space="preserve">REQ-28-HIPAA, REQ-31-HIPAA</x:t>
        </x:is>
      </x:c>
      <x:c r="F10" s="5" t="n">
        <x:v>2</x:v>
      </x:c>
      <x:c r="G10" s="5" t="inlineStr">
        <x:is>
          <x:t xml:space="preserve">1123.01q1System.2</x:t>
        </x:is>
      </x:c>
      <x:c r="H10" s="5" t="n">
        <x:v>1</x:v>
      </x:c>
      <x:c r="I10" s="5" t="inlineStr">
        <x:is>
          <x:t xml:space="preserve">Many:1</x:t>
        </x:is>
      </x:c>
      <x:c r="J10" s="5" t="inlineStr">
        <x:is>
          <x:t xml:space="preserve">Multiple HIPAA local controls converge on one HITRUST e1 control in this action item.</x:t>
        </x:is>
      </x:c>
      <x:c r="K10" s="5" t="inlineStr">
        <x:is>
          <x:t xml:space="preserve">45 CFR § 164.312(a)(2)(i) | 45 CFR § 164.308(a)(4)(ii)(C) | 45 CFR § 164.308(a)(3)(ii)(C)</x:t>
        </x:is>
      </x:c>
      <x:c r="L10" s="5" t="inlineStr">
        <x:is>
          <x:t xml:space="preserve">Access Control — Unique User Identification | Information Access Management — Access Establishment and Modification | Workforce Security — Termination Procedures</x:t>
        </x:is>
      </x:c>
      <x:c r="M10" s="5" t="inlineStr">
        <x:is>
          <x:t xml:space="preserve">Composite</x:t>
        </x:is>
      </x:c>
      <x:c r="N10" s="5" t="inlineStr">
        <x:is>
          <x:t xml:space="preserve">Password-vault/shared-account and privileged-access evidence supports unique attribution of user activity and management of privileged rights. | Shared-account and privileged-access listings support timely removal of departing users and accountability for access tied to individuals.</x:t>
        </x:is>
      </x:c>
      <x:c r="O10" s="28"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https://www.hhs.gov/sites/default/files/ocr/privacy/hipaa/administrative/securityrule/adminsafeguards.pdf | https://www.hhs.gov/hipaa/for-professionals/security/guidance/cybersecurity-newsletter-summer-2019/index.html</x:t>
        </x:is>
      </x:c>
      <x:c r="P10" s="5" t="inlineStr">
        <x:is>
          <x:t xml:space="preserve">Shared or generic-account controls are best matched to unique user identification, with access-right administration as a secondary basis. | Best read as supporting evidence that terminated users are removed from shared/privileged access paths.</x:t>
        </x:is>
      </x:c>
      <x:c r="Q10" s="5" t="inlineStr">
        <x:is>
          <x:t xml:space="preserve">REQ-28-HIPAA</x:t>
        </x:is>
      </x:c>
      <x:c r="R10" s="5" t="inlineStr">
        <x:is>
          <x:t xml:space="preserve">1123.01q1System.2</x:t>
        </x:is>
      </x:c>
      <x:c r="S10" s="5" t="inlineStr">
        <x:is>
          <x:t xml:space="preserve">1123.01q1 System.2</x:t>
        </x:is>
      </x:c>
      <x:c r="T10" s="5" t="n"/>
      <x:c r="U10" s="5" t="n"/>
      <x:c r="V10" s="5" t="n"/>
      <x:c r="W10" s="5" t="n"/>
      <x:c r="X10" s="5" t="n"/>
      <x:c r="Y10" s="5" t="n"/>
      <x:c r="Z10" s="5" t="n">
        <x:v>3</x:v>
      </x:c>
      <x:c r="AA10" s="5" t="n"/>
      <x:c r="AB10" s="5" t="inlineStr">
        <x:is>
          <x:t xml:space="preserve">45 C.F.R. § 164.312(a)(2)(i)</x:t>
        </x:is>
      </x:c>
      <x:c r="AC10" s="5" t="inlineStr">
        <x:is>
          <x:t xml:space="preserve">Access Control — Unique User Identification</x:t>
        </x:is>
      </x:c>
      <x:c r="AD10" s="5" t="inlineStr">
        <x:is>
          <x:t xml:space="preserve">Assign a unique name and/or number for identifying and tracking user identity.</x:t>
        </x:is>
      </x:c>
      <x:c r="AE10" s="5" t="inlineStr">
        <x:is>
          <x:t xml:space="preserve">Required implementation specification</x:t>
        </x:is>
      </x:c>
      <x:c r="AF10" s="5" t="inlineStr">
        <x:is>
          <x:t xml:space="preserve">Technical Safeguards</x:t>
        </x:is>
      </x:c>
      <x:c r="AG10" s="28" t="inlineStr">
        <x:is>
          <x:t xml:space="preserve">https://www.ecfr.gov/current/title-45/subtitle-A/subchapter-C/part-164/section-164.312</x:t>
        </x:is>
      </x:c>
      <x:c r="AH10" s="28" t="inlineStr">
        <x:is>
          <x:t xml:space="preserve">https://www.hhs.gov/hipaa/for-professionals/compliance-enforcement/audit/protocol-edited/index.html</x:t>
        </x:is>
      </x:c>
      <x:c r="AI10" s="5" t="inlineStr">
        <x:is>
          <x:t xml:space="preserve">REQ-31-HIPAA</x:t>
        </x:is>
      </x:c>
      <x:c r="AJ10" s="5" t="inlineStr">
        <x:is>
          <x:t xml:space="preserve">45 C.F.R. § 164.308(a)(4)(ii)(C)</x:t>
        </x:is>
      </x:c>
      <x:c r="AK10" s="5" t="inlineStr">
        <x:is>
          <x:t xml:space="preserve">Information Access Management — Access Establishment and Modification</x:t>
        </x:is>
      </x:c>
      <x:c r="AL10" s="5" t="inlineStr">
        <x:is>
          <x:t xml:space="preserve">Implement policies and procedures to establish, document, review, and modify a user’s right of access to a workstation, transaction, program, or process.</x:t>
        </x:is>
      </x:c>
      <x:c r="AM10" s="5" t="inlineStr">
        <x:is>
          <x:t xml:space="preserve">Addressable implementation specification</x:t>
        </x:is>
      </x:c>
      <x:c r="AN10" s="5" t="inlineStr">
        <x:is>
          <x:t xml:space="preserve">Administrative Safeguards</x:t>
        </x:is>
      </x:c>
      <x:c r="AO10" s="28" t="inlineStr">
        <x:is>
          <x:t xml:space="preserve">https://www.ecfr.gov/current/title-45/subtitle-A/subchapter-C/part-164/section-164.308</x:t>
        </x:is>
      </x:c>
      <x:c r="AP10" s="28" t="inlineStr">
        <x:is>
          <x:t xml:space="preserve">https://www.hhs.gov/hipaa/for-professionals/compliance-enforcement/audit/protocol-edited/index.html</x:t>
        </x:is>
      </x:c>
      <x:c r="AQ10" s="5" t="n"/>
      <x:c r="AR10" s="5" t="n"/>
      <x:c r="AS10" s="5" t="n"/>
      <x:c r="AT10" s="5" t="n"/>
      <x:c r="AU10" s="5" t="n"/>
      <x:c r="AV10" s="5" t="n"/>
      <x:c r="AW10" s="5" t="n"/>
      <x:c r="AX10" s="5" t="n"/>
      <x:c r="AY10" s="5" t="n"/>
      <x:c r="AZ10" s="5" t="n"/>
      <x:c r="BA10" s="5" t="inlineStr">
        <x:is>
          <x:t xml:space="preserve">45 C.F.R. § 164.308(a)(3)(ii)(C)</x:t>
        </x:is>
      </x:c>
      <x:c r="BB10" s="5" t="inlineStr">
        <x:is>
          <x:t xml:space="preserve">Workforce Security — Termination Procedures</x:t>
        </x:is>
      </x:c>
      <x:c r="BC10" s="5" t="inlineStr">
        <x:is>
          <x:t xml:space="preserve">Implement procedures for terminating a workforce member’s access to ePHI when employment ends or when access should otherwise be removed.</x:t>
        </x:is>
      </x:c>
      <x:c r="BD10" s="5" t="inlineStr">
        <x:is>
          <x:t xml:space="preserve">Addressable implementation specification</x:t>
        </x:is>
      </x:c>
      <x:c r="BE10" s="5" t="inlineStr">
        <x:is>
          <x:t xml:space="preserve">Administrative Safeguards</x:t>
        </x:is>
      </x:c>
      <x:c r="BF10" s="28" t="inlineStr">
        <x:is>
          <x:t xml:space="preserve">https://www.ecfr.gov/current/title-45/subtitle-A/subchapter-C/part-164/section-164.308</x:t>
        </x:is>
      </x:c>
      <x:c r="BG10" s="28" t="inlineStr">
        <x:is>
          <x:t xml:space="preserve">https://www.hhs.gov/hipaa/for-professionals/security/guidance/cybersecurity-newsletter-summer-2019/index.html</x:t>
        </x:is>
      </x:c>
      <x:c r="BH10" s="5" t="n"/>
      <x:c r="BI10" s="5" t="n"/>
      <x:c r="BJ10" s="5" t="n"/>
      <x:c r="BK10" s="5" t="n"/>
      <x:c r="BL10" s="5" t="n"/>
      <x:c r="BM10" s="5" t="n"/>
      <x:c r="BN10" s="5" t="n"/>
      <x:c r="BO10" s="5" t="n"/>
      <x:c r="BP10" s="5" t="n"/>
      <x:c r="BQ10" s="5" t="n"/>
      <x:c r="BR10" s="5" t="n"/>
      <x:c r="BS10" s="5" t="n"/>
      <x:c r="BT10" s="5" t="n"/>
      <x:c r="BU10" s="5" t="n"/>
    </x:row>
    <x:row r="11" ht="30" customHeight="1">
      <x:c r="A11" s="5" t="inlineStr">
        <x:is>
          <x:t xml:space="preserve">HITRUST e1.csv</x:t>
        </x:is>
      </x:c>
      <x:c r="B11" s="5" t="inlineStr">
        <x:is>
          <x:t xml:space="preserve">ER-25</x:t>
        </x:is>
      </x:c>
      <x:c r="C11" s="5" t="inlineStr">
        <x:is>
          <x:t xml:space="preserve">Configuration</x:t>
        </x:is>
      </x:c>
      <x:c r="D11" s="5" t="inlineStr">
        <x:is>
          <x:t xml:space="preserve">Passwords for All In-Scope Production Systems</x:t>
        </x:is>
      </x:c>
      <x:c r="E11" s="5" t="inlineStr">
        <x:is>
          <x:t xml:space="preserve">REQ-26-HIPAA</x:t>
        </x:is>
      </x:c>
      <x:c r="F11" s="5" t="n">
        <x:v>1</x:v>
      </x:c>
      <x:c r="G11" s="5" t="inlineStr">
        <x:is>
          <x:t xml:space="preserve">10.01d1System.10</x:t>
        </x:is>
      </x:c>
      <x:c r="H11" s="5" t="n">
        <x:v>1</x:v>
      </x:c>
      <x:c r="I11" s="5" t="inlineStr">
        <x:is>
          <x:t xml:space="preserve">1:1</x:t>
        </x:is>
      </x:c>
      <x:c r="J11" s="5" t="inlineStr">
        <x:is>
          <x:t xml:space="preserve">Direct 1:1 overlap at the action-item level.</x:t>
        </x:is>
      </x:c>
      <x:c r="K11" s="5" t="inlineStr">
        <x:is>
          <x:t xml:space="preserve">45 CFR § 164.308(a)(5)(ii)(D) | 45 CFR § 164.312(a)(1)</x:t>
        </x:is>
      </x:c>
      <x:c r="L11" s="5" t="inlineStr">
        <x:is>
          <x:t xml:space="preserve">Security Awareness and Training — Password Management | Access Control</x:t>
        </x:is>
      </x:c>
      <x:c r="M11" s="5" t="inlineStr">
        <x:is>
          <x:t xml:space="preserve">Composite</x:t>
        </x:is>
      </x:c>
      <x:c r="N11" s="5" t="inlineStr">
        <x:is>
          <x:t xml:space="preserve">Password configuration evidence most directly aligns to password-management requirements and the broader access-control standard.</x:t>
        </x:is>
      </x:c>
      <x:c r="O11" s="28"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P11" s="5" t="inlineStr">
        <x:is>
          <x:t xml:space="preserve">This row is password-configuration evidence; MFA is not the primary evidence artifact here.</x:t>
        </x:is>
      </x:c>
      <x:c r="Q11" s="5" t="inlineStr">
        <x:is>
          <x:t xml:space="preserve">REQ-26-HIPAA</x:t>
        </x:is>
      </x:c>
      <x:c r="R11" s="5" t="inlineStr">
        <x:is>
          <x:t xml:space="preserve">10.01d1System.10</x:t>
        </x:is>
      </x:c>
      <x:c r="S11" s="5" t="inlineStr">
        <x:is>
          <x:t xml:space="preserve">10.01d1 System.10</x:t>
        </x:is>
      </x:c>
      <x:c r="T11" s="5" t="n"/>
      <x:c r="U11" s="5" t="n"/>
      <x:c r="V11" s="5" t="n"/>
      <x:c r="W11" s="5" t="n"/>
      <x:c r="X11" s="5" t="n"/>
      <x:c r="Y11" s="5" t="n"/>
      <x:c r="Z11" s="5" t="n">
        <x:v>2</x:v>
      </x:c>
      <x:c r="AA11" s="5" t="n"/>
      <x:c r="AB11" s="5" t="inlineStr">
        <x:is>
          <x:t xml:space="preserve">45 C.F.R. § 164.308(a)(5)(ii)(D)</x:t>
        </x:is>
      </x:c>
      <x:c r="AC11" s="5" t="inlineStr">
        <x:is>
          <x:t xml:space="preserve">Security Awareness and Training — Password Management</x:t>
        </x:is>
      </x:c>
      <x:c r="AD11" s="5" t="inlineStr">
        <x:is>
          <x:t xml:space="preserve">Implement procedures for creating, changing, and safeguarding passwords.</x:t>
        </x:is>
      </x:c>
      <x:c r="AE11" s="5" t="inlineStr">
        <x:is>
          <x:t xml:space="preserve">Addressable implementation specification</x:t>
        </x:is>
      </x:c>
      <x:c r="AF11" s="5" t="inlineStr">
        <x:is>
          <x:t xml:space="preserve">Administrative Safeguards</x:t>
        </x:is>
      </x:c>
      <x:c r="AG11" s="28" t="inlineStr">
        <x:is>
          <x:t xml:space="preserve">https://www.ecfr.gov/current/title-45/subtitle-A/subchapter-C/part-164/section-164.308</x:t>
        </x:is>
      </x:c>
      <x:c r="AH11" s="28" t="inlineStr">
        <x:is>
          <x:t xml:space="preserve">https://www.hhs.gov/sites/default/files/ocr/privacy/hipaa/administrative/securityrule/adminsafeguards.pdf</x:t>
        </x:is>
      </x:c>
      <x:c r="AI11" s="5" t="n"/>
      <x:c r="AJ11" s="5" t="inlineStr">
        <x:is>
          <x:t xml:space="preserve">45 C.F.R. § 164.312(a)(1)</x:t>
        </x:is>
      </x:c>
      <x:c r="AK11" s="5" t="inlineStr">
        <x:is>
          <x:t xml:space="preserve">Access Control</x:t>
        </x:is>
      </x:c>
      <x:c r="AL11" s="5" t="inlineStr">
        <x:is>
          <x:t xml:space="preserve">Implement technical policies and procedures for electronic information systems that maintain ePHI to allow access only to persons or software programs with authorized access rights.</x:t>
        </x:is>
      </x:c>
      <x:c r="AM11" s="5" t="inlineStr">
        <x:is>
          <x:t xml:space="preserve">Standard</x:t>
        </x:is>
      </x:c>
      <x:c r="AN11" s="5" t="inlineStr">
        <x:is>
          <x:t xml:space="preserve">Technical Safeguards</x:t>
        </x:is>
      </x:c>
      <x:c r="AO11" s="28" t="inlineStr">
        <x:is>
          <x:t xml:space="preserve">https://www.ecfr.gov/current/title-45/subtitle-A/subchapter-C/part-164/section-164.312</x:t>
        </x:is>
      </x:c>
      <x:c r="AP11" s="28" t="inlineStr">
        <x:is>
          <x:t xml:space="preserve">https://www.hhs.gov/hipaa/for-professionals/compliance-enforcement/audit/protocol-edited/index.html</x:t>
        </x:is>
      </x:c>
      <x:c r="AQ11" s="5" t="n"/>
      <x:c r="AR11" s="5" t="n"/>
      <x:c r="AS11" s="5" t="n"/>
      <x:c r="AT11" s="5" t="n"/>
      <x:c r="AU11" s="5" t="n"/>
      <x:c r="AV11" s="5" t="n"/>
      <x:c r="AW11" s="5" t="n"/>
      <x:c r="AX11" s="5" t="n"/>
      <x:c r="AY11" s="5" t="n"/>
      <x:c r="AZ11" s="5" t="n"/>
      <x:c r="BA11" s="5" t="n"/>
      <x:c r="BB11" s="5" t="n"/>
      <x:c r="BC11" s="5" t="n"/>
      <x:c r="BD11" s="5" t="n"/>
      <x:c r="BE11" s="5" t="n"/>
      <x:c r="BF11" s="5" t="n"/>
      <x:c r="BG11" s="5" t="n"/>
      <x:c r="BH11" s="5" t="n"/>
      <x:c r="BI11" s="5" t="n"/>
      <x:c r="BJ11" s="5" t="n"/>
      <x:c r="BK11" s="5" t="n"/>
      <x:c r="BL11" s="5" t="n"/>
      <x:c r="BM11" s="5" t="n"/>
      <x:c r="BN11" s="5" t="n"/>
      <x:c r="BO11" s="5" t="n"/>
      <x:c r="BP11" s="5" t="n"/>
      <x:c r="BQ11" s="5" t="n"/>
      <x:c r="BR11" s="5" t="n"/>
      <x:c r="BS11" s="5" t="n"/>
      <x:c r="BT11" s="5" t="n"/>
      <x:c r="BU11" s="5" t="n"/>
    </x:row>
    <x:row r="12" ht="30" customHeight="1">
      <x:c r="A12" s="5" t="inlineStr">
        <x:is>
          <x:t xml:space="preserve">HIPAA Security.csv</x:t>
        </x:is>
      </x:c>
      <x:c r="B12" s="5" t="inlineStr">
        <x:is>
          <x:t xml:space="preserve">ER-271</x:t>
        </x:is>
      </x:c>
      <x:c r="C12" s="5" t="inlineStr">
        <x:is>
          <x:t xml:space="preserve">Operational</x:t>
        </x:is>
      </x:c>
      <x:c r="D12" s="5" t="inlineStr">
        <x:is>
          <x:t xml:space="preserve">Asset Custody Log</x:t>
        </x:is>
      </x:c>
      <x:c r="E12" s="5" t="inlineStr">
        <x:is>
          <x:t xml:space="preserve">REQ-109-HIPAA</x:t>
        </x:is>
      </x:c>
      <x:c r="F12" s="5" t="n">
        <x:v>1</x:v>
      </x:c>
      <x:c r="G12" s="5" t="inlineStr">
        <x:is>
          <x:t xml:space="preserve">0704.07a1Organizational.8, 0701.07a1Organizational.8</x:t>
        </x:is>
      </x:c>
      <x:c r="H12" s="5" t="n">
        <x:v>2</x:v>
      </x:c>
      <x:c r="I12" s="5" t="inlineStr">
        <x:is>
          <x:t xml:space="preserve">1:Many</x:t>
        </x:is>
      </x:c>
      <x:c r="J12" s="5" t="inlineStr">
        <x:is>
          <x:t xml:space="preserve">One HIPAA local control decomposes into multiple HITRUST e1 controls in this action item.</x:t>
        </x:is>
      </x:c>
      <x:c r="K12" s="5" t="inlineStr">
        <x:is>
          <x:t xml:space="preserve">45 CFR § 164.310(d)(2)(iii)</x:t>
        </x:is>
      </x:c>
      <x:c r="L12" s="5" t="inlineStr">
        <x:is>
          <x:t xml:space="preserve">Device and Media Controls — Accountability</x:t>
        </x:is>
      </x:c>
      <x:c r="M12" s="5" t="inlineStr">
        <x:is>
          <x:t xml:space="preserve">Direct</x:t>
        </x:is>
      </x:c>
      <x:c r="N12" s="5" t="inlineStr">
        <x:is>
          <x:t xml:space="preserve">Asset custody logs align directly to maintaining a record of the movements of hardware/electronic media and the person responsible.</x:t>
        </x:is>
      </x:c>
      <x:c r="O12" s="28"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P12" s="5" t="inlineStr">
        <x:is>
          <x:t xml:space="preserve">Used for custody/chain-of-responsibility evidence.</x:t>
        </x:is>
      </x:c>
      <x:c r="Q12" s="5" t="inlineStr">
        <x:is>
          <x:t xml:space="preserve">REQ-109-HIPAA</x:t>
        </x:is>
      </x:c>
      <x:c r="R12" s="5" t="inlineStr">
        <x:is>
          <x:t xml:space="preserve">0704.07a1Organizational.8</x:t>
        </x:is>
      </x:c>
      <x:c r="S12" s="5" t="inlineStr">
        <x:is>
          <x:t xml:space="preserve">0704.07a1 Organizational.8</x:t>
        </x:is>
      </x:c>
      <x:c r="T12" s="5" t="inlineStr">
        <x:is>
          <x:t xml:space="preserve">0701.07a1Organizational.8</x:t>
        </x:is>
      </x:c>
      <x:c r="U12" s="5" t="inlineStr">
        <x:is>
          <x:t xml:space="preserve">0701.07a1 Organizational.8</x:t>
        </x:is>
      </x:c>
      <x:c r="V12" s="5" t="n"/>
      <x:c r="W12" s="5" t="n"/>
      <x:c r="X12" s="5" t="n"/>
      <x:c r="Y12" s="5" t="n"/>
      <x:c r="Z12" s="5" t="n">
        <x:v>1</x:v>
      </x:c>
      <x:c r="AA12" s="5" t="n"/>
      <x:c r="AB12" s="5" t="inlineStr">
        <x:is>
          <x:t xml:space="preserve">45 C.F.R. § 164.310(d)(2)(iii)</x:t>
        </x:is>
      </x:c>
      <x:c r="AC12" s="5" t="inlineStr">
        <x:is>
          <x:t xml:space="preserve">Device and Media Controls — Accountability</x:t>
        </x:is>
      </x:c>
      <x:c r="AD12" s="5" t="inlineStr">
        <x:is>
          <x:t xml:space="preserve">Maintain a record of the movements of hardware and electronic media and the person responsible for them.</x:t>
        </x:is>
      </x:c>
      <x:c r="AE12" s="5" t="inlineStr">
        <x:is>
          <x:t xml:space="preserve">Addressable implementation specification</x:t>
        </x:is>
      </x:c>
      <x:c r="AF12" s="5" t="inlineStr">
        <x:is>
          <x:t xml:space="preserve">Physical Safeguards</x:t>
        </x:is>
      </x:c>
      <x:c r="AG12" s="28" t="inlineStr">
        <x:is>
          <x:t xml:space="preserve">https://www.ecfr.gov/current/title-45/subtitle-A/subchapter-C/part-164/section-164.310</x:t>
        </x:is>
      </x:c>
      <x:c r="AH12" s="28" t="inlineStr">
        <x:is>
          <x:t xml:space="preserve">https://www.hhs.gov/sites/default/files/ocr/privacy/hipaa/administrative/combined/hipaa-simplification-201303.pdf</x:t>
        </x:is>
      </x:c>
      <x:c r="AI12" s="5" t="n"/>
      <x:c r="AJ12" s="5" t="n"/>
      <x:c r="AK12" s="5" t="n"/>
      <x:c r="AL12" s="5" t="n"/>
      <x:c r="AM12" s="5" t="n"/>
      <x:c r="AN12" s="5" t="n"/>
      <x:c r="AO12" s="5" t="n"/>
      <x:c r="AP12" s="5" t="n"/>
      <x:c r="AQ12" s="5" t="n"/>
      <x:c r="AR12" s="5" t="n"/>
      <x:c r="AS12" s="5" t="n"/>
      <x:c r="AT12" s="5" t="n"/>
      <x:c r="AU12" s="5" t="n"/>
      <x:c r="AV12" s="5" t="n"/>
      <x:c r="AW12" s="5" t="n"/>
      <x:c r="AX12" s="5" t="n"/>
      <x:c r="AY12" s="5" t="n"/>
      <x:c r="AZ12" s="5" t="n"/>
      <x:c r="BA12" s="5" t="n"/>
      <x:c r="BB12" s="5" t="n"/>
      <x:c r="BC12" s="5" t="n"/>
      <x:c r="BD12" s="5" t="n"/>
      <x:c r="BE12" s="5" t="n"/>
      <x:c r="BF12" s="5" t="n"/>
      <x:c r="BG12" s="5" t="n"/>
      <x:c r="BH12" s="5" t="n"/>
      <x:c r="BI12" s="5" t="n"/>
      <x:c r="BJ12" s="5" t="n"/>
      <x:c r="BK12" s="5" t="n"/>
      <x:c r="BL12" s="5" t="n"/>
      <x:c r="BM12" s="5" t="n"/>
      <x:c r="BN12" s="5" t="n"/>
      <x:c r="BO12" s="5" t="n"/>
      <x:c r="BP12" s="5" t="n"/>
      <x:c r="BQ12" s="5" t="n"/>
      <x:c r="BR12" s="5" t="n"/>
      <x:c r="BS12" s="5" t="n"/>
      <x:c r="BT12" s="5" t="n"/>
      <x:c r="BU12" s="5" t="n"/>
    </x:row>
    <x:row r="13" ht="30" customHeight="1">
      <x:c r="A13" s="5" t="inlineStr">
        <x:is>
          <x:t xml:space="preserve">HITRUST e1.csv</x:t>
        </x:is>
      </x:c>
      <x:c r="B13" s="5" t="inlineStr">
        <x:is>
          <x:t xml:space="preserve">ER-123</x:t>
        </x:is>
      </x:c>
      <x:c r="C13" s="5" t="inlineStr">
        <x:is>
          <x:t xml:space="preserve">Operational</x:t>
        </x:is>
      </x:c>
      <x:c r="D13" s="5" t="inlineStr">
        <x:is>
          <x:t xml:space="preserve">Completed Production Data Backup Test</x:t>
        </x:is>
      </x:c>
      <x:c r="E13" s="5" t="inlineStr">
        <x:is>
          <x:t xml:space="preserve">REQ-61-HIPAA</x:t>
        </x:is>
      </x:c>
      <x:c r="F13" s="5" t="n">
        <x:v>1</x:v>
      </x:c>
      <x:c r="G13" s="5" t="inlineStr">
        <x:is>
          <x:t xml:space="preserve">1616.09l1Organizational.16</x:t>
        </x:is>
      </x:c>
      <x:c r="H13" s="5" t="n">
        <x:v>1</x:v>
      </x:c>
      <x:c r="I13" s="5" t="inlineStr">
        <x:is>
          <x:t xml:space="preserve">1:1</x:t>
        </x:is>
      </x:c>
      <x:c r="J13" s="5" t="inlineStr">
        <x:is>
          <x:t xml:space="preserve">Direct 1:1 overlap at the action-item level.</x:t>
        </x:is>
      </x:c>
      <x:c r="K13" s="5" t="inlineStr">
        <x:is>
          <x:t xml:space="preserve">45 CFR § 164.308(a)(7)(ii)(D)</x:t>
        </x:is>
      </x:c>
      <x:c r="L13" s="5" t="inlineStr">
        <x:is>
          <x:t xml:space="preserve">Contingency Plan — Testing and Revision Procedure</x:t>
        </x:is>
      </x:c>
      <x:c r="M13" s="5" t="inlineStr">
        <x:is>
          <x:t xml:space="preserve">Direct</x:t>
        </x:is>
      </x:c>
      <x:c r="N13" s="5" t="inlineStr">
        <x:is>
          <x:t xml:space="preserve">A completed backup test aligns directly to periodic testing/revision of contingency plans.</x:t>
        </x:is>
      </x:c>
      <x:c r="O13"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P13" s="5" t="inlineStr">
        <x:is>
          <x:t xml:space="preserve">Used for explicit backup-test evidence.</x:t>
        </x:is>
      </x:c>
      <x:c r="Q13" s="5" t="inlineStr">
        <x:is>
          <x:t xml:space="preserve">REQ-61-HIPAA</x:t>
        </x:is>
      </x:c>
      <x:c r="R13" s="5" t="inlineStr">
        <x:is>
          <x:t xml:space="preserve">1616.09l1Organizational.16</x:t>
        </x:is>
      </x:c>
      <x:c r="S13" s="5" t="inlineStr">
        <x:is>
          <x:t xml:space="preserve">1616.09l1 Organizational.16</x:t>
        </x:is>
      </x:c>
      <x:c r="T13" s="5" t="n"/>
      <x:c r="U13" s="5" t="n"/>
      <x:c r="V13" s="5" t="n"/>
      <x:c r="W13" s="5" t="n"/>
      <x:c r="X13" s="5" t="n"/>
      <x:c r="Y13" s="5" t="n"/>
      <x:c r="Z13" s="5" t="n">
        <x:v>1</x:v>
      </x:c>
      <x:c r="AA13" s="5" t="n"/>
      <x:c r="AB13" s="5" t="inlineStr">
        <x:is>
          <x:t xml:space="preserve">45 C.F.R. § 164.308(a)(7)(ii)(D)</x:t>
        </x:is>
      </x:c>
      <x:c r="AC13" s="5" t="inlineStr">
        <x:is>
          <x:t xml:space="preserve">Contingency Plan — Applications and Data Criticality Analysis</x:t>
        </x:is>
      </x:c>
      <x:c r="AD13" s="5" t="inlineStr">
        <x:is>
          <x:t xml:space="preserve">Assess the relative criticality of specific applications and data in support of contingency planning.</x:t>
        </x:is>
      </x:c>
      <x:c r="AE13" s="5" t="inlineStr">
        <x:is>
          <x:t xml:space="preserve">Addressable implementation specification</x:t>
        </x:is>
      </x:c>
      <x:c r="AF13" s="5" t="inlineStr">
        <x:is>
          <x:t xml:space="preserve">Administrative Safeguards</x:t>
        </x:is>
      </x:c>
      <x:c r="AG13" s="28" t="inlineStr">
        <x:is>
          <x:t xml:space="preserve">https://www.ecfr.gov/current/title-45/subtitle-A/subchapter-C/part-164/section-164.308</x:t>
        </x:is>
      </x:c>
      <x:c r="AH13" s="28" t="inlineStr">
        <x:is>
          <x:t xml:space="preserve">https://www.hhs.gov/hipaa/for-professionals/compliance-enforcement/audit/protocol-edited/index.html</x:t>
        </x:is>
      </x:c>
      <x:c r="AI13" s="5" t="n"/>
      <x:c r="AJ13" s="5" t="n"/>
      <x:c r="AK13" s="5" t="n"/>
      <x:c r="AL13" s="5" t="n"/>
      <x:c r="AM13" s="5" t="n"/>
      <x:c r="AN13" s="5" t="n"/>
      <x:c r="AO13" s="5" t="n"/>
      <x:c r="AP13" s="5" t="n"/>
      <x:c r="AQ13" s="5" t="n"/>
      <x:c r="AR13" s="5" t="n"/>
      <x:c r="AS13" s="5" t="n"/>
      <x:c r="AT13" s="5" t="n"/>
      <x:c r="AU13" s="5" t="n"/>
      <x:c r="AV13" s="5" t="n"/>
      <x:c r="AW13" s="5" t="n"/>
      <x:c r="AX13" s="5" t="n"/>
      <x:c r="AY13" s="5" t="n"/>
      <x:c r="AZ13" s="5" t="n"/>
      <x:c r="BA13" s="5" t="n"/>
      <x:c r="BB13" s="5" t="n"/>
      <x:c r="BC13" s="5" t="n"/>
      <x:c r="BD13" s="5" t="n"/>
      <x:c r="BE13" s="5" t="n"/>
      <x:c r="BF13" s="5" t="n"/>
      <x:c r="BG13" s="5" t="n"/>
      <x:c r="BH13" s="5" t="n"/>
      <x:c r="BI13" s="5" t="n"/>
      <x:c r="BJ13" s="5" t="n"/>
      <x:c r="BK13" s="5" t="n"/>
      <x:c r="BL13" s="5" t="n"/>
      <x:c r="BM13" s="5" t="n"/>
      <x:c r="BN13" s="5" t="n"/>
      <x:c r="BO13" s="5" t="n"/>
      <x:c r="BP13" s="5" t="n"/>
      <x:c r="BQ13" s="5" t="n"/>
      <x:c r="BR13" s="5" t="n"/>
      <x:c r="BS13" s="5" t="n"/>
      <x:c r="BT13" s="5" t="n"/>
      <x:c r="BU13" s="5" t="n"/>
    </x:row>
    <x:row r="14" ht="30" customHeight="1">
      <x:c r="A14" s="5" t="inlineStr">
        <x:is>
          <x:t xml:space="preserve">HITRUST e1.csv</x:t>
        </x:is>
      </x:c>
      <x:c r="B14" s="5" t="inlineStr">
        <x:is>
          <x:t xml:space="preserve">ER-56</x:t>
        </x:is>
      </x:c>
      <x:c r="C14" s="5" t="inlineStr">
        <x:is>
          <x:t xml:space="preserve">Operational</x:t>
        </x:is>
      </x:c>
      <x:c r="D14" s="5" t="inlineStr">
        <x:is>
          <x:t xml:space="preserve">Information Security Policy Repository</x:t>
        </x:is>
      </x:c>
      <x:c r="E14" s="5" t="inlineStr">
        <x:is>
          <x:t xml:space="preserve">REQ-1-HIPAA, REQ-12-HIPAA, REQ-13-HIPAA</x:t>
        </x:is>
      </x:c>
      <x:c r="F14" s="5" t="n">
        <x:v>3</x:v>
      </x:c>
      <x:c r="G14" s="5" t="inlineStr">
        <x:is>
          <x:t xml:space="preserve">0113.04a1Organizational.2</x:t>
        </x:is>
      </x:c>
      <x:c r="H14" s="5" t="n">
        <x:v>1</x:v>
      </x:c>
      <x:c r="I14" s="5" t="inlineStr">
        <x:is>
          <x:t xml:space="preserve">Many:1</x:t>
        </x:is>
      </x:c>
      <x:c r="J14" s="5" t="inlineStr">
        <x:is>
          <x:t xml:space="preserve">Multiple HIPAA local controls converge on one HITRUST e1 control in this action item.</x:t>
        </x:is>
      </x:c>
      <x:c r="K14" s="5" t="inlineStr">
        <x:is>
          <x:t xml:space="preserve">45 CFR § 164.316(a) | 45 CFR § 164.316(b)(1) | 45 CFR § 164.308(a)(5)</x:t>
        </x:is>
      </x:c>
      <x:c r="L14" s="5" t="inlineStr">
        <x:is>
          <x:t xml:space="preserve">Policies and Procedures | Documentation | Security Awareness and Training</x:t>
        </x:is>
      </x:c>
      <x:c r="M14" s="5" t="inlineStr">
        <x:is>
          <x:t xml:space="preserve">Best-fit (broad policy control) | Direct</x:t>
        </x:is>
      </x:c>
      <x:c r="N14" s="5" t="inlineStr">
        <x:is>
          <x:t xml:space="preserve">Internal control/action item is a general information-security policy repository rather than a single named HIPAA implementation specification; mapped to the Security Rule's policies/procedures and documentation requirements. | Action item and control context align to workforce security-awareness training for new hires. | Action item and control context align to ongoing/current-employee security-awareness training.</x:t>
        </x:is>
      </x:c>
      <x:c r="O14" s="28" t="inlineStr">
        <x:is>
          <x:t xml:space="preserve">https://www.ecfr.gov/current/title-45/subtitle-A/subchapter-C/part-164/section-164.316 | https://www.hhs.gov/sites/default/files/ocr/privacy/hipaa/administrative/securityrule/pprequirements.pdf | https://www.hhs.gov/ocr/privacy/hipaa/administrative/securityrule/index.html | https://www.ecfr.gov/current/title-45/subtitle-A/subchapter-C/part-164/section-164.308 | https://www.hhs.gov/sites/default/files/ocr/privacy/hipaa/administrative/combined/hipaa-simplification-201303.pdf | https://www.hhs.gov/sites/default/files/ocr/privacy/hipaa/administrative/securityrule/adminsafeguards.pdf</x:t>
        </x:is>
      </x:c>
      <x:c r="P14" s="5" t="inlineStr">
        <x:is>
          <x:t xml:space="preserve">Used as the umbrella HIPAA citation for documented security policies. This is broader than any single safeguard requirement. | Mapped at the standard level because the spreadsheet does not break new-hire training into the more granular addressable sub-specifications. | Mapped at the standard level because the spreadsheet expresses periodic training broadly, not only reminders or phishing-specific sub-controls.</x:t>
        </x:is>
      </x:c>
      <x:c r="Q14" s="5" t="inlineStr">
        <x:is>
          <x:t xml:space="preserve">REQ-1-HIPAA</x:t>
        </x:is>
      </x:c>
      <x:c r="R14" s="5" t="inlineStr">
        <x:is>
          <x:t xml:space="preserve">0113.04a1Organizational.2</x:t>
        </x:is>
      </x:c>
      <x:c r="S14" s="5" t="inlineStr">
        <x:is>
          <x:t xml:space="preserve">0113.04a1 Organizational.2</x:t>
        </x:is>
      </x:c>
      <x:c r="T14" s="5" t="n"/>
      <x:c r="U14" s="5" t="n"/>
      <x:c r="V14" s="5" t="n"/>
      <x:c r="W14" s="5" t="n"/>
      <x:c r="X14" s="5" t="n"/>
      <x:c r="Y14" s="5" t="n"/>
      <x:c r="Z14" s="5" t="n">
        <x:v>3</x:v>
      </x:c>
      <x:c r="AA14" s="5" t="n"/>
      <x:c r="AB14" s="5" t="inlineStr">
        <x:is>
          <x:t xml:space="preserve">45 C.F.R. § 164.316(a)</x:t>
        </x:is>
      </x:c>
      <x:c r="AC14" s="5" t="inlineStr">
        <x:is>
          <x:t xml:space="preserve">Policies and Procedures</x:t>
        </x:is>
      </x:c>
      <x:c r="AD14" s="5" t="inlineStr">
        <x:is>
          <x:t xml:space="preserve">Implement reasonable and appropriate policies and procedures to comply with the Security Rule standards, implementation specifications, and other requirements.</x:t>
        </x:is>
      </x:c>
      <x:c r="AE14" s="5" t="inlineStr">
        <x:is>
          <x:t xml:space="preserve">Standard</x:t>
        </x:is>
      </x:c>
      <x:c r="AF14" s="5" t="inlineStr">
        <x:is>
          <x:t xml:space="preserve">Policies / Documentation</x:t>
        </x:is>
      </x:c>
      <x:c r="AG14" s="28" t="inlineStr">
        <x:is>
          <x:t xml:space="preserve">https://www.ecfr.gov/current/title-45/subtitle-A/subchapter-C/part-164/section-164.316</x:t>
        </x:is>
      </x:c>
      <x:c r="AH14" s="28" t="inlineStr">
        <x:is>
          <x:t xml:space="preserve">https://www.hhs.gov/sites/default/files/ocr/privacy/hipaa/administrative/securityrule/pprequirements.pdf</x:t>
        </x:is>
      </x:c>
      <x:c r="AI14" s="5" t="inlineStr">
        <x:is>
          <x:t xml:space="preserve">REQ-12-HIPAA</x:t>
        </x:is>
      </x:c>
      <x:c r="AJ14" s="5" t="inlineStr">
        <x:is>
          <x:t xml:space="preserve">45 C.F.R. § 164.316(b)(1)</x:t>
        </x:is>
      </x:c>
      <x:c r="AK14" s="5" t="inlineStr">
        <x:is>
          <x:t xml:space="preserve">Documentation</x:t>
        </x:is>
      </x:c>
      <x:c r="AL14" s="5" t="inlineStr">
        <x:is>
          <x:t xml:space="preserve">Maintain written or electronic policies and procedures implemented to comply with the Security Rule and written or electronic records of required actions, activities, and assessments.</x:t>
        </x:is>
      </x:c>
      <x:c r="AM14" s="5" t="inlineStr">
        <x:is>
          <x:t xml:space="preserve">Standard</x:t>
        </x:is>
      </x:c>
      <x:c r="AN14" s="5" t="inlineStr">
        <x:is>
          <x:t xml:space="preserve">Policies / Documentation</x:t>
        </x:is>
      </x:c>
      <x:c r="AO14" s="28" t="inlineStr">
        <x:is>
          <x:t xml:space="preserve">https://www.ecfr.gov/current/title-45/subtitle-A/subchapter-C/part-164/section-164.316</x:t>
        </x:is>
      </x:c>
      <x:c r="AP14" s="28" t="inlineStr">
        <x:is>
          <x:t xml:space="preserve">https://www.hhs.gov/sites/default/files/ocr/privacy/hipaa/administrative/securityrule/pprequirements.pdf</x:t>
        </x:is>
      </x:c>
      <x:c r="AQ14" s="5" t="inlineStr">
        <x:is>
          <x:t xml:space="preserve">REQ-13-HIPAA</x:t>
        </x:is>
      </x:c>
      <x:c r="AR14" s="5" t="n"/>
      <x:c r="AS14" s="5" t="n"/>
      <x:c r="AT14" s="5" t="n"/>
      <x:c r="AU14" s="5" t="n"/>
      <x:c r="AV14" s="5" t="n"/>
      <x:c r="AW14" s="5" t="n"/>
      <x:c r="AX14" s="5" t="n"/>
      <x:c r="AY14" s="5" t="n"/>
      <x:c r="AZ14" s="5" t="n"/>
      <x:c r="BA14" s="5" t="inlineStr">
        <x:is>
          <x:t xml:space="preserve">45 C.F.R. § 164.308(a)(5)</x:t>
        </x:is>
      </x:c>
      <x:c r="BB14" s="5" t="inlineStr">
        <x:is>
          <x:t xml:space="preserve">Security Awareness and Training</x:t>
        </x:is>
      </x:c>
      <x:c r="BC14" s="5" t="inlineStr">
        <x:is>
          <x:t xml:space="preserve">Implement a security awareness and training program for all members of the workforce, including management.</x:t>
        </x:is>
      </x:c>
      <x:c r="BD14" s="5" t="inlineStr">
        <x:is>
          <x:t xml:space="preserve">Standard</x:t>
        </x:is>
      </x:c>
      <x:c r="BE14" s="5" t="inlineStr">
        <x:is>
          <x:t xml:space="preserve">Administrative Safeguards</x:t>
        </x:is>
      </x:c>
      <x:c r="BF14" s="28" t="inlineStr">
        <x:is>
          <x:t xml:space="preserve">https://www.ecfr.gov/current/title-45/subtitle-A/subchapter-C/part-164/section-164.308</x:t>
        </x:is>
      </x:c>
      <x:c r="BG14" s="28" t="inlineStr">
        <x:is>
          <x:t xml:space="preserve">https://www.hhs.gov/sites/default/files/ocr/privacy/hipaa/administrative/securityrule/adminsafeguards.pdf</x:t>
        </x:is>
      </x:c>
      <x:c r="BH14" s="5" t="n"/>
      <x:c r="BI14" s="5" t="n"/>
      <x:c r="BJ14" s="5" t="n"/>
      <x:c r="BK14" s="5" t="n"/>
      <x:c r="BL14" s="5" t="n"/>
      <x:c r="BM14" s="5" t="n"/>
      <x:c r="BN14" s="5" t="n"/>
      <x:c r="BO14" s="5" t="n"/>
      <x:c r="BP14" s="5" t="n"/>
      <x:c r="BQ14" s="5" t="n"/>
      <x:c r="BR14" s="5" t="n"/>
      <x:c r="BS14" s="5" t="n"/>
      <x:c r="BT14" s="5" t="n"/>
      <x:c r="BU14" s="5" t="n"/>
    </x:row>
    <x:row r="15" ht="30" customHeight="1">
      <x:c r="A15" s="5" t="inlineStr">
        <x:is>
          <x:t xml:space="preserve">HITRUST e1.csv</x:t>
        </x:is>
      </x:c>
      <x:c r="B15" s="5" t="inlineStr">
        <x:is>
          <x:t xml:space="preserve">ER-105</x:t>
        </x:is>
      </x:c>
      <x:c r="C15" s="5" t="inlineStr">
        <x:is>
          <x:t xml:space="preserve">Operational</x:t>
        </x:is>
      </x:c>
      <x:c r="D15" s="5" t="inlineStr">
        <x:is>
          <x:t xml:space="preserve">Risk Assessment</x:t>
        </x:is>
      </x:c>
      <x:c r="E15" s="5" t="inlineStr">
        <x:is>
          <x:t xml:space="preserve">REQ-17-HIPAA, REQ-20-HIPAA, REQ-110-HIPAA</x:t>
        </x:is>
      </x:c>
      <x:c r="F15" s="5" t="n">
        <x:v>3</x:v>
      </x:c>
      <x:c r="G15" s="5" t="inlineStr">
        <x:is>
          <x:t xml:space="preserve">1704.03b1Organizational.12</x:t>
        </x:is>
      </x:c>
      <x:c r="H15" s="5" t="n">
        <x:v>1</x:v>
      </x:c>
      <x:c r="I15" s="5" t="inlineStr">
        <x:is>
          <x:t xml:space="preserve">Many:1</x:t>
        </x:is>
      </x:c>
      <x:c r="J15" s="5" t="inlineStr">
        <x:is>
          <x:t xml:space="preserve">Multiple HIPAA local controls converge on one HITRUST e1 control in this action item.</x:t>
        </x:is>
      </x:c>
      <x:c r="K15" s="5" t="inlineStr">
        <x:is>
          <x:t xml:space="preserve">45 CFR § 164.308(a)(1)(ii)(A) | 45 CFR § 164.308(a)(1)(ii)(B)</x:t>
        </x:is>
      </x:c>
      <x:c r="L15" s="5" t="inlineStr">
        <x:is>
          <x:t xml:space="preserve">Security Management Process — Risk Analysis | Security Management Process — Risk Management</x:t>
        </x:is>
      </x:c>
      <x:c r="M15" s="5" t="inlineStr">
        <x:is>
          <x:t xml:space="preserve">Direct | Best-fit</x:t>
        </x:is>
      </x:c>
      <x:c r="N15" s="5" t="inlineStr">
        <x:is>
          <x:t xml:space="preserve">Control context aligns to identifying risks and vulnerabilities to ePHI. | Control context aligns to reducing identified risks and vulnerabilities to a reasonable and appropriate level. | The source spreadsheet only exposes an internal control ID on the Risk Assessment action item, so the closest authoritative HIPAA citation is Risk Analysis.</x:t>
        </x:is>
      </x:c>
      <x:c r="O15"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P15" s="5" t="inlineStr">
        <x:is>
          <x:t xml:space="preserve">Risk analysis is the most direct HIPAA citation for assessment-oriented rows. | Used for policy and operational rows focused on treatment/mitigation of identified risks. | Matched by action-item semantics because the internal control itself is not labeled with an official HIPAA section.</x:t>
        </x:is>
      </x:c>
      <x:c r="Q15" s="5" t="inlineStr">
        <x:is>
          <x:t xml:space="preserve">REQ-17-HIPAA</x:t>
        </x:is>
      </x:c>
      <x:c r="R15" s="5" t="inlineStr">
        <x:is>
          <x:t xml:space="preserve">1704.03b1Organizational.12</x:t>
        </x:is>
      </x:c>
      <x:c r="S15" s="5" t="inlineStr">
        <x:is>
          <x:t xml:space="preserve">1704.03b1 Organizational.12</x:t>
        </x:is>
      </x:c>
      <x:c r="T15" s="5" t="n"/>
      <x:c r="U15" s="5" t="n"/>
      <x:c r="V15" s="5" t="n"/>
      <x:c r="W15" s="5" t="n"/>
      <x:c r="X15" s="5" t="n"/>
      <x:c r="Y15" s="5" t="n"/>
      <x:c r="Z15" s="5" t="n">
        <x:v>2</x:v>
      </x:c>
      <x:c r="AA15" s="5" t="n"/>
      <x:c r="AB15" s="5" t="inlineStr">
        <x:is>
          <x:t xml:space="preserve">45 C.F.R. § 164.308(a)(1)(ii)(A)</x:t>
        </x:is>
      </x:c>
      <x:c r="AC15" s="5" t="inlineStr">
        <x:is>
          <x:t xml:space="preserve">Security Management Process — Risk Analysis</x:t>
        </x:is>
      </x:c>
      <x:c r="AD15" s="5" t="inlineStr">
        <x:is>
          <x:t xml:space="preserve">Conduct an accurate and thorough assessment of the potential risks and vulnerabilities to the confidentiality, integrity, and availability of ePHI.</x:t>
        </x:is>
      </x:c>
      <x:c r="AE15" s="5" t="inlineStr">
        <x:is>
          <x:t xml:space="preserve">Required implementation specification</x:t>
        </x:is>
      </x:c>
      <x:c r="AF15" s="5" t="inlineStr">
        <x:is>
          <x:t xml:space="preserve">Administrative Safeguards</x:t>
        </x:is>
      </x:c>
      <x:c r="AG15" s="28" t="inlineStr">
        <x:is>
          <x:t xml:space="preserve">https://www.ecfr.gov/current/title-45/subtitle-A/subchapter-C/part-164/section-164.308</x:t>
        </x:is>
      </x:c>
      <x:c r="AH15" s="28" t="inlineStr">
        <x:is>
          <x:t xml:space="preserve">https://www.hhs.gov/hipaa/for-professionals/security/guidance/guidance-risk-analysis/index.html</x:t>
        </x:is>
      </x:c>
      <x:c r="AI15" s="5" t="inlineStr">
        <x:is>
          <x:t xml:space="preserve">REQ-20-HIPAA</x:t>
        </x:is>
      </x:c>
      <x:c r="AJ15" s="5" t="inlineStr">
        <x:is>
          <x:t xml:space="preserve">45 C.F.R. § 164.308(a)(1)(ii)(B)</x:t>
        </x:is>
      </x:c>
      <x:c r="AK15" s="5" t="inlineStr">
        <x:is>
          <x:t xml:space="preserve">Security Management Process — Risk Management</x:t>
        </x:is>
      </x:c>
      <x:c r="AL15" s="5" t="inlineStr">
        <x:is>
          <x:t xml:space="preserve">Implement security measures sufficient to reduce identified risks and vulnerabilities to a reasonable and appropriate level.</x:t>
        </x:is>
      </x:c>
      <x:c r="AM15" s="5" t="inlineStr">
        <x:is>
          <x:t xml:space="preserve">Required implementation specification</x:t>
        </x:is>
      </x:c>
      <x:c r="AN15" s="5" t="inlineStr">
        <x:is>
          <x:t xml:space="preserve">Administrative Safeguards</x:t>
        </x:is>
      </x:c>
      <x:c r="AO15" s="28" t="inlineStr">
        <x:is>
          <x:t xml:space="preserve">https://www.ecfr.gov/current/title-45/subtitle-A/subchapter-C/part-164/section-164.308</x:t>
        </x:is>
      </x:c>
      <x:c r="AP15" s="28" t="inlineStr">
        <x:is>
          <x:t xml:space="preserve">https://www.hhs.gov/hipaa/for-professionals/security/guidance/guidance-risk-analysis/index.html</x:t>
        </x:is>
      </x:c>
      <x:c r="AQ15" s="5" t="inlineStr">
        <x:is>
          <x:t xml:space="preserve">REQ-110-HIPAA</x:t>
        </x:is>
      </x:c>
      <x:c r="AR15" s="5" t="n"/>
      <x:c r="AS15" s="5" t="n"/>
      <x:c r="AT15" s="5" t="n"/>
      <x:c r="AU15" s="5" t="n"/>
      <x:c r="AV15" s="5" t="n"/>
      <x:c r="AW15" s="5" t="n"/>
      <x:c r="AX15" s="5" t="n"/>
      <x:c r="AY15" s="5" t="n"/>
      <x:c r="AZ15" s="5" t="n"/>
      <x:c r="BA15" s="5" t="n"/>
      <x:c r="BB15" s="5" t="n"/>
      <x:c r="BC15" s="5" t="n"/>
      <x:c r="BD15" s="5" t="n"/>
      <x:c r="BE15" s="5" t="n"/>
      <x:c r="BF15" s="5" t="n"/>
      <x:c r="BG15" s="5" t="n"/>
      <x:c r="BH15" s="5" t="n"/>
      <x:c r="BI15" s="5" t="n"/>
      <x:c r="BJ15" s="5" t="n"/>
      <x:c r="BK15" s="5" t="n"/>
      <x:c r="BL15" s="5" t="n"/>
      <x:c r="BM15" s="5" t="n"/>
      <x:c r="BN15" s="5" t="n"/>
      <x:c r="BO15" s="5" t="n"/>
      <x:c r="BP15" s="5" t="n"/>
      <x:c r="BQ15" s="5" t="n"/>
      <x:c r="BR15" s="5" t="n"/>
      <x:c r="BS15" s="5" t="n"/>
      <x:c r="BT15" s="5" t="n"/>
      <x:c r="BU15" s="5" t="n"/>
    </x:row>
    <x:row r="16" ht="30" customHeight="1">
      <x:c r="A16" s="5" t="inlineStr">
        <x:is>
          <x:t xml:space="preserve">HITRUST e1.csv</x:t>
        </x:is>
      </x:c>
      <x:c r="B16" s="5" t="inlineStr">
        <x:is>
          <x:t xml:space="preserve">ER-86</x:t>
        </x:is>
      </x:c>
      <x:c r="C16" s="5" t="inlineStr">
        <x:is>
          <x:t xml:space="preserve">Policy</x:t>
        </x:is>
      </x:c>
      <x:c r="D16" s="5" t="inlineStr">
        <x:is>
          <x:t xml:space="preserve">Access Control</x:t>
        </x:is>
      </x:c>
      <x:c r="E16" s="5" t="inlineStr">
        <x:is>
          <x:t xml:space="preserve">REQ-29-HIPAA, REQ-24-HIPAA, REQ-30-HIPAA, REQ-31-HIPAA</x:t>
        </x:is>
      </x:c>
      <x:c r="F16" s="5" t="n">
        <x:v>4</x:v>
      </x:c>
      <x:c r="G16" s="5" t="inlineStr">
        <x:is>
          <x:t xml:space="preserve">11.01e1System.2</x:t>
        </x:is>
      </x:c>
      <x:c r="H16" s="5" t="n">
        <x:v>1</x:v>
      </x:c>
      <x:c r="I16" s="5" t="inlineStr">
        <x:is>
          <x:t xml:space="preserve">Many:1</x:t>
        </x:is>
      </x:c>
      <x:c r="J16" s="5" t="inlineStr">
        <x:is>
          <x:t xml:space="preserve">Multiple HIPAA local controls converge on one HITRUST e1 control in this action item.</x:t>
        </x:is>
      </x:c>
      <x:c r="K16" s="5" t="inlineStr">
        <x:is>
          <x:t xml:space="preserve">45 CFR § 164.308(a)(4)(ii)(C) | 45 CFR § 164.312(a)(1) | 45 CFR § 164.308(a)(4)(i) | 45 CFR § 164.308(a)(4)(ii)(B) | 45 CFR § 164.308(a)(3)(ii)(C)</x:t>
        </x:is>
      </x:c>
      <x:c r="L16" s="5" t="inlineStr">
        <x:is>
          <x:t xml:space="preserve">Information Access Management — Access Establishment and Modification | Access Control | Information Access Management | Information Access Management — Access Authorization | Workforce Security — Termination Procedures</x:t>
        </x:is>
      </x:c>
      <x:c r="M16" s="5" t="inlineStr">
        <x:is>
          <x:t xml:space="preserve">Direct | Composite</x:t>
        </x:is>
      </x:c>
      <x:c r="N16" s="5" t="inlineStr">
        <x:is>
          <x:t xml:space="preserve">Access-review documentation aligns directly to the requirement to establish, document, review, and modify user rights of access. | Broad access-control policy control spans both the technical access-control standard and the administrative information-access-management standard. | New-hire access request and approval evidence aligns directly to access authorization. | The same internal control appears within a general access-control policy row; termination remains the most likely HIPAA basis, with access-right modification as supporting context.</x:t>
        </x:is>
      </x:c>
      <x:c r="O16"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 | https://www.ecfr.gov/current/title-45/subtitle-A/subchapter-C/part-164/section-164.312 | https://www.hhs.gov/sites/default/files/ocr/privacy/hipaa/administrative/combined/hipaa-simplification-201303.pdf | https://www.hhs.gov/hipaa/for-professionals/security/guidance/cybersecurity-newsletter-summer-2019/index.html</x:t>
        </x:is>
      </x:c>
      <x:c r="P16" s="5" t="inlineStr">
        <x:is>
          <x:t xml:space="preserve">Used for both access-review evidence and broader policy statements that emphasize periodic review/modification. | Used when the spreadsheet row is a general access-control policy without a narrower authorization/review/termination artifact. | Used for access-request forms/templates and access-control rows that center on approvals. | Mapped conservatively because the internal control ID spans both termination evidence and access-control policy language.</x:t>
        </x:is>
      </x:c>
      <x:c r="Q16" s="5" t="inlineStr">
        <x:is>
          <x:t xml:space="preserve">REQ-29-HIPAA</x:t>
        </x:is>
      </x:c>
      <x:c r="R16" s="5" t="inlineStr">
        <x:is>
          <x:t xml:space="preserve">11.01e1System.2</x:t>
        </x:is>
      </x:c>
      <x:c r="S16" s="5" t="inlineStr">
        <x:is>
          <x:t xml:space="preserve">11.01e1 System.2</x:t>
        </x:is>
      </x:c>
      <x:c r="T16" s="5" t="n"/>
      <x:c r="U16" s="5" t="n"/>
      <x:c r="V16" s="5" t="n"/>
      <x:c r="W16" s="5" t="n"/>
      <x:c r="X16" s="5" t="n"/>
      <x:c r="Y16" s="5" t="n"/>
      <x:c r="Z16" s="5" t="n">
        <x:v>5</x:v>
      </x:c>
      <x:c r="AA16" s="5" t="inlineStr">
        <x:is>
          <x:t xml:space="preserve">45 CFR § 164.308(a)(4)(i) -&gt; 45 C.F.R. § 164.308(a)(4): Standard-level citation used in enhanced sheets because the underlying Thoropass control is general information-access management, not a health-care-clearinghouse-only function.</x:t>
        </x:is>
      </x:c>
      <x:c r="AB16" s="5" t="inlineStr">
        <x:is>
          <x:t xml:space="preserve">45 C.F.R. § 164.312(a)(1)</x:t>
        </x:is>
      </x:c>
      <x:c r="AC16" s="5" t="inlineStr">
        <x:is>
          <x:t xml:space="preserve">Access Control</x:t>
        </x:is>
      </x:c>
      <x:c r="AD16" s="5" t="inlineStr">
        <x:is>
          <x:t xml:space="preserve">Implement technical policies and procedures for electronic information systems that maintain ePHI to allow access only to persons or software programs with authorized access rights.</x:t>
        </x:is>
      </x:c>
      <x:c r="AE16" s="5" t="inlineStr">
        <x:is>
          <x:t xml:space="preserve">Standard</x:t>
        </x:is>
      </x:c>
      <x:c r="AF16" s="5" t="inlineStr">
        <x:is>
          <x:t xml:space="preserve">Technical Safeguards</x:t>
        </x:is>
      </x:c>
      <x:c r="AG16" s="28" t="inlineStr">
        <x:is>
          <x:t xml:space="preserve">https://www.ecfr.gov/current/title-45/subtitle-A/subchapter-C/part-164/section-164.312</x:t>
        </x:is>
      </x:c>
      <x:c r="AH16" s="28" t="inlineStr">
        <x:is>
          <x:t xml:space="preserve">https://www.hhs.gov/hipaa/for-professionals/compliance-enforcement/audit/protocol-edited/index.html</x:t>
        </x:is>
      </x:c>
      <x:c r="AI16" s="5" t="inlineStr">
        <x:is>
          <x:t xml:space="preserve">REQ-24-HIPAA</x:t>
        </x:is>
      </x:c>
      <x:c r="AJ16" s="5" t="inlineStr">
        <x:is>
          <x:t xml:space="preserve">45 C.F.R. § 164.308(a)(4)</x:t>
        </x:is>
      </x:c>
      <x:c r="AK16" s="5" t="inlineStr">
        <x:is>
          <x:t xml:space="preserve">Information Access Management</x:t>
        </x:is>
      </x:c>
      <x:c r="AL16" s="5" t="inlineStr">
        <x:is>
          <x:t xml:space="preserve">Implement policies and procedures for authorizing access to ePHI that are consistent with the applicable requirements of the HIPAA Privacy Rule.</x:t>
        </x:is>
      </x:c>
      <x:c r="AM16" s="5" t="inlineStr">
        <x:is>
          <x:t xml:space="preserve">Standard</x:t>
        </x:is>
      </x:c>
      <x:c r="AN16" s="5" t="inlineStr">
        <x:is>
          <x:t xml:space="preserve">Administrative Safeguards</x:t>
        </x:is>
      </x:c>
      <x:c r="AO16" s="28" t="inlineStr">
        <x:is>
          <x:t xml:space="preserve">https://www.ecfr.gov/current/title-45/subtitle-A/subchapter-C/part-164/section-164.308</x:t>
        </x:is>
      </x:c>
      <x:c r="AP16" s="28" t="inlineStr">
        <x:is>
          <x:t xml:space="preserve">https://www.hhs.gov/hipaa/for-professionals/compliance-enforcement/audit/protocol-edited/index.html</x:t>
        </x:is>
      </x:c>
      <x:c r="AQ16" s="5" t="inlineStr">
        <x:is>
          <x:t xml:space="preserve">REQ-30-HIPAA</x:t>
        </x:is>
      </x:c>
      <x:c r="AR16" s="5" t="n"/>
      <x:c r="AS16" s="5" t="n"/>
      <x:c r="AT16" s="5" t="n"/>
      <x:c r="AU16" s="5" t="n"/>
      <x:c r="AV16" s="5" t="n"/>
      <x:c r="AW16" s="5" t="n"/>
      <x:c r="AX16" s="5" t="n"/>
      <x:c r="AY16" s="5" t="n"/>
      <x:c r="AZ16" s="5" t="inlineStr">
        <x:is>
          <x:t xml:space="preserve">REQ-31-HIPAA</x:t>
        </x:is>
      </x:c>
      <x:c r="BA16" s="5" t="inlineStr">
        <x:is>
          <x:t xml:space="preserve">45 C.F.R. § 164.308(a)(4)(ii)(C)</x:t>
        </x:is>
      </x:c>
      <x:c r="BB16" s="5" t="inlineStr">
        <x:is>
          <x:t xml:space="preserve">Information Access Management — Access Establishment and Modification</x:t>
        </x:is>
      </x:c>
      <x:c r="BC16" s="5" t="inlineStr">
        <x:is>
          <x:t xml:space="preserve">Implement policies and procedures to establish, document, review, and modify a user’s right of access to a workstation, transaction, program, or process.</x:t>
        </x:is>
      </x:c>
      <x:c r="BD16" s="5" t="inlineStr">
        <x:is>
          <x:t xml:space="preserve">Addressable implementation specification</x:t>
        </x:is>
      </x:c>
      <x:c r="BE16" s="5" t="inlineStr">
        <x:is>
          <x:t xml:space="preserve">Administrative Safeguards</x:t>
        </x:is>
      </x:c>
      <x:c r="BF16" s="28" t="inlineStr">
        <x:is>
          <x:t xml:space="preserve">https://www.ecfr.gov/current/title-45/subtitle-A/subchapter-C/part-164/section-164.308</x:t>
        </x:is>
      </x:c>
      <x:c r="BG16" s="28" t="inlineStr">
        <x:is>
          <x:t xml:space="preserve">https://www.hhs.gov/hipaa/for-professionals/compliance-enforcement/audit/protocol-edited/index.html</x:t>
        </x:is>
      </x:c>
      <x:c r="BH16" s="5" t="inlineStr">
        <x:is>
          <x:t xml:space="preserve">45 C.F.R. § 164.308(a)(4)(ii)(B)</x:t>
        </x:is>
      </x:c>
      <x:c r="BI16" s="5" t="inlineStr">
        <x:is>
          <x:t xml:space="preserve">Information Access Management — Access Authorization</x:t>
        </x:is>
      </x:c>
      <x:c r="BJ16" s="5" t="inlineStr">
        <x:is>
          <x:t xml:space="preserve">Implement policies and procedures for granting access to ePHI through appropriate mechanisms such as workstations, transactions, programs, or processes.</x:t>
        </x:is>
      </x:c>
      <x:c r="BK16" s="5" t="inlineStr">
        <x:is>
          <x:t xml:space="preserve">Addressable implementation specification</x:t>
        </x:is>
      </x:c>
      <x:c r="BL16" s="5" t="inlineStr">
        <x:is>
          <x:t xml:space="preserve">Administrative Safeguards</x:t>
        </x:is>
      </x:c>
      <x:c r="BM16" s="28" t="inlineStr">
        <x:is>
          <x:t xml:space="preserve">https://www.ecfr.gov/current/title-45/subtitle-A/subchapter-C/part-164/section-164.308</x:t>
        </x:is>
      </x:c>
      <x:c r="BN16" s="28" t="inlineStr">
        <x:is>
          <x:t xml:space="preserve">https://www.hhs.gov/hipaa/for-professionals/compliance-enforcement/audit/protocol-edited/index.html</x:t>
        </x:is>
      </x:c>
      <x:c r="BO16" s="5" t="inlineStr">
        <x:is>
          <x:t xml:space="preserve">45 C.F.R. § 164.308(a)(3)(ii)(C)</x:t>
        </x:is>
      </x:c>
      <x:c r="BP16" s="5" t="inlineStr">
        <x:is>
          <x:t xml:space="preserve">Workforce Security — Termination Procedures</x:t>
        </x:is>
      </x:c>
      <x:c r="BQ16" s="5" t="inlineStr">
        <x:is>
          <x:t xml:space="preserve">Implement procedures for terminating a workforce member’s access to ePHI when employment ends or when access should otherwise be removed.</x:t>
        </x:is>
      </x:c>
      <x:c r="BR16" s="5" t="inlineStr">
        <x:is>
          <x:t xml:space="preserve">Addressable implementation specification</x:t>
        </x:is>
      </x:c>
      <x:c r="BS16" s="5" t="inlineStr">
        <x:is>
          <x:t xml:space="preserve">Administrative Safeguards</x:t>
        </x:is>
      </x:c>
      <x:c r="BT16" s="28" t="inlineStr">
        <x:is>
          <x:t xml:space="preserve">https://www.ecfr.gov/current/title-45/subtitle-A/subchapter-C/part-164/section-164.308</x:t>
        </x:is>
      </x:c>
      <x:c r="BU16" s="28" t="inlineStr">
        <x:is>
          <x:t xml:space="preserve">https://www.hhs.gov/hipaa/for-professionals/security/guidance/cybersecurity-newsletter-summer-2019/index.html</x:t>
        </x:is>
      </x:c>
    </x:row>
    <x:row r="17" ht="30" customHeight="1">
      <x:c r="A17" s="5" t="inlineStr">
        <x:is>
          <x:t xml:space="preserve">HITRUST e1.csv</x:t>
        </x:is>
      </x:c>
      <x:c r="B17" s="5" t="inlineStr">
        <x:is>
          <x:t xml:space="preserve">ER-115</x:t>
        </x:is>
      </x:c>
      <x:c r="C17" s="5" t="inlineStr">
        <x:is>
          <x:t xml:space="preserve">Policy</x:t>
        </x:is>
      </x:c>
      <x:c r="D17" s="5" t="inlineStr">
        <x:is>
          <x:t xml:space="preserve">Backups</x:t>
        </x:is>
      </x:c>
      <x:c r="E17" s="5" t="inlineStr">
        <x:is>
          <x:t xml:space="preserve">REQ-61-HIPAA, REQ-60-HIPAA</x:t>
        </x:is>
      </x:c>
      <x:c r="F17" s="5" t="n">
        <x:v>2</x:v>
      </x:c>
      <x:c r="G17" s="5" t="inlineStr">
        <x:is>
          <x:t xml:space="preserve">1616.09l1Organizational.16</x:t>
        </x:is>
      </x:c>
      <x:c r="H17" s="5" t="n">
        <x:v>1</x:v>
      </x:c>
      <x:c r="I17" s="5" t="inlineStr">
        <x:is>
          <x:t xml:space="preserve">Many:1</x:t>
        </x:is>
      </x:c>
      <x:c r="J17" s="5" t="inlineStr">
        <x:is>
          <x:t xml:space="preserve">Multiple HIPAA local controls converge on one HITRUST e1 control in this action item.</x:t>
        </x:is>
      </x:c>
      <x:c r="K17" s="5" t="inlineStr">
        <x:is>
          <x:t xml:space="preserve">45 CFR § 164.308(a)(7)(ii)(A) | 45 CFR § 164.308(a)(7)(ii)(D)</x:t>
        </x:is>
      </x:c>
      <x:c r="L17" s="5" t="inlineStr">
        <x:is>
          <x:t xml:space="preserve">Contingency Plan — Data Backup Plan | Contingency Plan — Testing and Revision Procedure</x:t>
        </x:is>
      </x:c>
      <x:c r="M17" s="5" t="inlineStr">
        <x:is>
          <x:t xml:space="preserve">Composite | Direct</x:t>
        </x:is>
      </x:c>
      <x:c r="N17" s="5" t="inlineStr">
        <x:is>
          <x:t xml:space="preserve">This internal control appears on general backup-policy rows and explicit backup-test rows, so both backup-plan and test/revision citations are included. | Backup policy aligns directly to creation and maintenance of retrievable exact copies of ePHI.</x:t>
        </x:is>
      </x:c>
      <x:c r="O17"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 | https://www.hhs.gov/sites/default/files/ocr/privacy/hipaa/administrative/combined/hipaa-simplification-201303.pdf</x:t>
        </x:is>
      </x:c>
      <x:c r="P17" s="5" t="inlineStr">
        <x:is>
          <x:t xml:space="preserve">Broader than a single implementation specification because the source spreadsheet uses the same control across planning and testing evidence. | Used for backup-policy rows.</x:t>
        </x:is>
      </x:c>
      <x:c r="Q17" s="5" t="inlineStr">
        <x:is>
          <x:t xml:space="preserve">REQ-61-HIPAA</x:t>
        </x:is>
      </x:c>
      <x:c r="R17" s="5" t="inlineStr">
        <x:is>
          <x:t xml:space="preserve">1616.09l1Organizational.16</x:t>
        </x:is>
      </x:c>
      <x:c r="S17" s="5" t="inlineStr">
        <x:is>
          <x:t xml:space="preserve">1616.09l1 Organizational.16</x:t>
        </x:is>
      </x:c>
      <x:c r="T17" s="5" t="n"/>
      <x:c r="U17" s="5" t="n"/>
      <x:c r="V17" s="5" t="n"/>
      <x:c r="W17" s="5" t="n"/>
      <x:c r="X17" s="5" t="n"/>
      <x:c r="Y17" s="5" t="n"/>
      <x:c r="Z17" s="5" t="n">
        <x:v>2</x:v>
      </x:c>
      <x:c r="AA17" s="5" t="n"/>
      <x:c r="AB17" s="5" t="inlineStr">
        <x:is>
          <x:t xml:space="preserve">45 C.F.R. § 164.308(a)(7)(ii)(A)</x:t>
        </x:is>
      </x:c>
      <x:c r="AC17" s="5" t="inlineStr">
        <x:is>
          <x:t xml:space="preserve">Contingency Plan — Data Backup Plan</x:t>
        </x:is>
      </x:c>
      <x:c r="AD17" s="5" t="inlineStr">
        <x:is>
          <x:t xml:space="preserve">Establish and implement procedures to create and maintain retrievable exact copies of ePHI.</x:t>
        </x:is>
      </x:c>
      <x:c r="AE17" s="5" t="inlineStr">
        <x:is>
          <x:t xml:space="preserve">Required implementation specification</x:t>
        </x:is>
      </x:c>
      <x:c r="AF17" s="5" t="inlineStr">
        <x:is>
          <x:t xml:space="preserve">Administrative Safeguards</x:t>
        </x:is>
      </x:c>
      <x:c r="AG17" s="28" t="inlineStr">
        <x:is>
          <x:t xml:space="preserve">https://www.ecfr.gov/current/title-45/subtitle-A/subchapter-C/part-164/section-164.308</x:t>
        </x:is>
      </x:c>
      <x:c r="AH17" s="28" t="inlineStr">
        <x:is>
          <x:t xml:space="preserve">https://www.hhs.gov/hipaa/for-professionals/security/guidance/cybersecurity/ransomware-fact-sheet/index.html</x:t>
        </x:is>
      </x:c>
      <x:c r="AI17" s="5" t="inlineStr">
        <x:is>
          <x:t xml:space="preserve">REQ-60-HIPAA</x:t>
        </x:is>
      </x:c>
      <x:c r="AJ17" s="5" t="inlineStr">
        <x:is>
          <x:t xml:space="preserve">45 C.F.R. § 164.308(a)(7)(ii)(D)</x:t>
        </x:is>
      </x:c>
      <x:c r="AK17" s="5" t="inlineStr">
        <x:is>
          <x:t xml:space="preserve">Contingency Plan — Applications and Data Criticality Analysis</x:t>
        </x:is>
      </x:c>
      <x:c r="AL17" s="5" t="inlineStr">
        <x:is>
          <x:t xml:space="preserve">Assess the relative criticality of specific applications and data in support of contingency planning.</x:t>
        </x:is>
      </x:c>
      <x:c r="AM17" s="5" t="inlineStr">
        <x:is>
          <x:t xml:space="preserve">Addressable implementation specification</x:t>
        </x:is>
      </x:c>
      <x:c r="AN17" s="5" t="inlineStr">
        <x:is>
          <x:t xml:space="preserve">Administrative Safeguards</x:t>
        </x:is>
      </x:c>
      <x:c r="AO17" s="28" t="inlineStr">
        <x:is>
          <x:t xml:space="preserve">https://www.ecfr.gov/current/title-45/subtitle-A/subchapter-C/part-164/section-164.308</x:t>
        </x:is>
      </x:c>
      <x:c r="AP17" s="28" t="inlineStr">
        <x:is>
          <x:t xml:space="preserve">https://www.hhs.gov/hipaa/for-professionals/compliance-enforcement/audit/protocol-edited/index.html</x:t>
        </x:is>
      </x:c>
      <x:c r="AQ17" s="5" t="n"/>
      <x:c r="AR17" s="5" t="n"/>
      <x:c r="AS17" s="5" t="n"/>
      <x:c r="AT17" s="5" t="n"/>
      <x:c r="AU17" s="5" t="n"/>
      <x:c r="AV17" s="5" t="n"/>
      <x:c r="AW17" s="5" t="n"/>
      <x:c r="AX17" s="5" t="n"/>
      <x:c r="AY17" s="5" t="n"/>
      <x:c r="AZ17" s="5" t="n"/>
      <x:c r="BA17" s="5" t="n"/>
      <x:c r="BB17" s="5" t="n"/>
      <x:c r="BC17" s="5" t="n"/>
      <x:c r="BD17" s="5" t="n"/>
      <x:c r="BE17" s="5" t="n"/>
      <x:c r="BF17" s="5" t="n"/>
      <x:c r="BG17" s="5" t="n"/>
      <x:c r="BH17" s="5" t="n"/>
      <x:c r="BI17" s="5" t="n"/>
      <x:c r="BJ17" s="5" t="n"/>
      <x:c r="BK17" s="5" t="n"/>
      <x:c r="BL17" s="5" t="n"/>
      <x:c r="BM17" s="5" t="n"/>
      <x:c r="BN17" s="5" t="n"/>
      <x:c r="BO17" s="5" t="n"/>
      <x:c r="BP17" s="5" t="n"/>
      <x:c r="BQ17" s="5" t="n"/>
      <x:c r="BR17" s="5" t="n"/>
      <x:c r="BS17" s="5" t="n"/>
      <x:c r="BT17" s="5" t="n"/>
      <x:c r="BU17" s="5" t="n"/>
    </x:row>
    <x:row r="18" ht="30" customHeight="1">
      <x:c r="A18" s="5" t="inlineStr">
        <x:is>
          <x:t xml:space="preserve">HITRUST e1.csv</x:t>
        </x:is>
      </x:c>
      <x:c r="B18" s="5" t="inlineStr">
        <x:is>
          <x:t xml:space="preserve">ER-61</x:t>
        </x:is>
      </x:c>
      <x:c r="C18" s="5" t="inlineStr">
        <x:is>
          <x:t xml:space="preserve">Policy</x:t>
        </x:is>
      </x:c>
      <x:c r="D18" s="5" t="inlineStr">
        <x:is>
          <x:t xml:space="preserve">Change Management</x:t>
        </x:is>
      </x:c>
      <x:c r="E18" s="5" t="inlineStr">
        <x:is>
          <x:t xml:space="preserve">REQ-53-HIPAA</x:t>
        </x:is>
      </x:c>
      <x:c r="F18" s="5" t="n">
        <x:v>1</x:v>
      </x:c>
      <x:c r="G18" s="5" t="inlineStr">
        <x:is>
          <x:t xml:space="preserve">06.09b1System.2, 1769.09i1System.12</x:t>
        </x:is>
      </x:c>
      <x:c r="H18" s="5" t="n">
        <x:v>2</x:v>
      </x:c>
      <x:c r="I18" s="5" t="inlineStr">
        <x:is>
          <x:t xml:space="preserve">1:Many</x:t>
        </x:is>
      </x:c>
      <x:c r="J18" s="5" t="inlineStr">
        <x:is>
          <x:t xml:space="preserve">One HIPAA local control decomposes into multiple HITRUST e1 controls in this action item.</x:t>
        </x:is>
      </x:c>
      <x:c r="K18" s="5" t="inlineStr">
        <x:is>
          <x:t xml:space="preserve">45 CFR § 164.308(a)(8) | 45 CFR § 164.306(e) | 45 CFR § 164.316(b)(2)(iii)</x:t>
        </x:is>
      </x:c>
      <x:c r="L18" s="5" t="inlineStr">
        <x:is>
          <x:t xml:space="preserve">Evaluation | Maintenance | Documentation — Updates</x:t>
        </x:is>
      </x:c>
      <x:c r="M18" s="5" t="inlineStr">
        <x:is>
          <x:t xml:space="preserve">Best-fit composite</x:t>
        </x:is>
      </x:c>
      <x:c r="N18" s="5" t="inlineStr">
        <x:is>
          <x:t xml:space="preserve">HIPAA does not expressly name change management, but OCR guidance links environmental/operational changes to ongoing evaluation, maintenance, and updating of security documentation.</x:t>
        </x:is>
      </x:c>
      <x:c r="O18" s="28"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P18" s="5" t="inlineStr">
        <x:is>
          <x:t xml:space="preserve">Used for the change-management policy row as the closest HIPAA analogue.</x:t>
        </x:is>
      </x:c>
      <x:c r="Q18" s="5" t="inlineStr">
        <x:is>
          <x:t xml:space="preserve">REQ-53-HIPAA</x:t>
        </x:is>
      </x:c>
      <x:c r="R18" s="5" t="inlineStr">
        <x:is>
          <x:t xml:space="preserve">06.09b1System.2</x:t>
        </x:is>
      </x:c>
      <x:c r="S18" s="5" t="inlineStr">
        <x:is>
          <x:t xml:space="preserve">06.09b1 System.2</x:t>
        </x:is>
      </x:c>
      <x:c r="T18" s="5" t="inlineStr">
        <x:is>
          <x:t xml:space="preserve">1769.09i1System.12</x:t>
        </x:is>
      </x:c>
      <x:c r="U18" s="5" t="inlineStr">
        <x:is>
          <x:t xml:space="preserve">1769.09i1 System.12</x:t>
        </x:is>
      </x:c>
      <x:c r="V18" s="5" t="n"/>
      <x:c r="W18" s="5" t="n"/>
      <x:c r="X18" s="5" t="n"/>
      <x:c r="Y18" s="5" t="n"/>
      <x:c r="Z18" s="5" t="n">
        <x:v>3</x:v>
      </x:c>
      <x:c r="AA18" s="5" t="n"/>
      <x:c r="AB18" s="5" t="inlineStr">
        <x:is>
          <x:t xml:space="preserve">45 C.F.R. § 164.308(a)(8)</x:t>
        </x:is>
      </x:c>
      <x:c r="AC18" s="5" t="inlineStr">
        <x:is>
          <x:t xml:space="preserve">Evaluation</x:t>
        </x:is>
      </x:c>
      <x:c r="AD18" s="5" t="inlineStr">
        <x:is>
          <x:t xml:space="preserve">Perform periodic technical and nontechnical evaluations, and repeat them in response to environmental or operational changes affecting the security of ePHI.</x:t>
        </x:is>
      </x:c>
      <x:c r="AE18" s="5" t="inlineStr">
        <x:is>
          <x:t xml:space="preserve">Required standard</x:t>
        </x:is>
      </x:c>
      <x:c r="AF18" s="5" t="inlineStr">
        <x:is>
          <x:t xml:space="preserve">Administrative Safeguards</x:t>
        </x:is>
      </x:c>
      <x:c r="AG18" s="28" t="inlineStr">
        <x:is>
          <x:t xml:space="preserve">https://www.ecfr.gov/current/title-45/subtitle-A/subchapter-C/part-164/section-164.308</x:t>
        </x:is>
      </x:c>
      <x:c r="AH18" s="28" t="inlineStr">
        <x:is>
          <x:t xml:space="preserve">https://www.hhs.gov/ocr/privacy/hipaa/administrative/securityrule/index.html</x:t>
        </x:is>
      </x:c>
      <x:c r="AI18" s="5" t="n"/>
      <x:c r="AJ18" s="5" t="inlineStr">
        <x:is>
          <x:t xml:space="preserve">45 C.F.R. § 164.306(e)</x:t>
        </x:is>
      </x:c>
      <x:c r="AK18" s="5" t="inlineStr">
        <x:is>
          <x:t xml:space="preserve">Maintenance</x:t>
        </x:is>
      </x:c>
      <x:c r="AL18" s="5" t="inlineStr">
        <x:is>
          <x:t xml:space="preserve">Review and modify security measures as needed to continue providing reasonable and appropriate protection of ePHI, and update related documentation.</x:t>
        </x:is>
      </x:c>
      <x:c r="AM18" s="5" t="inlineStr">
        <x:is>
          <x:t xml:space="preserve">Standard maintenance requirement</x:t>
        </x:is>
      </x:c>
      <x:c r="AN18" s="5" t="inlineStr">
        <x:is>
          <x:t xml:space="preserve">General Rules</x:t>
        </x:is>
      </x:c>
      <x:c r="AO18" s="28" t="inlineStr">
        <x:is>
          <x:t xml:space="preserve">https://www.ecfr.gov/current/title-45/subtitle-A/subchapter-C/part-164/section-164.306</x:t>
        </x:is>
      </x:c>
      <x:c r="AP18" s="28" t="inlineStr">
        <x:is>
          <x:t xml:space="preserve">https://www.hhs.gov/sites/default/files/ocr/privacy/hipaa/administrative/combined/hipaa-simplification-201303.pdf</x:t>
        </x:is>
      </x:c>
      <x:c r="AQ18" s="5" t="n"/>
      <x:c r="AR18" s="5" t="n"/>
      <x:c r="AS18" s="5" t="n"/>
      <x:c r="AT18" s="5" t="n"/>
      <x:c r="AU18" s="5" t="n"/>
      <x:c r="AV18" s="5" t="n"/>
      <x:c r="AW18" s="5" t="n"/>
      <x:c r="AX18" s="5" t="n"/>
      <x:c r="AY18" s="5" t="n"/>
      <x:c r="AZ18" s="5" t="n"/>
      <x:c r="BA18" s="5" t="inlineStr">
        <x:is>
          <x:t xml:space="preserve">45 C.F.R. § 164.316(b)(2)(iii)</x:t>
        </x:is>
      </x:c>
      <x:c r="BB18" s="5" t="inlineStr">
        <x:is>
          <x:t xml:space="preserve">Documentation — Updates</x:t>
        </x:is>
      </x:c>
      <x:c r="BC18" s="5" t="inlineStr">
        <x:is>
          <x:t xml:space="preserve">Review documentation periodically and update it as needed in response to environmental or operational changes affecting the security of ePHI.</x:t>
        </x:is>
      </x:c>
      <x:c r="BD18" s="5" t="inlineStr">
        <x:is>
          <x:t xml:space="preserve">Required implementation specification</x:t>
        </x:is>
      </x:c>
      <x:c r="BE18" s="5" t="inlineStr">
        <x:is>
          <x:t xml:space="preserve">Policies / Documentation</x:t>
        </x:is>
      </x:c>
      <x:c r="BF18" s="28" t="inlineStr">
        <x:is>
          <x:t xml:space="preserve">https://www.ecfr.gov/current/title-45/subtitle-A/subchapter-C/part-164/section-164.316</x:t>
        </x:is>
      </x:c>
      <x:c r="BG18" s="28" t="inlineStr">
        <x:is>
          <x:t xml:space="preserve">https://www.hhs.gov/sites/default/files/ocr/privacy/hipaa/administrative/combined/hipaa-simplification-201303.pdf</x:t>
        </x:is>
      </x:c>
      <x:c r="BH18" s="5" t="n"/>
      <x:c r="BI18" s="5" t="n"/>
      <x:c r="BJ18" s="5" t="n"/>
      <x:c r="BK18" s="5" t="n"/>
      <x:c r="BL18" s="5" t="n"/>
      <x:c r="BM18" s="5" t="n"/>
      <x:c r="BN18" s="5" t="n"/>
      <x:c r="BO18" s="5" t="n"/>
      <x:c r="BP18" s="5" t="n"/>
      <x:c r="BQ18" s="5" t="n"/>
      <x:c r="BR18" s="5" t="n"/>
      <x:c r="BS18" s="5" t="n"/>
      <x:c r="BT18" s="5" t="n"/>
      <x:c r="BU18" s="5" t="n"/>
    </x:row>
    <x:row r="19" ht="30" customHeight="1">
      <x:c r="A19" s="5" t="inlineStr">
        <x:is>
          <x:t xml:space="preserve">HITRUST e1.csv</x:t>
        </x:is>
      </x:c>
      <x:c r="B19" s="5" t="inlineStr">
        <x:is>
          <x:t xml:space="preserve">ER-108</x:t>
        </x:is>
      </x:c>
      <x:c r="C19" s="5" t="inlineStr">
        <x:is>
          <x:t xml:space="preserve">Policy</x:t>
        </x:is>
      </x:c>
      <x:c r="D19" s="5" t="inlineStr">
        <x:is>
          <x:t xml:space="preserve">Data Classification, Retention and Disposal</x:t>
        </x:is>
      </x:c>
      <x:c r="E19" s="5" t="inlineStr">
        <x:is>
          <x:t xml:space="preserve">REQ-32-HIPAA, REQ-67-HIPAA, REQ-66-HIPAA</x:t>
        </x:is>
      </x:c>
      <x:c r="F19" s="5" t="n">
        <x:v>3</x:v>
      </x:c>
      <x:c r="G19" s="5" t="inlineStr">
        <x:is>
          <x:t xml:space="preserve">1239.09aa1System.4, 1616.09l1Organizational.16, 1767.07d1Organizational.2, 0305.09q1Organizational.12, 19142.06c1Organizational.8</x:t>
        </x:is>
      </x:c>
      <x:c r="H19" s="5" t="n">
        <x:v>5</x:v>
      </x:c>
      <x:c r="I19" s="5" t="inlineStr">
        <x:is>
          <x:t xml:space="preserve">Many:Many</x:t>
        </x:is>
      </x:c>
      <x:c r="J19" s="5" t="inlineStr">
        <x:is>
          <x:t xml:space="preserve">Composite overlap: multiple HIPAA and HITRUST e1 controls are satisfied by the same action item.</x:t>
        </x:is>
      </x:c>
      <x:c r="K19" s="5" t="inlineStr">
        <x:is>
          <x:t xml:space="preserve">45 CFR § 164.310(d)(2)(i) | 45 CFR § 164.310(d)(2)(ii)</x:t>
        </x:is>
      </x:c>
      <x:c r="L19" s="5" t="inlineStr">
        <x:is>
          <x:t xml:space="preserve">Device and Media Controls — Disposal | Device and Media Controls — Media Re-use</x:t>
        </x:is>
      </x:c>
      <x:c r="M19" s="5" t="inlineStr">
        <x:is>
          <x:t xml:space="preserve">Best-fit</x:t>
        </x:is>
      </x:c>
      <x:c r="N19" s="5" t="inlineStr">
        <x:is>
          <x:t xml:space="preserve">The direct HIPAA overlap in this action item is final disposition/disposal; HIPAA does not explicitly name data classification or retention as standalone Security Rule specifications. | In this overlap set, the control appears through a data-retention/disposal action item, so disposal is the closest direct HIPAA citation. | Within the data-retention/disposal action item, this internal control is best matched to sanitization/reuse of media; HIPAA does not separately name classification or retention.</x:t>
        </x:is>
      </x:c>
      <x:c r="O19"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P19" s="5" t="inlineStr">
        <x:is>
          <x:t xml:space="preserve">Only the disposal portion of the action item maps directly to an express HIPAA implementation specification. | This same internal control also appears on customer-contract rows elsewhere in the uploaded spreadsheets, but that contractual context is not the shared action item here. | Only the media-reuse/sanitization aspect maps directly to an express HIPAA specification.</x:t>
        </x:is>
      </x:c>
      <x:c r="Q19" s="5" t="inlineStr">
        <x:is>
          <x:t xml:space="preserve">REQ-32-HIPAA</x:t>
        </x:is>
      </x:c>
      <x:c r="R19" s="5" t="inlineStr">
        <x:is>
          <x:t xml:space="preserve">1239.09aa1System.4</x:t>
        </x:is>
      </x:c>
      <x:c r="S19" s="5" t="inlineStr">
        <x:is>
          <x:t xml:space="preserve">1239.09aa1 System.4</x:t>
        </x:is>
      </x:c>
      <x:c r="T19" s="5" t="inlineStr">
        <x:is>
          <x:t xml:space="preserve">1616.09l1Organizational.16</x:t>
        </x:is>
      </x:c>
      <x:c r="U19" s="5" t="inlineStr">
        <x:is>
          <x:t xml:space="preserve">1616.09l1 Organizational.16</x:t>
        </x:is>
      </x:c>
      <x:c r="V19" s="5" t="inlineStr">
        <x:is>
          <x:t xml:space="preserve">1767.07d1Organizational.2</x:t>
        </x:is>
      </x:c>
      <x:c r="W19" s="5" t="inlineStr">
        <x:is>
          <x:t xml:space="preserve">1767.07d1 Organizational.2</x:t>
        </x:is>
      </x:c>
      <x:c r="X19" s="5" t="inlineStr">
        <x:is>
          <x:t xml:space="preserve">0305.09q1Organizational.12</x:t>
        </x:is>
      </x:c>
      <x:c r="Y19" s="5" t="inlineStr">
        <x:is>
          <x:t xml:space="preserve">0305.09q1 Organizational.12</x:t>
        </x:is>
      </x:c>
      <x:c r="Z19" s="5" t="n">
        <x:v>2</x:v>
      </x:c>
      <x:c r="AA19" s="5" t="n"/>
      <x:c r="AB19" s="5" t="inlineStr">
        <x:is>
          <x:t xml:space="preserve">45 C.F.R. § 164.310(d)(2)(i)</x:t>
        </x:is>
      </x:c>
      <x:c r="AC19" s="5" t="inlineStr">
        <x:is>
          <x:t xml:space="preserve">Device and Media Controls — Disposal</x:t>
        </x:is>
      </x:c>
      <x:c r="AD19" s="5" t="inlineStr">
        <x:is>
          <x:t xml:space="preserve">Implement policies and procedures to address the final disposition of ePHI and the hardware or electronic media on which it is stored.</x:t>
        </x:is>
      </x:c>
      <x:c r="AE19" s="5" t="inlineStr">
        <x:is>
          <x:t xml:space="preserve">Required implementation specification</x:t>
        </x:is>
      </x:c>
      <x:c r="AF19" s="5" t="inlineStr">
        <x:is>
          <x:t xml:space="preserve">Physical Safeguards</x:t>
        </x:is>
      </x:c>
      <x:c r="AG19" s="28" t="inlineStr">
        <x:is>
          <x:t xml:space="preserve">https://www.ecfr.gov/current/title-45/subtitle-A/subchapter-C/part-164/section-164.310</x:t>
        </x:is>
      </x:c>
      <x:c r="AH19" s="28" t="inlineStr">
        <x:is>
          <x:t xml:space="preserve">https://www.hhs.gov/hipaa/for-professionals/faq/575/what-does-hipaa-require-of-covered-entities-when-they-dispose-information/index.html</x:t>
        </x:is>
      </x:c>
      <x:c r="AI19" s="5" t="inlineStr">
        <x:is>
          <x:t xml:space="preserve">REQ-67-HIPAA</x:t>
        </x:is>
      </x:c>
      <x:c r="AJ19" s="5" t="inlineStr">
        <x:is>
          <x:t xml:space="preserve">45 C.F.R. § 164.310(d)(2)(ii)</x:t>
        </x:is>
      </x:c>
      <x:c r="AK19" s="5" t="inlineStr">
        <x:is>
          <x:t xml:space="preserve">Device and Media Controls — Media Re-use</x:t>
        </x:is>
      </x:c>
      <x:c r="AL19" s="5" t="inlineStr">
        <x:is>
          <x:t xml:space="preserve">Implement procedures for removing ePHI from electronic media before the media are made available for re-use.</x:t>
        </x:is>
      </x:c>
      <x:c r="AM19" s="5" t="inlineStr">
        <x:is>
          <x:t xml:space="preserve">Required implementation specification</x:t>
        </x:is>
      </x:c>
      <x:c r="AN19" s="5" t="inlineStr">
        <x:is>
          <x:t xml:space="preserve">Physical Safeguards</x:t>
        </x:is>
      </x:c>
      <x:c r="AO19" s="28" t="inlineStr">
        <x:is>
          <x:t xml:space="preserve">https://www.ecfr.gov/current/title-45/subtitle-A/subchapter-C/part-164/section-164.310</x:t>
        </x:is>
      </x:c>
      <x:c r="AP19" s="28" t="inlineStr">
        <x:is>
          <x:t xml:space="preserve">https://www.hhs.gov/hipaa/for-professionals/faq/575/what-does-hipaa-require-of-covered-entities-when-they-dispose-information/index.html</x:t>
        </x:is>
      </x:c>
      <x:c r="AQ19" s="5" t="inlineStr">
        <x:is>
          <x:t xml:space="preserve">REQ-66-HIPAA</x:t>
        </x:is>
      </x:c>
      <x:c r="AR19" s="5" t="inlineStr">
        <x:is>
          <x:t xml:space="preserve">19142.06c1Organizational.8</x:t>
        </x:is>
      </x:c>
      <x:c r="AS19" s="5" t="inlineStr">
        <x:is>
          <x:t xml:space="preserve">19142.06c1 Organizational.8</x:t>
        </x:is>
      </x:c>
      <x:c r="AT19" s="5" t="n"/>
      <x:c r="AU19" s="5" t="n"/>
      <x:c r="AV19" s="5" t="n"/>
      <x:c r="AW19" s="5" t="n"/>
      <x:c r="AX19" s="5" t="n"/>
      <x:c r="AY19" s="5" t="n"/>
      <x:c r="AZ19" s="5" t="n"/>
      <x:c r="BA19" s="5" t="n"/>
      <x:c r="BB19" s="5" t="n"/>
      <x:c r="BC19" s="5" t="n"/>
      <x:c r="BD19" s="5" t="n"/>
      <x:c r="BE19" s="5" t="n"/>
      <x:c r="BF19" s="5" t="n"/>
      <x:c r="BG19" s="5" t="n"/>
      <x:c r="BH19" s="5" t="n"/>
      <x:c r="BI19" s="5" t="n"/>
      <x:c r="BJ19" s="5" t="n"/>
      <x:c r="BK19" s="5" t="n"/>
      <x:c r="BL19" s="5" t="n"/>
      <x:c r="BM19" s="5" t="n"/>
      <x:c r="BN19" s="5" t="n"/>
      <x:c r="BO19" s="5" t="n"/>
      <x:c r="BP19" s="5" t="n"/>
      <x:c r="BQ19" s="5" t="n"/>
      <x:c r="BR19" s="5" t="n"/>
      <x:c r="BS19" s="5" t="n"/>
      <x:c r="BT19" s="5" t="n"/>
      <x:c r="BU19" s="5" t="n"/>
    </x:row>
    <x:row r="20" ht="30" customHeight="1">
      <x:c r="A20" s="5" t="inlineStr">
        <x:is>
          <x:t xml:space="preserve">HITRUST e1.csv</x:t>
        </x:is>
      </x:c>
      <x:c r="B20" s="5" t="inlineStr">
        <x:is>
          <x:t xml:space="preserve">ER-55</x:t>
        </x:is>
      </x:c>
      <x:c r="C20" s="5" t="inlineStr">
        <x:is>
          <x:t xml:space="preserve">Policy</x:t>
        </x:is>
      </x:c>
      <x:c r="D20" s="5" t="inlineStr">
        <x:is>
          <x:t xml:space="preserve">Incident Response</x:t>
        </x:is>
      </x:c>
      <x:c r="E20" s="5" t="inlineStr">
        <x:is>
          <x:t xml:space="preserve">REQ-48-HIPAA, REQ-49-HIPAA</x:t>
        </x:is>
      </x:c>
      <x:c r="F20" s="5" t="n">
        <x:v>2</x:v>
      </x:c>
      <x:c r="G20" s="5" t="inlineStr">
        <x:is>
          <x:t xml:space="preserve">1561.11c1Organizational.4, 1589.11c1Organizational.5</x:t>
        </x:is>
      </x:c>
      <x:c r="H20" s="5" t="n">
        <x:v>2</x:v>
      </x:c>
      <x:c r="I20" s="5" t="inlineStr">
        <x:is>
          <x:t xml:space="preserve">Many:Many</x:t>
        </x:is>
      </x:c>
      <x:c r="J20" s="5" t="inlineStr">
        <x:is>
          <x:t xml:space="preserve">Composite overlap: multiple HIPAA and HITRUST e1 controls are satisfied by the same action item.</x:t>
        </x:is>
      </x:c>
      <x:c r="K20" s="5" t="inlineStr">
        <x:is>
          <x:t xml:space="preserve">45 CFR § 164.308(a)(6)(i) | 45 CFR § 164.308(a)(6)(ii)</x:t>
        </x:is>
      </x:c>
      <x:c r="L20" s="5" t="inlineStr">
        <x:is>
          <x:t xml:space="preserve">Security Incident Procedures | Security Incident Procedures — Response and Reporting</x:t>
        </x:is>
      </x:c>
      <x:c r="M20" s="5" t="inlineStr">
        <x:is>
          <x:t xml:space="preserve">Direct</x:t>
        </x:is>
      </x:c>
      <x:c r="N20" s="5" t="inlineStr">
        <x:is>
          <x:t xml:space="preserve">Incident-response policy aligns directly to the Security Incident Procedures standard. | This internal control best aligns to the response/reporting implementation specification under incident procedures.</x:t>
        </x:is>
      </x:c>
      <x:c r="O20"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P20" s="5" t="inlineStr">
        <x:is>
          <x:t xml:space="preserve">Used for policy-level incident-response rows. | Used where the spreadsheet distinguishes the response/reporting component of incident handling.</x:t>
        </x:is>
      </x:c>
      <x:c r="Q20" s="5" t="inlineStr">
        <x:is>
          <x:t xml:space="preserve">REQ-48-HIPAA</x:t>
        </x:is>
      </x:c>
      <x:c r="R20" s="5" t="inlineStr">
        <x:is>
          <x:t xml:space="preserve">1561.11c1Organizational.4</x:t>
        </x:is>
      </x:c>
      <x:c r="S20" s="5" t="inlineStr">
        <x:is>
          <x:t xml:space="preserve">1561.11c1 Organizational.4</x:t>
        </x:is>
      </x:c>
      <x:c r="T20" s="5" t="inlineStr">
        <x:is>
          <x:t xml:space="preserve">1589.11c1Organizational.5</x:t>
        </x:is>
      </x:c>
      <x:c r="U20" s="5" t="inlineStr">
        <x:is>
          <x:t xml:space="preserve">1589.11c1 Organizational.5</x:t>
        </x:is>
      </x:c>
      <x:c r="V20" s="5" t="n"/>
      <x:c r="W20" s="5" t="n"/>
      <x:c r="X20" s="5" t="n"/>
      <x:c r="Y20" s="5" t="n"/>
      <x:c r="Z20" s="5" t="n">
        <x:v>2</x:v>
      </x:c>
      <x:c r="AA20" s="5" t="n"/>
      <x:c r="AB20" s="5" t="inlineStr">
        <x:is>
          <x:t xml:space="preserve">45 C.F.R. § 164.308(a)(6)(i)</x:t>
        </x:is>
      </x:c>
      <x:c r="AC20" s="5" t="inlineStr">
        <x:is>
          <x:t xml:space="preserve">Security Incident Procedures</x:t>
        </x:is>
      </x:c>
      <x:c r="AD20" s="5" t="inlineStr">
        <x:is>
          <x:t xml:space="preserve">Implement policies and procedures to address security incidents.</x:t>
        </x:is>
      </x:c>
      <x:c r="AE20" s="5" t="inlineStr">
        <x:is>
          <x:t xml:space="preserve">Standard</x:t>
        </x:is>
      </x:c>
      <x:c r="AF20" s="5" t="inlineStr">
        <x:is>
          <x:t xml:space="preserve">Administrative Safeguards</x:t>
        </x:is>
      </x:c>
      <x:c r="AG20" s="28" t="inlineStr">
        <x:is>
          <x:t xml:space="preserve">https://www.ecfr.gov/current/title-45/subtitle-A/subchapter-C/part-164/section-164.308</x:t>
        </x:is>
      </x:c>
      <x:c r="AH20" s="28" t="inlineStr">
        <x:is>
          <x:t xml:space="preserve">https://www.hhs.gov/hipaa/for-professionals/faq/2002/what-does-the-security-rule-require-a-covered-entity-to-do-to-comply/index.html</x:t>
        </x:is>
      </x:c>
      <x:c r="AI20" s="5" t="inlineStr">
        <x:is>
          <x:t xml:space="preserve">REQ-49-HIPAA</x:t>
        </x:is>
      </x:c>
      <x:c r="AJ20" s="5" t="inlineStr">
        <x:is>
          <x:t xml:space="preserve">45 C.F.R. § 164.308(a)(6)(ii)</x:t>
        </x:is>
      </x:c>
      <x:c r="AK20" s="5" t="inlineStr">
        <x:is>
          <x:t xml:space="preserve">Security Incident Procedures — Response and Reporting</x:t>
        </x:is>
      </x:c>
      <x:c r="AL20" s="5" t="inlineStr">
        <x:is>
          <x:t xml:space="preserve">Identify and respond to suspected or known security incidents, mitigate harmful effects to the extent practicable, and document incidents and outcomes.</x:t>
        </x:is>
      </x:c>
      <x:c r="AM20" s="5" t="inlineStr">
        <x:is>
          <x:t xml:space="preserve">Required implementation specification</x:t>
        </x:is>
      </x:c>
      <x:c r="AN20" s="5" t="inlineStr">
        <x:is>
          <x:t xml:space="preserve">Administrative Safeguards</x:t>
        </x:is>
      </x:c>
      <x:c r="AO20" s="28" t="inlineStr">
        <x:is>
          <x:t xml:space="preserve">https://www.ecfr.gov/current/title-45/subtitle-A/subchapter-C/part-164/section-164.308</x:t>
        </x:is>
      </x:c>
      <x:c r="AP20" s="28" t="inlineStr">
        <x:is>
          <x:t xml:space="preserve">https://www.hhs.gov/hipaa/for-professionals/faq/2002/what-does-the-security-rule-require-a-covered-entity-to-do-to-comply/index.html</x:t>
        </x:is>
      </x:c>
      <x:c r="AQ20" s="5" t="n"/>
      <x:c r="AR20" s="5" t="n"/>
      <x:c r="AS20" s="5" t="n"/>
      <x:c r="AT20" s="5" t="n"/>
      <x:c r="AU20" s="5" t="n"/>
      <x:c r="AV20" s="5" t="n"/>
      <x:c r="AW20" s="5" t="n"/>
      <x:c r="AX20" s="5" t="n"/>
      <x:c r="AY20" s="5" t="n"/>
      <x:c r="AZ20" s="5" t="n"/>
      <x:c r="BA20" s="5" t="n"/>
      <x:c r="BB20" s="5" t="n"/>
      <x:c r="BC20" s="5" t="n"/>
      <x:c r="BD20" s="5" t="n"/>
      <x:c r="BE20" s="5" t="n"/>
      <x:c r="BF20" s="5" t="n"/>
      <x:c r="BG20" s="5" t="n"/>
      <x:c r="BH20" s="5" t="n"/>
      <x:c r="BI20" s="5" t="n"/>
      <x:c r="BJ20" s="5" t="n"/>
      <x:c r="BK20" s="5" t="n"/>
      <x:c r="BL20" s="5" t="n"/>
      <x:c r="BM20" s="5" t="n"/>
      <x:c r="BN20" s="5" t="n"/>
      <x:c r="BO20" s="5" t="n"/>
      <x:c r="BP20" s="5" t="n"/>
      <x:c r="BQ20" s="5" t="n"/>
      <x:c r="BR20" s="5" t="n"/>
      <x:c r="BS20" s="5" t="n"/>
      <x:c r="BT20" s="5" t="n"/>
      <x:c r="BU20" s="5" t="n"/>
    </x:row>
    <x:row r="21" ht="30" customHeight="1">
      <x:c r="A21" s="5" t="inlineStr">
        <x:is>
          <x:t xml:space="preserve">HITRUST e1.csv</x:t>
        </x:is>
      </x:c>
      <x:c r="B21" s="5" t="inlineStr">
        <x:is>
          <x:t xml:space="preserve">ER-57</x:t>
        </x:is>
      </x:c>
      <x:c r="C21" s="5" t="inlineStr">
        <x:is>
          <x:t xml:space="preserve">Policy</x:t>
        </x:is>
      </x:c>
      <x:c r="D21" s="5" t="inlineStr">
        <x:is>
          <x:t xml:space="preserve">Information Security</x:t>
        </x:is>
      </x:c>
      <x:c r="E21" s="5" t="inlineStr">
        <x:is>
          <x:t xml:space="preserve">REQ-1-HIPAA, REQ-12-HIPAA, REQ-13-HIPAA</x:t>
        </x:is>
      </x:c>
      <x:c r="F21" s="5" t="n">
        <x:v>3</x:v>
      </x:c>
      <x:c r="G21" s="5" t="inlineStr">
        <x:is>
          <x:t xml:space="preserve">0113.04a1Organizational.2</x:t>
        </x:is>
      </x:c>
      <x:c r="H21" s="5" t="n">
        <x:v>1</x:v>
      </x:c>
      <x:c r="I21" s="5" t="inlineStr">
        <x:is>
          <x:t xml:space="preserve">Many:1</x:t>
        </x:is>
      </x:c>
      <x:c r="J21" s="5" t="inlineStr">
        <x:is>
          <x:t xml:space="preserve">Multiple HIPAA local controls converge on one HITRUST e1 control in this action item.</x:t>
        </x:is>
      </x:c>
      <x:c r="K21" s="5" t="inlineStr">
        <x:is>
          <x:t xml:space="preserve">45 CFR § 164.316(a) | 45 CFR § 164.316(b)(1) | 45 CFR § 164.308(a)(5)</x:t>
        </x:is>
      </x:c>
      <x:c r="L21" s="5" t="inlineStr">
        <x:is>
          <x:t xml:space="preserve">Policies and Procedures | Documentation | Security Awareness and Training</x:t>
        </x:is>
      </x:c>
      <x:c r="M21" s="5" t="inlineStr">
        <x:is>
          <x:t xml:space="preserve">Best-fit (broad policy control) | Direct</x:t>
        </x:is>
      </x:c>
      <x:c r="N21" s="5" t="inlineStr">
        <x:is>
          <x:t xml:space="preserve">Internal control/action item is a general information-security policy repository rather than a single named HIPAA implementation specification; mapped to the Security Rule's policies/procedures and documentation requirements. | Action item and control context align to workforce security-awareness training for new hires. | Action item and control context align to ongoing/current-employee security-awareness training.</x:t>
        </x:is>
      </x:c>
      <x:c r="O21" s="28" t="inlineStr">
        <x:is>
          <x:t xml:space="preserve">https://www.ecfr.gov/current/title-45/subtitle-A/subchapter-C/part-164/section-164.316 | https://www.hhs.gov/sites/default/files/ocr/privacy/hipaa/administrative/securityrule/pprequirements.pdf | https://www.hhs.gov/ocr/privacy/hipaa/administrative/securityrule/index.html | https://www.ecfr.gov/current/title-45/subtitle-A/subchapter-C/part-164/section-164.308 | https://www.hhs.gov/sites/default/files/ocr/privacy/hipaa/administrative/combined/hipaa-simplification-201303.pdf | https://www.hhs.gov/sites/default/files/ocr/privacy/hipaa/administrative/securityrule/adminsafeguards.pdf</x:t>
        </x:is>
      </x:c>
      <x:c r="P21" s="5" t="inlineStr">
        <x:is>
          <x:t xml:space="preserve">Used as the umbrella HIPAA citation for documented security policies. This is broader than any single safeguard requirement. | Mapped at the standard level because the spreadsheet does not break new-hire training into the more granular addressable sub-specifications. | Mapped at the standard level because the spreadsheet expresses periodic training broadly, not only reminders or phishing-specific sub-controls.</x:t>
        </x:is>
      </x:c>
      <x:c r="Q21" s="5" t="inlineStr">
        <x:is>
          <x:t xml:space="preserve">REQ-1-HIPAA</x:t>
        </x:is>
      </x:c>
      <x:c r="R21" s="5" t="inlineStr">
        <x:is>
          <x:t xml:space="preserve">0113.04a1Organizational.2</x:t>
        </x:is>
      </x:c>
      <x:c r="S21" s="5" t="inlineStr">
        <x:is>
          <x:t xml:space="preserve">0113.04a1 Organizational.2</x:t>
        </x:is>
      </x:c>
      <x:c r="T21" s="5" t="n"/>
      <x:c r="U21" s="5" t="n"/>
      <x:c r="V21" s="5" t="n"/>
      <x:c r="W21" s="5" t="n"/>
      <x:c r="X21" s="5" t="n"/>
      <x:c r="Y21" s="5" t="n"/>
      <x:c r="Z21" s="5" t="n">
        <x:v>3</x:v>
      </x:c>
      <x:c r="AA21" s="5" t="n"/>
      <x:c r="AB21" s="5" t="inlineStr">
        <x:is>
          <x:t xml:space="preserve">45 C.F.R. § 164.316(a)</x:t>
        </x:is>
      </x:c>
      <x:c r="AC21" s="5" t="inlineStr">
        <x:is>
          <x:t xml:space="preserve">Policies and Procedures</x:t>
        </x:is>
      </x:c>
      <x:c r="AD21" s="5" t="inlineStr">
        <x:is>
          <x:t xml:space="preserve">Implement reasonable and appropriate policies and procedures to comply with the Security Rule standards, implementation specifications, and other requirements.</x:t>
        </x:is>
      </x:c>
      <x:c r="AE21" s="5" t="inlineStr">
        <x:is>
          <x:t xml:space="preserve">Standard</x:t>
        </x:is>
      </x:c>
      <x:c r="AF21" s="5" t="inlineStr">
        <x:is>
          <x:t xml:space="preserve">Policies / Documentation</x:t>
        </x:is>
      </x:c>
      <x:c r="AG21" s="28" t="inlineStr">
        <x:is>
          <x:t xml:space="preserve">https://www.ecfr.gov/current/title-45/subtitle-A/subchapter-C/part-164/section-164.316</x:t>
        </x:is>
      </x:c>
      <x:c r="AH21" s="28" t="inlineStr">
        <x:is>
          <x:t xml:space="preserve">https://www.hhs.gov/sites/default/files/ocr/privacy/hipaa/administrative/securityrule/pprequirements.pdf</x:t>
        </x:is>
      </x:c>
      <x:c r="AI21" s="5" t="inlineStr">
        <x:is>
          <x:t xml:space="preserve">REQ-12-HIPAA</x:t>
        </x:is>
      </x:c>
      <x:c r="AJ21" s="5" t="inlineStr">
        <x:is>
          <x:t xml:space="preserve">45 C.F.R. § 164.316(b)(1)</x:t>
        </x:is>
      </x:c>
      <x:c r="AK21" s="5" t="inlineStr">
        <x:is>
          <x:t xml:space="preserve">Documentation</x:t>
        </x:is>
      </x:c>
      <x:c r="AL21" s="5" t="inlineStr">
        <x:is>
          <x:t xml:space="preserve">Maintain written or electronic policies and procedures implemented to comply with the Security Rule and written or electronic records of required actions, activities, and assessments.</x:t>
        </x:is>
      </x:c>
      <x:c r="AM21" s="5" t="inlineStr">
        <x:is>
          <x:t xml:space="preserve">Standard</x:t>
        </x:is>
      </x:c>
      <x:c r="AN21" s="5" t="inlineStr">
        <x:is>
          <x:t xml:space="preserve">Policies / Documentation</x:t>
        </x:is>
      </x:c>
      <x:c r="AO21" s="28" t="inlineStr">
        <x:is>
          <x:t xml:space="preserve">https://www.ecfr.gov/current/title-45/subtitle-A/subchapter-C/part-164/section-164.316</x:t>
        </x:is>
      </x:c>
      <x:c r="AP21" s="28" t="inlineStr">
        <x:is>
          <x:t xml:space="preserve">https://www.hhs.gov/sites/default/files/ocr/privacy/hipaa/administrative/securityrule/pprequirements.pdf</x:t>
        </x:is>
      </x:c>
      <x:c r="AQ21" s="5" t="inlineStr">
        <x:is>
          <x:t xml:space="preserve">REQ-13-HIPAA</x:t>
        </x:is>
      </x:c>
      <x:c r="AR21" s="5" t="n"/>
      <x:c r="AS21" s="5" t="n"/>
      <x:c r="AT21" s="5" t="n"/>
      <x:c r="AU21" s="5" t="n"/>
      <x:c r="AV21" s="5" t="n"/>
      <x:c r="AW21" s="5" t="n"/>
      <x:c r="AX21" s="5" t="n"/>
      <x:c r="AY21" s="5" t="n"/>
      <x:c r="AZ21" s="5" t="n"/>
      <x:c r="BA21" s="5" t="inlineStr">
        <x:is>
          <x:t xml:space="preserve">45 C.F.R. § 164.308(a)(5)</x:t>
        </x:is>
      </x:c>
      <x:c r="BB21" s="5" t="inlineStr">
        <x:is>
          <x:t xml:space="preserve">Security Awareness and Training</x:t>
        </x:is>
      </x:c>
      <x:c r="BC21" s="5" t="inlineStr">
        <x:is>
          <x:t xml:space="preserve">Implement a security awareness and training program for all members of the workforce, including management.</x:t>
        </x:is>
      </x:c>
      <x:c r="BD21" s="5" t="inlineStr">
        <x:is>
          <x:t xml:space="preserve">Standard</x:t>
        </x:is>
      </x:c>
      <x:c r="BE21" s="5" t="inlineStr">
        <x:is>
          <x:t xml:space="preserve">Administrative Safeguards</x:t>
        </x:is>
      </x:c>
      <x:c r="BF21" s="28" t="inlineStr">
        <x:is>
          <x:t xml:space="preserve">https://www.ecfr.gov/current/title-45/subtitle-A/subchapter-C/part-164/section-164.308</x:t>
        </x:is>
      </x:c>
      <x:c r="BG21" s="28" t="inlineStr">
        <x:is>
          <x:t xml:space="preserve">https://www.hhs.gov/sites/default/files/ocr/privacy/hipaa/administrative/securityrule/adminsafeguards.pdf</x:t>
        </x:is>
      </x:c>
      <x:c r="BH21" s="5" t="n"/>
      <x:c r="BI21" s="5" t="n"/>
      <x:c r="BJ21" s="5" t="n"/>
      <x:c r="BK21" s="5" t="n"/>
      <x:c r="BL21" s="5" t="n"/>
      <x:c r="BM21" s="5" t="n"/>
      <x:c r="BN21" s="5" t="n"/>
      <x:c r="BO21" s="5" t="n"/>
      <x:c r="BP21" s="5" t="n"/>
      <x:c r="BQ21" s="5" t="n"/>
      <x:c r="BR21" s="5" t="n"/>
      <x:c r="BS21" s="5" t="n"/>
      <x:c r="BT21" s="5" t="n"/>
      <x:c r="BU21" s="5" t="n"/>
    </x:row>
    <x:row r="22" ht="30" customHeight="1">
      <x:c r="A22" s="5" t="inlineStr">
        <x:is>
          <x:t xml:space="preserve">HITRUST e1.csv</x:t>
        </x:is>
      </x:c>
      <x:c r="B22" s="5" t="inlineStr">
        <x:is>
          <x:t xml:space="preserve">ER-24</x:t>
        </x:is>
      </x:c>
      <x:c r="C22" s="5" t="inlineStr">
        <x:is>
          <x:t xml:space="preserve">Policy</x:t>
        </x:is>
      </x:c>
      <x:c r="D22" s="5" t="inlineStr">
        <x:is>
          <x:t xml:space="preserve">Password and Multi-Factor Authentication</x:t>
        </x:is>
      </x:c>
      <x:c r="E22" s="5" t="inlineStr">
        <x:is>
          <x:t xml:space="preserve">REQ-26-HIPAA</x:t>
        </x:is>
      </x:c>
      <x:c r="F22" s="5" t="n">
        <x:v>1</x:v>
      </x:c>
      <x:c r="G22" s="5" t="inlineStr">
        <x:is>
          <x:t xml:space="preserve">10.01d1System.10, 11.01p1System.5</x:t>
        </x:is>
      </x:c>
      <x:c r="H22" s="5" t="n">
        <x:v>2</x:v>
      </x:c>
      <x:c r="I22" s="5" t="inlineStr">
        <x:is>
          <x:t xml:space="preserve">1:Many</x:t>
        </x:is>
      </x:c>
      <x:c r="J22" s="5" t="inlineStr">
        <x:is>
          <x:t xml:space="preserve">One HIPAA local control decomposes into multiple HITRUST e1 controls in this action item.</x:t>
        </x:is>
      </x:c>
      <x:c r="K22" s="5" t="inlineStr">
        <x:is>
          <x:t xml:space="preserve">45 CFR § 164.308(a)(5)(ii)(D) | 45 CFR § 164.312(d)</x:t>
        </x:is>
      </x:c>
      <x:c r="L22" s="5" t="inlineStr">
        <x:is>
          <x:t xml:space="preserve">Security Awareness and Training — Password Management | Person or Entity Authentication</x:t>
        </x:is>
      </x:c>
      <x:c r="M22" s="5" t="inlineStr">
        <x:is>
          <x:t xml:space="preserve">Composite</x:t>
        </x:is>
      </x:c>
      <x:c r="N22" s="5" t="inlineStr">
        <x:is>
          <x:t xml:space="preserve">Action item explicitly combines password controls with MFA, so both password management and authentication verification are cited.</x:t>
        </x:is>
      </x:c>
      <x:c r="O22" s="28"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P22" s="5" t="inlineStr">
        <x:is>
          <x:t xml:space="preserve">Covers password creation/change/safeguarding and MFA-style authentication evidence.</x:t>
        </x:is>
      </x:c>
      <x:c r="Q22" s="5" t="inlineStr">
        <x:is>
          <x:t xml:space="preserve">REQ-26-HIPAA</x:t>
        </x:is>
      </x:c>
      <x:c r="R22" s="5" t="inlineStr">
        <x:is>
          <x:t xml:space="preserve">10.01d1System.10</x:t>
        </x:is>
      </x:c>
      <x:c r="S22" s="5" t="inlineStr">
        <x:is>
          <x:t xml:space="preserve">10.01d1 System.10</x:t>
        </x:is>
      </x:c>
      <x:c r="T22" s="5" t="inlineStr">
        <x:is>
          <x:t xml:space="preserve">11.01p1System.5</x:t>
        </x:is>
      </x:c>
      <x:c r="U22" s="5" t="inlineStr">
        <x:is>
          <x:t xml:space="preserve">11.01p1 System.5</x:t>
        </x:is>
      </x:c>
      <x:c r="V22" s="5" t="n"/>
      <x:c r="W22" s="5" t="n"/>
      <x:c r="X22" s="5" t="n"/>
      <x:c r="Y22" s="5" t="n"/>
      <x:c r="Z22" s="5" t="n">
        <x:v>2</x:v>
      </x:c>
      <x:c r="AA22" s="5" t="n"/>
      <x:c r="AB22" s="5" t="inlineStr">
        <x:is>
          <x:t xml:space="preserve">45 C.F.R. § 164.308(a)(5)(ii)(D)</x:t>
        </x:is>
      </x:c>
      <x:c r="AC22" s="5" t="inlineStr">
        <x:is>
          <x:t xml:space="preserve">Security Awareness and Training — Password Management</x:t>
        </x:is>
      </x:c>
      <x:c r="AD22" s="5" t="inlineStr">
        <x:is>
          <x:t xml:space="preserve">Implement procedures for creating, changing, and safeguarding passwords.</x:t>
        </x:is>
      </x:c>
      <x:c r="AE22" s="5" t="inlineStr">
        <x:is>
          <x:t xml:space="preserve">Addressable implementation specification</x:t>
        </x:is>
      </x:c>
      <x:c r="AF22" s="5" t="inlineStr">
        <x:is>
          <x:t xml:space="preserve">Administrative Safeguards</x:t>
        </x:is>
      </x:c>
      <x:c r="AG22" s="28" t="inlineStr">
        <x:is>
          <x:t xml:space="preserve">https://www.ecfr.gov/current/title-45/subtitle-A/subchapter-C/part-164/section-164.308</x:t>
        </x:is>
      </x:c>
      <x:c r="AH22" s="28" t="inlineStr">
        <x:is>
          <x:t xml:space="preserve">https://www.hhs.gov/sites/default/files/ocr/privacy/hipaa/administrative/securityrule/adminsafeguards.pdf</x:t>
        </x:is>
      </x:c>
      <x:c r="AI22" s="5" t="n"/>
      <x:c r="AJ22" s="5" t="inlineStr">
        <x:is>
          <x:t xml:space="preserve">45 C.F.R. § 164.312(d)</x:t>
        </x:is>
      </x:c>
      <x:c r="AK22" s="5" t="inlineStr">
        <x:is>
          <x:t xml:space="preserve">Person or Entity Authentication</x:t>
        </x:is>
      </x:c>
      <x:c r="AL22" s="5" t="inlineStr">
        <x:is>
          <x:t xml:space="preserve">Implement procedures to verify that a person or entity seeking access to ePHI is the one claimed.</x:t>
        </x:is>
      </x:c>
      <x:c r="AM22" s="5" t="inlineStr">
        <x:is>
          <x:t xml:space="preserve">Required standard</x:t>
        </x:is>
      </x:c>
      <x:c r="AN22" s="5" t="inlineStr">
        <x:is>
          <x:t xml:space="preserve">Technical Safeguards</x:t>
        </x:is>
      </x:c>
      <x:c r="AO22" s="28" t="inlineStr">
        <x:is>
          <x:t xml:space="preserve">https://www.ecfr.gov/current/title-45/subtitle-A/subchapter-C/part-164/section-164.312</x:t>
        </x:is>
      </x:c>
      <x:c r="AP22" s="28" t="inlineStr">
        <x:is>
          <x:t xml:space="preserve">https://www.hhs.gov/hipaa/for-professionals/compliance-enforcement/audit/protocol-edited/index.html</x:t>
        </x:is>
      </x:c>
      <x:c r="AQ22" s="5" t="n"/>
      <x:c r="AR22" s="5" t="n"/>
      <x:c r="AS22" s="5" t="n"/>
      <x:c r="AT22" s="5" t="n"/>
      <x:c r="AU22" s="5" t="n"/>
      <x:c r="AV22" s="5" t="n"/>
      <x:c r="AW22" s="5" t="n"/>
      <x:c r="AX22" s="5" t="n"/>
      <x:c r="AY22" s="5" t="n"/>
      <x:c r="AZ22" s="5" t="n"/>
      <x:c r="BA22" s="5" t="n"/>
      <x:c r="BB22" s="5" t="n"/>
      <x:c r="BC22" s="5" t="n"/>
      <x:c r="BD22" s="5" t="n"/>
      <x:c r="BE22" s="5" t="n"/>
      <x:c r="BF22" s="5" t="n"/>
      <x:c r="BG22" s="5" t="n"/>
      <x:c r="BH22" s="5" t="n"/>
      <x:c r="BI22" s="5" t="n"/>
      <x:c r="BJ22" s="5" t="n"/>
      <x:c r="BK22" s="5" t="n"/>
      <x:c r="BL22" s="5" t="n"/>
      <x:c r="BM22" s="5" t="n"/>
      <x:c r="BN22" s="5" t="n"/>
      <x:c r="BO22" s="5" t="n"/>
      <x:c r="BP22" s="5" t="n"/>
      <x:c r="BQ22" s="5" t="n"/>
      <x:c r="BR22" s="5" t="n"/>
      <x:c r="BS22" s="5" t="n"/>
      <x:c r="BT22" s="5" t="n"/>
      <x:c r="BU22" s="5" t="n"/>
    </x:row>
    <x:row r="23" ht="30" customHeight="1">
      <x:c r="A23" s="5" t="inlineStr">
        <x:is>
          <x:t xml:space="preserve">HITRUST e1.csv</x:t>
        </x:is>
      </x:c>
      <x:c r="B23" s="5" t="inlineStr">
        <x:is>
          <x:t xml:space="preserve">ER-41</x:t>
        </x:is>
      </x:c>
      <x:c r="C23" s="5" t="inlineStr">
        <x:is>
          <x:t xml:space="preserve">Policy</x:t>
        </x:is>
      </x:c>
      <x:c r="D23" s="5" t="inlineStr">
        <x:is>
          <x:t xml:space="preserve">Risk Management</x:t>
        </x:is>
      </x:c>
      <x:c r="E23" s="5" t="inlineStr">
        <x:is>
          <x:t xml:space="preserve">REQ-17-HIPAA, REQ-20-HIPAA</x:t>
        </x:is>
      </x:c>
      <x:c r="F23" s="5" t="n">
        <x:v>2</x:v>
      </x:c>
      <x:c r="G23" s="5" t="inlineStr">
        <x:is>
          <x:t xml:space="preserve">1704.03b1Organizational.12, 1701.03a1Organizational.12345678</x:t>
        </x:is>
      </x:c>
      <x:c r="H23" s="5" t="n">
        <x:v>2</x:v>
      </x:c>
      <x:c r="I23" s="5" t="inlineStr">
        <x:is>
          <x:t xml:space="preserve">Many:Many</x:t>
        </x:is>
      </x:c>
      <x:c r="J23" s="5" t="inlineStr">
        <x:is>
          <x:t xml:space="preserve">Composite overlap: multiple HIPAA and HITRUST e1 controls are satisfied by the same action item.</x:t>
        </x:is>
      </x:c>
      <x:c r="K23" s="5" t="inlineStr">
        <x:is>
          <x:t xml:space="preserve">45 CFR § 164.308(a)(1)(ii)(A) | 45 CFR § 164.308(a)(1)(ii)(B)</x:t>
        </x:is>
      </x:c>
      <x:c r="L23" s="5" t="inlineStr">
        <x:is>
          <x:t xml:space="preserve">Security Management Process — Risk Analysis | Security Management Process — Risk Management</x:t>
        </x:is>
      </x:c>
      <x:c r="M23" s="5" t="inlineStr">
        <x:is>
          <x:t xml:space="preserve">Direct</x:t>
        </x:is>
      </x:c>
      <x:c r="N23" s="5" t="inlineStr">
        <x:is>
          <x:t xml:space="preserve">Control context aligns to identifying risks and vulnerabilities to ePHI. | Control context aligns to reducing identified risks and vulnerabilities to a reasonable and appropriate level.</x:t>
        </x:is>
      </x:c>
      <x:c r="O23"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P23" s="5" t="inlineStr">
        <x:is>
          <x:t xml:space="preserve">Risk analysis is the most direct HIPAA citation for assessment-oriented rows. | Used for policy and operational rows focused on treatment/mitigation of identified risks.</x:t>
        </x:is>
      </x:c>
      <x:c r="Q23" s="5" t="inlineStr">
        <x:is>
          <x:t xml:space="preserve">REQ-17-HIPAA</x:t>
        </x:is>
      </x:c>
      <x:c r="R23" s="5" t="inlineStr">
        <x:is>
          <x:t xml:space="preserve">1704.03b1Organizational.12</x:t>
        </x:is>
      </x:c>
      <x:c r="S23" s="5" t="inlineStr">
        <x:is>
          <x:t xml:space="preserve">1704.03b1 Organizational.12</x:t>
        </x:is>
      </x:c>
      <x:c r="T23" s="5" t="inlineStr">
        <x:is>
          <x:t xml:space="preserve">1701.03a1Organizational.12345678</x:t>
        </x:is>
      </x:c>
      <x:c r="U23" s="5" t="inlineStr">
        <x:is>
          <x:t xml:space="preserve">1701.03a1 Organizational.12345678</x:t>
        </x:is>
      </x:c>
      <x:c r="V23" s="5" t="n"/>
      <x:c r="W23" s="5" t="n"/>
      <x:c r="X23" s="5" t="n"/>
      <x:c r="Y23" s="5" t="n"/>
      <x:c r="Z23" s="5" t="n">
        <x:v>2</x:v>
      </x:c>
      <x:c r="AA23" s="5" t="n"/>
      <x:c r="AB23" s="5" t="inlineStr">
        <x:is>
          <x:t xml:space="preserve">45 C.F.R. § 164.308(a)(1)(ii)(A)</x:t>
        </x:is>
      </x:c>
      <x:c r="AC23" s="5" t="inlineStr">
        <x:is>
          <x:t xml:space="preserve">Security Management Process — Risk Analysis</x:t>
        </x:is>
      </x:c>
      <x:c r="AD23" s="5" t="inlineStr">
        <x:is>
          <x:t xml:space="preserve">Conduct an accurate and thorough assessment of the potential risks and vulnerabilities to the confidentiality, integrity, and availability of ePHI.</x:t>
        </x:is>
      </x:c>
      <x:c r="AE23" s="5" t="inlineStr">
        <x:is>
          <x:t xml:space="preserve">Required implementation specification</x:t>
        </x:is>
      </x:c>
      <x:c r="AF23" s="5" t="inlineStr">
        <x:is>
          <x:t xml:space="preserve">Administrative Safeguards</x:t>
        </x:is>
      </x:c>
      <x:c r="AG23" s="28" t="inlineStr">
        <x:is>
          <x:t xml:space="preserve">https://www.ecfr.gov/current/title-45/subtitle-A/subchapter-C/part-164/section-164.308</x:t>
        </x:is>
      </x:c>
      <x:c r="AH23" s="28" t="inlineStr">
        <x:is>
          <x:t xml:space="preserve">https://www.hhs.gov/hipaa/for-professionals/security/guidance/guidance-risk-analysis/index.html</x:t>
        </x:is>
      </x:c>
      <x:c r="AI23" s="5" t="inlineStr">
        <x:is>
          <x:t xml:space="preserve">REQ-20-HIPAA</x:t>
        </x:is>
      </x:c>
      <x:c r="AJ23" s="5" t="inlineStr">
        <x:is>
          <x:t xml:space="preserve">45 C.F.R. § 164.308(a)(1)(ii)(B)</x:t>
        </x:is>
      </x:c>
      <x:c r="AK23" s="5" t="inlineStr">
        <x:is>
          <x:t xml:space="preserve">Security Management Process — Risk Management</x:t>
        </x:is>
      </x:c>
      <x:c r="AL23" s="5" t="inlineStr">
        <x:is>
          <x:t xml:space="preserve">Implement security measures sufficient to reduce identified risks and vulnerabilities to a reasonable and appropriate level.</x:t>
        </x:is>
      </x:c>
      <x:c r="AM23" s="5" t="inlineStr">
        <x:is>
          <x:t xml:space="preserve">Required implementation specification</x:t>
        </x:is>
      </x:c>
      <x:c r="AN23" s="5" t="inlineStr">
        <x:is>
          <x:t xml:space="preserve">Administrative Safeguards</x:t>
        </x:is>
      </x:c>
      <x:c r="AO23" s="28" t="inlineStr">
        <x:is>
          <x:t xml:space="preserve">https://www.ecfr.gov/current/title-45/subtitle-A/subchapter-C/part-164/section-164.308</x:t>
        </x:is>
      </x:c>
      <x:c r="AP23" s="28" t="inlineStr">
        <x:is>
          <x:t xml:space="preserve">https://www.hhs.gov/hipaa/for-professionals/security/guidance/guidance-risk-analysis/index.html</x:t>
        </x:is>
      </x:c>
      <x:c r="AQ23" s="5" t="n"/>
      <x:c r="AR23" s="5" t="n"/>
      <x:c r="AS23" s="5" t="n"/>
      <x:c r="AT23" s="5" t="n"/>
      <x:c r="AU23" s="5" t="n"/>
      <x:c r="AV23" s="5" t="n"/>
      <x:c r="AW23" s="5" t="n"/>
      <x:c r="AX23" s="5" t="n"/>
      <x:c r="AY23" s="5" t="n"/>
      <x:c r="AZ23" s="5" t="n"/>
      <x:c r="BA23" s="5" t="n"/>
      <x:c r="BB23" s="5" t="n"/>
      <x:c r="BC23" s="5" t="n"/>
      <x:c r="BD23" s="5" t="n"/>
      <x:c r="BE23" s="5" t="n"/>
      <x:c r="BF23" s="5" t="n"/>
      <x:c r="BG23" s="5" t="n"/>
      <x:c r="BH23" s="5" t="n"/>
      <x:c r="BI23" s="5" t="n"/>
      <x:c r="BJ23" s="5" t="n"/>
      <x:c r="BK23" s="5" t="n"/>
      <x:c r="BL23" s="5" t="n"/>
      <x:c r="BM23" s="5" t="n"/>
      <x:c r="BN23" s="5" t="n"/>
      <x:c r="BO23" s="5" t="n"/>
      <x:c r="BP23" s="5" t="n"/>
      <x:c r="BQ23" s="5" t="n"/>
      <x:c r="BR23" s="5" t="n"/>
      <x:c r="BS23" s="5" t="n"/>
      <x:c r="BT23" s="5" t="n"/>
      <x:c r="BU23" s="5" t="n"/>
    </x:row>
    <x:row r="24" ht="30" customHeight="1">
      <x:c r="A24" s="5" t="inlineStr">
        <x:is>
          <x:t xml:space="preserve">HITRUST e1.csv</x:t>
        </x:is>
      </x:c>
      <x:c r="B24" s="5" t="inlineStr">
        <x:is>
          <x:t xml:space="preserve">ER-141</x:t>
        </x:is>
      </x:c>
      <x:c r="C24" s="5" t="inlineStr">
        <x:is>
          <x:t xml:space="preserve">Population</x:t>
        </x:is>
      </x:c>
      <x:c r="D24" s="5" t="inlineStr">
        <x:is>
          <x:t xml:space="preserve">All Incidents Identified During the Review Period [INSERT EXAM PERIOD]</x:t>
        </x:is>
      </x:c>
      <x:c r="E24" s="5" t="inlineStr">
        <x:is>
          <x:t xml:space="preserve">REQ-50-HIPAA, REQ-995-HIPAA</x:t>
        </x:is>
      </x:c>
      <x:c r="F24" s="5" t="n">
        <x:v>2</x:v>
      </x:c>
      <x:c r="G24" s="5" t="inlineStr">
        <x:is>
          <x:t xml:space="preserve">1561.11c1Organizational.4</x:t>
        </x:is>
      </x:c>
      <x:c r="H24" s="5" t="n">
        <x:v>1</x:v>
      </x:c>
      <x:c r="I24" s="5" t="inlineStr">
        <x:is>
          <x:t xml:space="preserve">Many:1</x:t>
        </x:is>
      </x:c>
      <x:c r="J24" s="5" t="inlineStr">
        <x:is>
          <x:t xml:space="preserve">Multiple HIPAA local controls converge on one HITRUST e1 control in this action item.</x:t>
        </x:is>
      </x:c>
      <x:c r="K24" s="5" t="inlineStr">
        <x:is>
          <x:t xml:space="preserve">45 CFR § 164.308(a)(6)(ii) | 45 CFR § 164.316(b)(1)</x:t>
        </x:is>
      </x:c>
      <x:c r="L24" s="5" t="inlineStr">
        <x:is>
          <x:t xml:space="preserve">Security Incident Procedures — Response and Reporting | Documentation</x:t>
        </x:is>
      </x:c>
      <x:c r="M24" s="5" t="inlineStr">
        <x:is>
          <x:t xml:space="preserve">Composite | Best-fit composite</x:t>
        </x:is>
      </x:c>
      <x:c r="N24" s="5" t="inlineStr">
        <x:is>
          <x:t xml:space="preserve">Incident tickets/population evidence show response/reporting activities and the required documentation of incidents and outcomes. | Generic population/evidence control used to show incidents and outcomes during the review period.</x:t>
        </x:is>
      </x:c>
      <x:c r="O24" s="28"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P24" s="5" t="inlineStr">
        <x:is>
          <x:t xml:space="preserve">Documentation is added because the evidence row is a ticket/log of incidents during the review period. | Internal control is generic; citation follows the specific evidence row context.</x:t>
        </x:is>
      </x:c>
      <x:c r="Q24" s="5" t="inlineStr">
        <x:is>
          <x:t xml:space="preserve">REQ-50-HIPAA</x:t>
        </x:is>
      </x:c>
      <x:c r="R24" s="5" t="inlineStr">
        <x:is>
          <x:t xml:space="preserve">1561.11c1Organizational.4</x:t>
        </x:is>
      </x:c>
      <x:c r="S24" s="5" t="inlineStr">
        <x:is>
          <x:t xml:space="preserve">1561.11c1 Organizational.4</x:t>
        </x:is>
      </x:c>
      <x:c r="T24" s="5" t="n"/>
      <x:c r="U24" s="5" t="n"/>
      <x:c r="V24" s="5" t="n"/>
      <x:c r="W24" s="5" t="n"/>
      <x:c r="X24" s="5" t="n"/>
      <x:c r="Y24" s="5" t="n"/>
      <x:c r="Z24" s="5" t="n">
        <x:v>2</x:v>
      </x:c>
      <x:c r="AA24" s="5" t="n"/>
      <x:c r="AB24" s="5" t="inlineStr">
        <x:is>
          <x:t xml:space="preserve">45 C.F.R. § 164.308(a)(6)(ii)</x:t>
        </x:is>
      </x:c>
      <x:c r="AC24" s="5" t="inlineStr">
        <x:is>
          <x:t xml:space="preserve">Security Incident Procedures — Response and Reporting</x:t>
        </x:is>
      </x:c>
      <x:c r="AD24" s="5" t="inlineStr">
        <x:is>
          <x:t xml:space="preserve">Identify and respond to suspected or known security incidents, mitigate harmful effects to the extent practicable, and document incidents and outcomes.</x:t>
        </x:is>
      </x:c>
      <x:c r="AE24" s="5" t="inlineStr">
        <x:is>
          <x:t xml:space="preserve">Required implementation specification</x:t>
        </x:is>
      </x:c>
      <x:c r="AF24" s="5" t="inlineStr">
        <x:is>
          <x:t xml:space="preserve">Administrative Safeguards</x:t>
        </x:is>
      </x:c>
      <x:c r="AG24" s="28" t="inlineStr">
        <x:is>
          <x:t xml:space="preserve">https://www.ecfr.gov/current/title-45/subtitle-A/subchapter-C/part-164/section-164.308</x:t>
        </x:is>
      </x:c>
      <x:c r="AH24" s="28" t="inlineStr">
        <x:is>
          <x:t xml:space="preserve">https://www.hhs.gov/hipaa/for-professionals/faq/2002/what-does-the-security-rule-require-a-covered-entity-to-do-to-comply/index.html</x:t>
        </x:is>
      </x:c>
      <x:c r="AI24" s="5" t="inlineStr">
        <x:is>
          <x:t xml:space="preserve">REQ-995-HIPAA</x:t>
        </x:is>
      </x:c>
      <x:c r="AJ24" s="5" t="inlineStr">
        <x:is>
          <x:t xml:space="preserve">45 C.F.R. § 164.316(b)(1)</x:t>
        </x:is>
      </x:c>
      <x:c r="AK24" s="5" t="inlineStr">
        <x:is>
          <x:t xml:space="preserve">Documentation</x:t>
        </x:is>
      </x:c>
      <x:c r="AL24" s="5" t="inlineStr">
        <x:is>
          <x:t xml:space="preserve">Maintain written or electronic policies and procedures implemented to comply with the Security Rule and written or electronic records of required actions, activities, and assessments.</x:t>
        </x:is>
      </x:c>
      <x:c r="AM24" s="5" t="inlineStr">
        <x:is>
          <x:t xml:space="preserve">Standard</x:t>
        </x:is>
      </x:c>
      <x:c r="AN24" s="5" t="inlineStr">
        <x:is>
          <x:t xml:space="preserve">Policies / Documentation</x:t>
        </x:is>
      </x:c>
      <x:c r="AO24" s="28" t="inlineStr">
        <x:is>
          <x:t xml:space="preserve">https://www.ecfr.gov/current/title-45/subtitle-A/subchapter-C/part-164/section-164.316</x:t>
        </x:is>
      </x:c>
      <x:c r="AP24" s="28" t="inlineStr">
        <x:is>
          <x:t xml:space="preserve">https://www.hhs.gov/sites/default/files/ocr/privacy/hipaa/administrative/securityrule/pprequirements.pdf</x:t>
        </x:is>
      </x:c>
      <x:c r="AQ24" s="5" t="n"/>
      <x:c r="AR24" s="5" t="n"/>
      <x:c r="AS24" s="5" t="n"/>
      <x:c r="AT24" s="5" t="n"/>
      <x:c r="AU24" s="5" t="n"/>
      <x:c r="AV24" s="5" t="n"/>
      <x:c r="AW24" s="5" t="n"/>
      <x:c r="AX24" s="5" t="n"/>
      <x:c r="AY24" s="5" t="n"/>
      <x:c r="AZ24" s="5" t="n"/>
      <x:c r="BA24" s="5" t="n"/>
      <x:c r="BB24" s="5" t="n"/>
      <x:c r="BC24" s="5" t="n"/>
      <x:c r="BD24" s="5" t="n"/>
      <x:c r="BE24" s="5" t="n"/>
      <x:c r="BF24" s="5" t="n"/>
      <x:c r="BG24" s="5" t="n"/>
      <x:c r="BH24" s="5" t="n"/>
      <x:c r="BI24" s="5" t="n"/>
      <x:c r="BJ24" s="5" t="n"/>
      <x:c r="BK24" s="5" t="n"/>
      <x:c r="BL24" s="5" t="n"/>
      <x:c r="BM24" s="5" t="n"/>
      <x:c r="BN24" s="5" t="n"/>
      <x:c r="BO24" s="5" t="n"/>
      <x:c r="BP24" s="5" t="n"/>
      <x:c r="BQ24" s="5" t="n"/>
      <x:c r="BR24" s="5" t="n"/>
      <x:c r="BS24" s="5" t="n"/>
      <x:c r="BT24" s="5" t="n"/>
      <x:c r="BU24" s="5" t="n"/>
    </x:row>
    <x:row r="25" ht="30" customHeight="1">
      <x:c r="A25" s="5" t="inlineStr">
        <x:is>
          <x:t xml:space="preserve">HITRUST e1.csv</x:t>
        </x:is>
      </x:c>
      <x:c r="B25" s="5" t="inlineStr">
        <x:is>
          <x:t xml:space="preserve">ER-139</x:t>
        </x:is>
      </x:c>
      <x:c r="C25" s="5" t="inlineStr">
        <x:is>
          <x:t xml:space="preserve">Population</x:t>
        </x:is>
      </x:c>
      <x:c r="D25" s="5" t="inlineStr">
        <x:is>
          <x:t xml:space="preserve">All Software and Infrastructure Production Changes During the Review Period [INSERT EXAM PERIOD]</x:t>
        </x:is>
      </x:c>
      <x:c r="E25" s="5" t="inlineStr">
        <x:is>
          <x:t xml:space="preserve">REQ-55-HIPAA, REQ-995-HIPAA</x:t>
        </x:is>
      </x:c>
      <x:c r="F25" s="5" t="n">
        <x:v>2</x:v>
      </x:c>
      <x:c r="G25" s="5" t="inlineStr">
        <x:is>
          <x:t xml:space="preserve">06.09b1System.2, 1704.03b1Organizational.12</x:t>
        </x:is>
      </x:c>
      <x:c r="H25" s="5" t="n">
        <x:v>2</x:v>
      </x:c>
      <x:c r="I25" s="5" t="inlineStr">
        <x:is>
          <x:t xml:space="preserve">Many:Many</x:t>
        </x:is>
      </x:c>
      <x:c r="J25" s="5" t="inlineStr">
        <x:is>
          <x:t xml:space="preserve">Composite overlap: multiple HIPAA and HITRUST e1 controls are satisfied by the same action item.</x:t>
        </x:is>
      </x:c>
      <x:c r="K25" s="5" t="inlineStr">
        <x:is>
          <x:t xml:space="preserve">45 CFR § 164.308(a)(8) | 45 CFR § 164.316(b)(1)</x:t>
        </x:is>
      </x:c>
      <x:c r="L25" s="5" t="inlineStr">
        <x:is>
          <x:t xml:space="preserve">Evaluation | Documentation</x:t>
        </x:is>
      </x:c>
      <x:c r="M25" s="5" t="inlineStr">
        <x:is>
          <x:t xml:space="preserve">Best-fit composite</x:t>
        </x:is>
      </x:c>
      <x:c r="N25" s="5" t="inlineStr">
        <x:is>
          <x:t xml:space="preserve">Production-change tickets/population evidence are not a named HIPAA specification, but they are strong evidence of evaluating and documenting operational changes affecting ePHI safeguards. | Generic population/evidence control used to show production changes during the review period.</x:t>
        </x:is>
      </x:c>
      <x:c r="O25"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P25" s="5" t="inlineStr">
        <x:is>
          <x:t xml:space="preserve">Best-fit evidence mapping; HIPAA does not mandate a particular ticketing mechanism. | Internal control is generic; citation follows the specific evidence row context.</x:t>
        </x:is>
      </x:c>
      <x:c r="Q25" s="5" t="inlineStr">
        <x:is>
          <x:t xml:space="preserve">REQ-55-HIPAA</x:t>
        </x:is>
      </x:c>
      <x:c r="R25" s="5" t="inlineStr">
        <x:is>
          <x:t xml:space="preserve">06.09b1System.2</x:t>
        </x:is>
      </x:c>
      <x:c r="S25" s="5" t="inlineStr">
        <x:is>
          <x:t xml:space="preserve">06.09b1 System.2</x:t>
        </x:is>
      </x:c>
      <x:c r="T25" s="5" t="inlineStr">
        <x:is>
          <x:t xml:space="preserve">1704.03b1Organizational.12</x:t>
        </x:is>
      </x:c>
      <x:c r="U25" s="5" t="inlineStr">
        <x:is>
          <x:t xml:space="preserve">1704.03b1 Organizational.12</x:t>
        </x:is>
      </x:c>
      <x:c r="V25" s="5" t="n"/>
      <x:c r="W25" s="5" t="n"/>
      <x:c r="X25" s="5" t="n"/>
      <x:c r="Y25" s="5" t="n"/>
      <x:c r="Z25" s="5" t="n">
        <x:v>2</x:v>
      </x:c>
      <x:c r="AA25" s="5" t="n"/>
      <x:c r="AB25" s="5" t="inlineStr">
        <x:is>
          <x:t xml:space="preserve">45 C.F.R. § 164.308(a)(8)</x:t>
        </x:is>
      </x:c>
      <x:c r="AC25" s="5" t="inlineStr">
        <x:is>
          <x:t xml:space="preserve">Evaluation</x:t>
        </x:is>
      </x:c>
      <x:c r="AD25" s="5" t="inlineStr">
        <x:is>
          <x:t xml:space="preserve">Perform periodic technical and nontechnical evaluations, and repeat them in response to environmental or operational changes affecting the security of ePHI.</x:t>
        </x:is>
      </x:c>
      <x:c r="AE25" s="5" t="inlineStr">
        <x:is>
          <x:t xml:space="preserve">Required standard</x:t>
        </x:is>
      </x:c>
      <x:c r="AF25" s="5" t="inlineStr">
        <x:is>
          <x:t xml:space="preserve">Administrative Safeguards</x:t>
        </x:is>
      </x:c>
      <x:c r="AG25" s="28" t="inlineStr">
        <x:is>
          <x:t xml:space="preserve">https://www.ecfr.gov/current/title-45/subtitle-A/subchapter-C/part-164/section-164.308</x:t>
        </x:is>
      </x:c>
      <x:c r="AH25" s="28" t="inlineStr">
        <x:is>
          <x:t xml:space="preserve">https://www.hhs.gov/ocr/privacy/hipaa/administrative/securityrule/index.html</x:t>
        </x:is>
      </x:c>
      <x:c r="AI25" s="5" t="inlineStr">
        <x:is>
          <x:t xml:space="preserve">REQ-995-HIPAA</x:t>
        </x:is>
      </x:c>
      <x:c r="AJ25" s="5" t="inlineStr">
        <x:is>
          <x:t xml:space="preserve">45 C.F.R. § 164.316(b)(1)</x:t>
        </x:is>
      </x:c>
      <x:c r="AK25" s="5" t="inlineStr">
        <x:is>
          <x:t xml:space="preserve">Documentation</x:t>
        </x:is>
      </x:c>
      <x:c r="AL25" s="5" t="inlineStr">
        <x:is>
          <x:t xml:space="preserve">Maintain written or electronic policies and procedures implemented to comply with the Security Rule and written or electronic records of required actions, activities, and assessments.</x:t>
        </x:is>
      </x:c>
      <x:c r="AM25" s="5" t="inlineStr">
        <x:is>
          <x:t xml:space="preserve">Standard</x:t>
        </x:is>
      </x:c>
      <x:c r="AN25" s="5" t="inlineStr">
        <x:is>
          <x:t xml:space="preserve">Policies / Documentation</x:t>
        </x:is>
      </x:c>
      <x:c r="AO25" s="28" t="inlineStr">
        <x:is>
          <x:t xml:space="preserve">https://www.ecfr.gov/current/title-45/subtitle-A/subchapter-C/part-164/section-164.316</x:t>
        </x:is>
      </x:c>
      <x:c r="AP25" s="28" t="inlineStr">
        <x:is>
          <x:t xml:space="preserve">https://www.hhs.gov/sites/default/files/ocr/privacy/hipaa/administrative/securityrule/pprequirements.pdf</x:t>
        </x:is>
      </x:c>
      <x:c r="AQ25" s="5" t="n"/>
      <x:c r="AR25" s="5" t="n"/>
      <x:c r="AS25" s="5" t="n"/>
      <x:c r="AT25" s="5" t="n"/>
      <x:c r="AU25" s="5" t="n"/>
      <x:c r="AV25" s="5" t="n"/>
      <x:c r="AW25" s="5" t="n"/>
      <x:c r="AX25" s="5" t="n"/>
      <x:c r="AY25" s="5" t="n"/>
      <x:c r="AZ25" s="5" t="n"/>
      <x:c r="BA25" s="5" t="n"/>
      <x:c r="BB25" s="5" t="n"/>
      <x:c r="BC25" s="5" t="n"/>
      <x:c r="BD25" s="5" t="n"/>
      <x:c r="BE25" s="5" t="n"/>
      <x:c r="BF25" s="5" t="n"/>
      <x:c r="BG25" s="5" t="n"/>
      <x:c r="BH25" s="5" t="n"/>
      <x:c r="BI25" s="5" t="n"/>
      <x:c r="BJ25" s="5" t="n"/>
      <x:c r="BK25" s="5" t="n"/>
      <x:c r="BL25" s="5" t="n"/>
      <x:c r="BM25" s="5" t="n"/>
      <x:c r="BN25" s="5" t="n"/>
      <x:c r="BO25" s="5" t="n"/>
      <x:c r="BP25" s="5" t="n"/>
      <x:c r="BQ25" s="5" t="n"/>
      <x:c r="BR25" s="5" t="n"/>
      <x:c r="BS25" s="5" t="n"/>
      <x:c r="BT25" s="5" t="n"/>
      <x:c r="BU25" s="5" t="n"/>
    </x:row>
    <x:row r="26" ht="30" customHeight="1">
      <x:c r="A26" s="5" t="inlineStr">
        <x:is>
          <x:t xml:space="preserve">HITRUST e1.csv</x:t>
        </x:is>
      </x:c>
      <x:c r="B26" s="5" t="inlineStr">
        <x:is>
          <x:t xml:space="preserve">ER-136</x:t>
        </x:is>
      </x:c>
      <x:c r="C26" s="5" t="inlineStr">
        <x:is>
          <x:t xml:space="preserve">Population</x:t>
        </x:is>
      </x:c>
      <x:c r="D26" s="5" t="inlineStr">
        <x:is>
          <x:t xml:space="preserve">All Terminated Employees During the Review Period [INSERT EXAM PERIOD]</x:t>
        </x:is>
      </x:c>
      <x:c r="E26" s="5" t="inlineStr">
        <x:is>
          <x:t xml:space="preserve">REQ-31-HIPAA, REQ-995-HIPAA</x:t>
        </x:is>
      </x:c>
      <x:c r="F26" s="5" t="n">
        <x:v>2</x:v>
      </x:c>
      <x:c r="G26" s="5" t="inlineStr">
        <x:is>
          <x:t xml:space="preserve">11143.02i1Organizational.3</x:t>
        </x:is>
      </x:c>
      <x:c r="H26" s="5" t="n">
        <x:v>1</x:v>
      </x:c>
      <x:c r="I26" s="5" t="inlineStr">
        <x:is>
          <x:t xml:space="preserve">Many:1</x:t>
        </x:is>
      </x:c>
      <x:c r="J26" s="5" t="inlineStr">
        <x:is>
          <x:t xml:space="preserve">Multiple HIPAA local controls converge on one HITRUST e1 control in this action item.</x:t>
        </x:is>
      </x:c>
      <x:c r="K26" s="5" t="inlineStr">
        <x:is>
          <x:t xml:space="preserve">45 CFR § 164.308(a)(3)(ii)(C) | 45 CFR § 164.316(b)(1)</x:t>
        </x:is>
      </x:c>
      <x:c r="L26" s="5" t="inlineStr">
        <x:is>
          <x:t xml:space="preserve">Workforce Security — Termination Procedures | Documentation</x:t>
        </x:is>
      </x:c>
      <x:c r="M26" s="5" t="inlineStr">
        <x:is>
          <x:t xml:space="preserve">Composite | Best-fit composite</x:t>
        </x:is>
      </x:c>
      <x:c r="N26" s="5" t="inlineStr">
        <x:is>
          <x:t xml:space="preserve">Termination tickets/population evidence align directly to terminating access and documenting the action taken. | Generic population/evidence control used to show termination-related access removals during the review period.</x:t>
        </x:is>
      </x:c>
      <x:c r="O26" s="28"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P26" s="5" t="inlineStr">
        <x:is>
          <x:t xml:space="preserve">Documentation is added because the row is explicit evidence that access-removal events were carried out and recorded. | Internal control is generic; citation follows the specific evidence row context.</x:t>
        </x:is>
      </x:c>
      <x:c r="Q26" s="5" t="inlineStr">
        <x:is>
          <x:t xml:space="preserve">REQ-31-HIPAA</x:t>
        </x:is>
      </x:c>
      <x:c r="R26" s="5" t="inlineStr">
        <x:is>
          <x:t xml:space="preserve">11143.02i1Organizational.3</x:t>
        </x:is>
      </x:c>
      <x:c r="S26" s="5" t="inlineStr">
        <x:is>
          <x:t xml:space="preserve">11143.02i1 Organizational.3</x:t>
        </x:is>
      </x:c>
      <x:c r="T26" s="5" t="n"/>
      <x:c r="U26" s="5" t="n"/>
      <x:c r="V26" s="5" t="n"/>
      <x:c r="W26" s="5" t="n"/>
      <x:c r="X26" s="5" t="n"/>
      <x:c r="Y26" s="5" t="n"/>
      <x:c r="Z26" s="5" t="n">
        <x:v>2</x:v>
      </x:c>
      <x:c r="AA26" s="5" t="n"/>
      <x:c r="AB26" s="5" t="inlineStr">
        <x:is>
          <x:t xml:space="preserve">45 C.F.R. § 164.308(a)(3)(ii)(C)</x:t>
        </x:is>
      </x:c>
      <x:c r="AC26" s="5" t="inlineStr">
        <x:is>
          <x:t xml:space="preserve">Workforce Security — Termination Procedures</x:t>
        </x:is>
      </x:c>
      <x:c r="AD26" s="5" t="inlineStr">
        <x:is>
          <x:t xml:space="preserve">Implement procedures for terminating a workforce member’s access to ePHI when employment ends or when access should otherwise be removed.</x:t>
        </x:is>
      </x:c>
      <x:c r="AE26" s="5" t="inlineStr">
        <x:is>
          <x:t xml:space="preserve">Addressable implementation specification</x:t>
        </x:is>
      </x:c>
      <x:c r="AF26" s="5" t="inlineStr">
        <x:is>
          <x:t xml:space="preserve">Administrative Safeguards</x:t>
        </x:is>
      </x:c>
      <x:c r="AG26" s="28" t="inlineStr">
        <x:is>
          <x:t xml:space="preserve">https://www.ecfr.gov/current/title-45/subtitle-A/subchapter-C/part-164/section-164.308</x:t>
        </x:is>
      </x:c>
      <x:c r="AH26" s="28" t="inlineStr">
        <x:is>
          <x:t xml:space="preserve">https://www.hhs.gov/hipaa/for-professionals/security/guidance/cybersecurity-newsletter-summer-2019/index.html</x:t>
        </x:is>
      </x:c>
      <x:c r="AI26" s="5" t="inlineStr">
        <x:is>
          <x:t xml:space="preserve">REQ-995-HIPAA</x:t>
        </x:is>
      </x:c>
      <x:c r="AJ26" s="5" t="inlineStr">
        <x:is>
          <x:t xml:space="preserve">45 C.F.R. § 164.316(b)(1)</x:t>
        </x:is>
      </x:c>
      <x:c r="AK26" s="5" t="inlineStr">
        <x:is>
          <x:t xml:space="preserve">Documentation</x:t>
        </x:is>
      </x:c>
      <x:c r="AL26" s="5" t="inlineStr">
        <x:is>
          <x:t xml:space="preserve">Maintain written or electronic policies and procedures implemented to comply with the Security Rule and written or electronic records of required actions, activities, and assessments.</x:t>
        </x:is>
      </x:c>
      <x:c r="AM26" s="5" t="inlineStr">
        <x:is>
          <x:t xml:space="preserve">Standard</x:t>
        </x:is>
      </x:c>
      <x:c r="AN26" s="5" t="inlineStr">
        <x:is>
          <x:t xml:space="preserve">Policies / Documentation</x:t>
        </x:is>
      </x:c>
      <x:c r="AO26" s="28" t="inlineStr">
        <x:is>
          <x:t xml:space="preserve">https://www.ecfr.gov/current/title-45/subtitle-A/subchapter-C/part-164/section-164.316</x:t>
        </x:is>
      </x:c>
      <x:c r="AP26" s="28" t="inlineStr">
        <x:is>
          <x:t xml:space="preserve">https://www.hhs.gov/sites/default/files/ocr/privacy/hipaa/administrative/securityrule/pprequirements.pdf</x:t>
        </x:is>
      </x:c>
      <x:c r="AQ26" s="5" t="n"/>
      <x:c r="AR26" s="5" t="n"/>
      <x:c r="AS26" s="5" t="n"/>
      <x:c r="AT26" s="5" t="n"/>
      <x:c r="AU26" s="5" t="n"/>
      <x:c r="AV26" s="5" t="n"/>
      <x:c r="AW26" s="5" t="n"/>
      <x:c r="AX26" s="5" t="n"/>
      <x:c r="AY26" s="5" t="n"/>
      <x:c r="AZ26" s="5" t="n"/>
      <x:c r="BA26" s="5" t="n"/>
      <x:c r="BB26" s="5" t="n"/>
      <x:c r="BC26" s="5" t="n"/>
      <x:c r="BD26" s="5" t="n"/>
      <x:c r="BE26" s="5" t="n"/>
      <x:c r="BF26" s="5" t="n"/>
      <x:c r="BG26" s="5" t="n"/>
      <x:c r="BH26" s="5" t="n"/>
      <x:c r="BI26" s="5" t="n"/>
      <x:c r="BJ26" s="5" t="n"/>
      <x:c r="BK26" s="5" t="n"/>
      <x:c r="BL26" s="5" t="n"/>
      <x:c r="BM26" s="5" t="n"/>
      <x:c r="BN26" s="5" t="n"/>
      <x:c r="BO26" s="5" t="n"/>
      <x:c r="BP26" s="5" t="n"/>
      <x:c r="BQ26" s="5" t="n"/>
      <x:c r="BR26" s="5" t="n"/>
      <x:c r="BS26" s="5" t="n"/>
      <x:c r="BT26" s="5" t="n"/>
      <x:c r="BU26" s="5" t="n"/>
    </x:row>
    <x:row r="27" ht="30" customHeight="1">
      <x:c r="A27" s="5" t="inlineStr">
        <x:is>
          <x:t xml:space="preserve">HITRUST e1.csv</x:t>
        </x:is>
      </x:c>
      <x:c r="B27" s="5" t="inlineStr">
        <x:is>
          <x:t xml:space="preserve">ER-87</x:t>
        </x:is>
      </x:c>
      <x:c r="C27" s="5" t="inlineStr">
        <x:is>
          <x:t xml:space="preserve">Sample</x:t>
        </x:is>
      </x:c>
      <x:c r="D27" s="5" t="inlineStr">
        <x:is>
          <x:t xml:space="preserve">Access Review Documentation</x:t>
        </x:is>
      </x:c>
      <x:c r="E27" s="5" t="inlineStr">
        <x:is>
          <x:t xml:space="preserve">REQ-29-HIPAA</x:t>
        </x:is>
      </x:c>
      <x:c r="F27" s="5" t="n">
        <x:v>1</x:v>
      </x:c>
      <x:c r="G27" s="5" t="inlineStr">
        <x:is>
          <x:t xml:space="preserve">11.01e1System.2</x:t>
        </x:is>
      </x:c>
      <x:c r="H27" s="5" t="n">
        <x:v>1</x:v>
      </x:c>
      <x:c r="I27" s="5" t="inlineStr">
        <x:is>
          <x:t xml:space="preserve">1:1</x:t>
        </x:is>
      </x:c>
      <x:c r="J27" s="5" t="inlineStr">
        <x:is>
          <x:t xml:space="preserve">Direct 1:1 overlap at the action-item level.</x:t>
        </x:is>
      </x:c>
      <x:c r="K27" s="5" t="inlineStr">
        <x:is>
          <x:t xml:space="preserve">45 CFR § 164.308(a)(4)(ii)(C)</x:t>
        </x:is>
      </x:c>
      <x:c r="L27" s="5" t="inlineStr">
        <x:is>
          <x:t xml:space="preserve">Information Access Management — Access Establishment and Modification</x:t>
        </x:is>
      </x:c>
      <x:c r="M27" s="5" t="inlineStr">
        <x:is>
          <x:t xml:space="preserve">Direct</x:t>
        </x:is>
      </x:c>
      <x:c r="N27" s="5" t="inlineStr">
        <x:is>
          <x:t xml:space="preserve">Access-review documentation aligns directly to the requirement to establish, document, review, and modify user rights of access.</x:t>
        </x:is>
      </x:c>
      <x:c r="O27"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P27" s="5" t="inlineStr">
        <x:is>
          <x:t xml:space="preserve">Used for both access-review evidence and broader policy statements that emphasize periodic review/modification.</x:t>
        </x:is>
      </x:c>
      <x:c r="Q27" s="5" t="inlineStr">
        <x:is>
          <x:t xml:space="preserve">REQ-29-HIPAA</x:t>
        </x:is>
      </x:c>
      <x:c r="R27" s="5" t="inlineStr">
        <x:is>
          <x:t xml:space="preserve">11.01e1System.2</x:t>
        </x:is>
      </x:c>
      <x:c r="S27" s="5" t="inlineStr">
        <x:is>
          <x:t xml:space="preserve">11.01e1 System.2</x:t>
        </x:is>
      </x:c>
      <x:c r="T27" s="5" t="n"/>
      <x:c r="U27" s="5" t="n"/>
      <x:c r="V27" s="5" t="n"/>
      <x:c r="W27" s="5" t="n"/>
      <x:c r="X27" s="5" t="n"/>
      <x:c r="Y27" s="5" t="n"/>
      <x:c r="Z27" s="5" t="n">
        <x:v>1</x:v>
      </x:c>
      <x:c r="AA27" s="5" t="n"/>
      <x:c r="AB27" s="5" t="inlineStr">
        <x:is>
          <x:t xml:space="preserve">45 C.F.R. § 164.308(a)(4)(ii)(C)</x:t>
        </x:is>
      </x:c>
      <x:c r="AC27" s="5" t="inlineStr">
        <x:is>
          <x:t xml:space="preserve">Information Access Management — Access Establishment and Modification</x:t>
        </x:is>
      </x:c>
      <x:c r="AD27" s="5" t="inlineStr">
        <x:is>
          <x:t xml:space="preserve">Implement policies and procedures to establish, document, review, and modify a user’s right of access to a workstation, transaction, program, or process.</x:t>
        </x:is>
      </x:c>
      <x:c r="AE27" s="5" t="inlineStr">
        <x:is>
          <x:t xml:space="preserve">Addressable implementation specification</x:t>
        </x:is>
      </x:c>
      <x:c r="AF27" s="5" t="inlineStr">
        <x:is>
          <x:t xml:space="preserve">Administrative Safeguards</x:t>
        </x:is>
      </x:c>
      <x:c r="AG27" s="28" t="inlineStr">
        <x:is>
          <x:t xml:space="preserve">https://www.ecfr.gov/current/title-45/subtitle-A/subchapter-C/part-164/section-164.308</x:t>
        </x:is>
      </x:c>
      <x:c r="AH27" s="28" t="inlineStr">
        <x:is>
          <x:t xml:space="preserve">https://www.hhs.gov/hipaa/for-professionals/compliance-enforcement/audit/protocol-edited/index.html</x:t>
        </x:is>
      </x:c>
      <x:c r="AI27" s="5" t="n"/>
      <x:c r="AJ27" s="5" t="n"/>
      <x:c r="AK27" s="5" t="n"/>
      <x:c r="AL27" s="5" t="n"/>
      <x:c r="AM27" s="5" t="n"/>
      <x:c r="AN27" s="5" t="n"/>
      <x:c r="AO27" s="5" t="n"/>
      <x:c r="AP27" s="5" t="n"/>
      <x:c r="AQ27" s="5" t="n"/>
      <x:c r="AR27" s="5" t="n"/>
      <x:c r="AS27" s="5" t="n"/>
      <x:c r="AT27" s="5" t="n"/>
      <x:c r="AU27" s="5" t="n"/>
      <x:c r="AV27" s="5" t="n"/>
      <x:c r="AW27" s="5" t="n"/>
      <x:c r="AX27" s="5" t="n"/>
      <x:c r="AY27" s="5" t="n"/>
      <x:c r="AZ27" s="5" t="n"/>
      <x:c r="BA27" s="5" t="n"/>
      <x:c r="BB27" s="5" t="n"/>
      <x:c r="BC27" s="5" t="n"/>
      <x:c r="BD27" s="5" t="n"/>
      <x:c r="BE27" s="5" t="n"/>
      <x:c r="BF27" s="5" t="n"/>
      <x:c r="BG27" s="5" t="n"/>
      <x:c r="BH27" s="5" t="n"/>
      <x:c r="BI27" s="5" t="n"/>
      <x:c r="BJ27" s="5" t="n"/>
      <x:c r="BK27" s="5" t="n"/>
      <x:c r="BL27" s="5" t="n"/>
      <x:c r="BM27" s="5" t="n"/>
      <x:c r="BN27" s="5" t="n"/>
      <x:c r="BO27" s="5" t="n"/>
      <x:c r="BP27" s="5" t="n"/>
      <x:c r="BQ27" s="5" t="n"/>
      <x:c r="BR27" s="5" t="n"/>
      <x:c r="BS27" s="5" t="n"/>
      <x:c r="BT27" s="5" t="n"/>
      <x:c r="BU27" s="5" t="n"/>
    </x:row>
    <x:row r="28" ht="30" customHeight="1">
      <x:c r="A28" s="5" t="inlineStr">
        <x:is>
          <x:t xml:space="preserve">HITRUST e1.csv</x:t>
        </x:is>
      </x:c>
      <x:c r="B28" s="5" t="inlineStr">
        <x:is>
          <x:t xml:space="preserve">ER-84</x:t>
        </x:is>
      </x:c>
      <x:c r="C28" s="5" t="inlineStr">
        <x:is>
          <x:t xml:space="preserve">Sample</x:t>
        </x:is>
      </x:c>
      <x:c r="D28" s="5" t="inlineStr">
        <x:is>
          <x:t xml:space="preserve">Employee Termination Ticket</x:t>
        </x:is>
      </x:c>
      <x:c r="E28" s="5" t="inlineStr">
        <x:is>
          <x:t xml:space="preserve">REQ-31-HIPAA</x:t>
        </x:is>
      </x:c>
      <x:c r="F28" s="5" t="n">
        <x:v>1</x:v>
      </x:c>
      <x:c r="G28" s="5" t="inlineStr">
        <x:is>
          <x:t xml:space="preserve">11143.02i1Organizational.3</x:t>
        </x:is>
      </x:c>
      <x:c r="H28" s="5" t="n">
        <x:v>1</x:v>
      </x:c>
      <x:c r="I28" s="5" t="inlineStr">
        <x:is>
          <x:t xml:space="preserve">1:1</x:t>
        </x:is>
      </x:c>
      <x:c r="J28" s="5" t="inlineStr">
        <x:is>
          <x:t xml:space="preserve">Direct 1:1 overlap at the action-item level.</x:t>
        </x:is>
      </x:c>
      <x:c r="K28" s="5" t="inlineStr">
        <x:is>
          <x:t xml:space="preserve">45 CFR § 164.308(a)(3)(ii)(C) | 45 CFR § 164.316(b)(1)</x:t>
        </x:is>
      </x:c>
      <x:c r="L28" s="5" t="inlineStr">
        <x:is>
          <x:t xml:space="preserve">Workforce Security — Termination Procedures | Documentation</x:t>
        </x:is>
      </x:c>
      <x:c r="M28" s="5" t="inlineStr">
        <x:is>
          <x:t xml:space="preserve">Composite</x:t>
        </x:is>
      </x:c>
      <x:c r="N28" s="5" t="inlineStr">
        <x:is>
          <x:t xml:space="preserve">Termination tickets/population evidence align directly to terminating access and documenting the action taken.</x:t>
        </x:is>
      </x:c>
      <x:c r="O28" s="28"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P28" s="5" t="inlineStr">
        <x:is>
          <x:t xml:space="preserve">Documentation is added because the row is explicit evidence that access-removal events were carried out and recorded.</x:t>
        </x:is>
      </x:c>
      <x:c r="Q28" s="5" t="inlineStr">
        <x:is>
          <x:t xml:space="preserve">REQ-31-HIPAA</x:t>
        </x:is>
      </x:c>
      <x:c r="R28" s="5" t="inlineStr">
        <x:is>
          <x:t xml:space="preserve">11143.02i1Organizational.3</x:t>
        </x:is>
      </x:c>
      <x:c r="S28" s="5" t="inlineStr">
        <x:is>
          <x:t xml:space="preserve">11143.02i1 Organizational.3</x:t>
        </x:is>
      </x:c>
      <x:c r="T28" s="5" t="n"/>
      <x:c r="U28" s="5" t="n"/>
      <x:c r="V28" s="5" t="n"/>
      <x:c r="W28" s="5" t="n"/>
      <x:c r="X28" s="5" t="n"/>
      <x:c r="Y28" s="5" t="n"/>
      <x:c r="Z28" s="5" t="n">
        <x:v>2</x:v>
      </x:c>
      <x:c r="AA28" s="5" t="n"/>
      <x:c r="AB28" s="5" t="inlineStr">
        <x:is>
          <x:t xml:space="preserve">45 C.F.R. § 164.308(a)(3)(ii)(C)</x:t>
        </x:is>
      </x:c>
      <x:c r="AC28" s="5" t="inlineStr">
        <x:is>
          <x:t xml:space="preserve">Workforce Security — Termination Procedures</x:t>
        </x:is>
      </x:c>
      <x:c r="AD28" s="5" t="inlineStr">
        <x:is>
          <x:t xml:space="preserve">Implement procedures for terminating a workforce member’s access to ePHI when employment ends or when access should otherwise be removed.</x:t>
        </x:is>
      </x:c>
      <x:c r="AE28" s="5" t="inlineStr">
        <x:is>
          <x:t xml:space="preserve">Addressable implementation specification</x:t>
        </x:is>
      </x:c>
      <x:c r="AF28" s="5" t="inlineStr">
        <x:is>
          <x:t xml:space="preserve">Administrative Safeguards</x:t>
        </x:is>
      </x:c>
      <x:c r="AG28" s="28" t="inlineStr">
        <x:is>
          <x:t xml:space="preserve">https://www.ecfr.gov/current/title-45/subtitle-A/subchapter-C/part-164/section-164.308</x:t>
        </x:is>
      </x:c>
      <x:c r="AH28" s="28" t="inlineStr">
        <x:is>
          <x:t xml:space="preserve">https://www.hhs.gov/hipaa/for-professionals/security/guidance/cybersecurity-newsletter-summer-2019/index.html</x:t>
        </x:is>
      </x:c>
      <x:c r="AI28" s="5" t="n"/>
      <x:c r="AJ28" s="5" t="inlineStr">
        <x:is>
          <x:t xml:space="preserve">45 C.F.R. § 164.316(b)(1)</x:t>
        </x:is>
      </x:c>
      <x:c r="AK28" s="5" t="inlineStr">
        <x:is>
          <x:t xml:space="preserve">Documentation</x:t>
        </x:is>
      </x:c>
      <x:c r="AL28" s="5" t="inlineStr">
        <x:is>
          <x:t xml:space="preserve">Maintain written or electronic policies and procedures implemented to comply with the Security Rule and written or electronic records of required actions, activities, and assessments.</x:t>
        </x:is>
      </x:c>
      <x:c r="AM28" s="5" t="inlineStr">
        <x:is>
          <x:t xml:space="preserve">Standard</x:t>
        </x:is>
      </x:c>
      <x:c r="AN28" s="5" t="inlineStr">
        <x:is>
          <x:t xml:space="preserve">Policies / Documentation</x:t>
        </x:is>
      </x:c>
      <x:c r="AO28" s="28" t="inlineStr">
        <x:is>
          <x:t xml:space="preserve">https://www.ecfr.gov/current/title-45/subtitle-A/subchapter-C/part-164/section-164.316</x:t>
        </x:is>
      </x:c>
      <x:c r="AP28" s="28" t="inlineStr">
        <x:is>
          <x:t xml:space="preserve">https://www.hhs.gov/sites/default/files/ocr/privacy/hipaa/administrative/securityrule/pprequirements.pdf</x:t>
        </x:is>
      </x:c>
      <x:c r="AQ28" s="5" t="n"/>
      <x:c r="AR28" s="5" t="n"/>
      <x:c r="AS28" s="5" t="n"/>
      <x:c r="AT28" s="5" t="n"/>
      <x:c r="AU28" s="5" t="n"/>
      <x:c r="AV28" s="5" t="n"/>
      <x:c r="AW28" s="5" t="n"/>
      <x:c r="AX28" s="5" t="n"/>
      <x:c r="AY28" s="5" t="n"/>
      <x:c r="AZ28" s="5" t="n"/>
      <x:c r="BA28" s="5" t="n"/>
      <x:c r="BB28" s="5" t="n"/>
      <x:c r="BC28" s="5" t="n"/>
      <x:c r="BD28" s="5" t="n"/>
      <x:c r="BE28" s="5" t="n"/>
      <x:c r="BF28" s="5" t="n"/>
      <x:c r="BG28" s="5" t="n"/>
      <x:c r="BH28" s="5" t="n"/>
      <x:c r="BI28" s="5" t="n"/>
      <x:c r="BJ28" s="5" t="n"/>
      <x:c r="BK28" s="5" t="n"/>
      <x:c r="BL28" s="5" t="n"/>
      <x:c r="BM28" s="5" t="n"/>
      <x:c r="BN28" s="5" t="n"/>
      <x:c r="BO28" s="5" t="n"/>
      <x:c r="BP28" s="5" t="n"/>
      <x:c r="BQ28" s="5" t="n"/>
      <x:c r="BR28" s="5" t="n"/>
      <x:c r="BS28" s="5" t="n"/>
      <x:c r="BT28" s="5" t="n"/>
      <x:c r="BU28" s="5" t="n"/>
    </x:row>
    <x:row r="29" ht="30" customHeight="1">
      <x:c r="A29" s="5" t="inlineStr">
        <x:is>
          <x:t xml:space="preserve">HITRUST e1.csv</x:t>
        </x:is>
      </x:c>
      <x:c r="B29" s="5" t="inlineStr">
        <x:is>
          <x:t xml:space="preserve">ER-53</x:t>
        </x:is>
      </x:c>
      <x:c r="C29" s="5" t="inlineStr">
        <x:is>
          <x:t xml:space="preserve">Sample</x:t>
        </x:is>
      </x:c>
      <x:c r="D29" s="5" t="inlineStr">
        <x:is>
          <x:t xml:space="preserve">Evidence of Vulnerability Scan Results</x:t>
        </x:is>
      </x:c>
      <x:c r="E29" s="5" t="inlineStr">
        <x:is>
          <x:t xml:space="preserve">REQ-46-HIPAA, REQ-47-HIPAA</x:t>
        </x:is>
      </x:c>
      <x:c r="F29" s="5" t="n">
        <x:v>2</x:v>
      </x:c>
      <x:c r="G29" s="5" t="inlineStr">
        <x:is>
          <x:t xml:space="preserve">07.10m1Organizational.3</x:t>
        </x:is>
      </x:c>
      <x:c r="H29" s="5" t="n">
        <x:v>1</x:v>
      </x:c>
      <x:c r="I29" s="5" t="inlineStr">
        <x:is>
          <x:t xml:space="preserve">Many:1</x:t>
        </x:is>
      </x:c>
      <x:c r="J29" s="5" t="inlineStr">
        <x:is>
          <x:t xml:space="preserve">Multiple HIPAA local controls converge on one HITRUST e1 control in this action item.</x:t>
        </x:is>
      </x:c>
      <x:c r="K29" s="5" t="inlineStr">
        <x:is>
          <x:t xml:space="preserve">45 CFR § 164.308(a)(1)(ii)(A) | 45 CFR § 164.308(a)(1)(ii)(B)</x:t>
        </x:is>
      </x:c>
      <x:c r="L29" s="5" t="inlineStr">
        <x:is>
          <x:t xml:space="preserve">Security Management Process — Risk Analysis | Security Management Process — Risk Management</x:t>
        </x:is>
      </x:c>
      <x:c r="M29" s="5" t="inlineStr">
        <x:is>
          <x:t xml:space="preserve">Best-fit</x:t>
        </x:is>
      </x:c>
      <x:c r="N29" s="5" t="inlineStr">
        <x:is>
          <x:t xml:space="preserve">OCR guidance identifies vulnerability scanning as one way to identify risks and vulnerabilities to ePHI. | Vulnerability remediation is the treatment/mitigation step after risks are identified.</x:t>
        </x:is>
      </x:c>
      <x:c r="O29" s="28"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P29" s="5" t="inlineStr">
        <x:is>
          <x:t xml:space="preserve">Used for vulnerability-scan result evidence. | Used for remediation evidence and related patch/vulnerability-management policy rows.</x:t>
        </x:is>
      </x:c>
      <x:c r="Q29" s="5" t="inlineStr">
        <x:is>
          <x:t xml:space="preserve">REQ-46-HIPAA</x:t>
        </x:is>
      </x:c>
      <x:c r="R29" s="5" t="inlineStr">
        <x:is>
          <x:t xml:space="preserve">07.10m1Organizational.3</x:t>
        </x:is>
      </x:c>
      <x:c r="S29" s="5" t="inlineStr">
        <x:is>
          <x:t xml:space="preserve">07.10m1 Organizational.3</x:t>
        </x:is>
      </x:c>
      <x:c r="T29" s="5" t="n"/>
      <x:c r="U29" s="5" t="n"/>
      <x:c r="V29" s="5" t="n"/>
      <x:c r="W29" s="5" t="n"/>
      <x:c r="X29" s="5" t="n"/>
      <x:c r="Y29" s="5" t="n"/>
      <x:c r="Z29" s="5" t="n">
        <x:v>2</x:v>
      </x:c>
      <x:c r="AA29" s="5" t="n"/>
      <x:c r="AB29" s="5" t="inlineStr">
        <x:is>
          <x:t xml:space="preserve">45 C.F.R. § 164.308(a)(1)(ii)(A)</x:t>
        </x:is>
      </x:c>
      <x:c r="AC29" s="5" t="inlineStr">
        <x:is>
          <x:t xml:space="preserve">Security Management Process — Risk Analysis</x:t>
        </x:is>
      </x:c>
      <x:c r="AD29" s="5" t="inlineStr">
        <x:is>
          <x:t xml:space="preserve">Conduct an accurate and thorough assessment of the potential risks and vulnerabilities to the confidentiality, integrity, and availability of ePHI.</x:t>
        </x:is>
      </x:c>
      <x:c r="AE29" s="5" t="inlineStr">
        <x:is>
          <x:t xml:space="preserve">Required implementation specification</x:t>
        </x:is>
      </x:c>
      <x:c r="AF29" s="5" t="inlineStr">
        <x:is>
          <x:t xml:space="preserve">Administrative Safeguards</x:t>
        </x:is>
      </x:c>
      <x:c r="AG29" s="28" t="inlineStr">
        <x:is>
          <x:t xml:space="preserve">https://www.ecfr.gov/current/title-45/subtitle-A/subchapter-C/part-164/section-164.308</x:t>
        </x:is>
      </x:c>
      <x:c r="AH29" s="28" t="inlineStr">
        <x:is>
          <x:t xml:space="preserve">https://www.hhs.gov/hipaa/for-professionals/security/guidance/guidance-risk-analysis/index.html</x:t>
        </x:is>
      </x:c>
      <x:c r="AI29" s="5" t="inlineStr">
        <x:is>
          <x:t xml:space="preserve">REQ-47-HIPAA</x:t>
        </x:is>
      </x:c>
      <x:c r="AJ29" s="5" t="inlineStr">
        <x:is>
          <x:t xml:space="preserve">45 C.F.R. § 164.308(a)(1)(ii)(B)</x:t>
        </x:is>
      </x:c>
      <x:c r="AK29" s="5" t="inlineStr">
        <x:is>
          <x:t xml:space="preserve">Security Management Process — Risk Management</x:t>
        </x:is>
      </x:c>
      <x:c r="AL29" s="5" t="inlineStr">
        <x:is>
          <x:t xml:space="preserve">Implement security measures sufficient to reduce identified risks and vulnerabilities to a reasonable and appropriate level.</x:t>
        </x:is>
      </x:c>
      <x:c r="AM29" s="5" t="inlineStr">
        <x:is>
          <x:t xml:space="preserve">Required implementation specification</x:t>
        </x:is>
      </x:c>
      <x:c r="AN29" s="5" t="inlineStr">
        <x:is>
          <x:t xml:space="preserve">Administrative Safeguards</x:t>
        </x:is>
      </x:c>
      <x:c r="AO29" s="28" t="inlineStr">
        <x:is>
          <x:t xml:space="preserve">https://www.ecfr.gov/current/title-45/subtitle-A/subchapter-C/part-164/section-164.308</x:t>
        </x:is>
      </x:c>
      <x:c r="AP29" s="28" t="inlineStr">
        <x:is>
          <x:t xml:space="preserve">https://www.hhs.gov/hipaa/for-professionals/security/guidance/guidance-risk-analysis/index.html</x:t>
        </x:is>
      </x:c>
      <x:c r="AQ29" s="5" t="n"/>
      <x:c r="AR29" s="5" t="n"/>
      <x:c r="AS29" s="5" t="n"/>
      <x:c r="AT29" s="5" t="n"/>
      <x:c r="AU29" s="5" t="n"/>
      <x:c r="AV29" s="5" t="n"/>
      <x:c r="AW29" s="5" t="n"/>
      <x:c r="AX29" s="5" t="n"/>
      <x:c r="AY29" s="5" t="n"/>
      <x:c r="AZ29" s="5" t="n"/>
      <x:c r="BA29" s="5" t="n"/>
      <x:c r="BB29" s="5" t="n"/>
      <x:c r="BC29" s="5" t="n"/>
      <x:c r="BD29" s="5" t="n"/>
      <x:c r="BE29" s="5" t="n"/>
      <x:c r="BF29" s="5" t="n"/>
      <x:c r="BG29" s="5" t="n"/>
      <x:c r="BH29" s="5" t="n"/>
      <x:c r="BI29" s="5" t="n"/>
      <x:c r="BJ29" s="5" t="n"/>
      <x:c r="BK29" s="5" t="n"/>
      <x:c r="BL29" s="5" t="n"/>
      <x:c r="BM29" s="5" t="n"/>
      <x:c r="BN29" s="5" t="n"/>
      <x:c r="BO29" s="5" t="n"/>
      <x:c r="BP29" s="5" t="n"/>
      <x:c r="BQ29" s="5" t="n"/>
      <x:c r="BR29" s="5" t="n"/>
      <x:c r="BS29" s="5" t="n"/>
      <x:c r="BT29" s="5" t="n"/>
      <x:c r="BU29" s="5" t="n"/>
    </x:row>
    <x:row r="30" ht="30" customHeight="1">
      <x:c r="A30" s="5" t="inlineStr">
        <x:is>
          <x:t xml:space="preserve">HITRUST e1.csv</x:t>
        </x:is>
      </x:c>
      <x:c r="B30" s="5" t="inlineStr">
        <x:is>
          <x:t xml:space="preserve">ER-89</x:t>
        </x:is>
      </x:c>
      <x:c r="C30" s="5" t="inlineStr">
        <x:is>
          <x:t xml:space="preserve">Sample</x:t>
        </x:is>
      </x:c>
      <x:c r="D30" s="5" t="inlineStr">
        <x:is>
          <x:t xml:space="preserve">New Hire Access Request Form</x:t>
        </x:is>
      </x:c>
      <x:c r="E30" s="5" t="inlineStr">
        <x:is>
          <x:t xml:space="preserve">REQ-30-HIPAA</x:t>
        </x:is>
      </x:c>
      <x:c r="F30" s="5" t="n">
        <x:v>1</x:v>
      </x:c>
      <x:c r="G30" s="5" t="inlineStr">
        <x:is>
          <x:t xml:space="preserve">1143.01c1System.123</x:t>
        </x:is>
      </x:c>
      <x:c r="H30" s="5" t="n">
        <x:v>1</x:v>
      </x:c>
      <x:c r="I30" s="5" t="inlineStr">
        <x:is>
          <x:t xml:space="preserve">1:1</x:t>
        </x:is>
      </x:c>
      <x:c r="J30" s="5" t="inlineStr">
        <x:is>
          <x:t xml:space="preserve">Direct 1:1 overlap at the action-item level.</x:t>
        </x:is>
      </x:c>
      <x:c r="K30" s="5" t="inlineStr">
        <x:is>
          <x:t xml:space="preserve">45 CFR § 164.308(a)(4)(ii)(B)</x:t>
        </x:is>
      </x:c>
      <x:c r="L30" s="5" t="inlineStr">
        <x:is>
          <x:t xml:space="preserve">Information Access Management — Access Authorization</x:t>
        </x:is>
      </x:c>
      <x:c r="M30" s="5" t="inlineStr">
        <x:is>
          <x:t xml:space="preserve">Direct</x:t>
        </x:is>
      </x:c>
      <x:c r="N30" s="5" t="inlineStr">
        <x:is>
          <x:t xml:space="preserve">New-hire access request and approval evidence aligns directly to access authorization.</x:t>
        </x:is>
      </x:c>
      <x:c r="O30"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P30" s="5" t="inlineStr">
        <x:is>
          <x:t xml:space="preserve">Used for access-request forms/templates and access-control rows that center on approvals.</x:t>
        </x:is>
      </x:c>
      <x:c r="Q30" s="5" t="inlineStr">
        <x:is>
          <x:t xml:space="preserve">REQ-30-HIPAA</x:t>
        </x:is>
      </x:c>
      <x:c r="R30" s="5" t="inlineStr">
        <x:is>
          <x:t xml:space="preserve">1143.01c1System.123</x:t>
        </x:is>
      </x:c>
      <x:c r="S30" s="5" t="inlineStr">
        <x:is>
          <x:t xml:space="preserve">1143.01c1 System.123</x:t>
        </x:is>
      </x:c>
      <x:c r="T30" s="5" t="n"/>
      <x:c r="U30" s="5" t="n"/>
      <x:c r="V30" s="5" t="n"/>
      <x:c r="W30" s="5" t="n"/>
      <x:c r="X30" s="5" t="n"/>
      <x:c r="Y30" s="5" t="n"/>
      <x:c r="Z30" s="5" t="n">
        <x:v>1</x:v>
      </x:c>
      <x:c r="AA30" s="5" t="n"/>
      <x:c r="AB30" s="5" t="inlineStr">
        <x:is>
          <x:t xml:space="preserve">45 C.F.R. § 164.308(a)(4)(ii)(B)</x:t>
        </x:is>
      </x:c>
      <x:c r="AC30" s="5" t="inlineStr">
        <x:is>
          <x:t xml:space="preserve">Information Access Management — Access Authorization</x:t>
        </x:is>
      </x:c>
      <x:c r="AD30" s="5" t="inlineStr">
        <x:is>
          <x:t xml:space="preserve">Implement policies and procedures for granting access to ePHI through appropriate mechanisms such as workstations, transactions, programs, or processes.</x:t>
        </x:is>
      </x:c>
      <x:c r="AE30" s="5" t="inlineStr">
        <x:is>
          <x:t xml:space="preserve">Addressable implementation specification</x:t>
        </x:is>
      </x:c>
      <x:c r="AF30" s="5" t="inlineStr">
        <x:is>
          <x:t xml:space="preserve">Administrative Safeguards</x:t>
        </x:is>
      </x:c>
      <x:c r="AG30" s="28" t="inlineStr">
        <x:is>
          <x:t xml:space="preserve">https://www.ecfr.gov/current/title-45/subtitle-A/subchapter-C/part-164/section-164.308</x:t>
        </x:is>
      </x:c>
      <x:c r="AH30" s="28" t="inlineStr">
        <x:is>
          <x:t xml:space="preserve">https://www.hhs.gov/hipaa/for-professionals/compliance-enforcement/audit/protocol-edited/index.html</x:t>
        </x:is>
      </x:c>
      <x:c r="AI30" s="5" t="n"/>
      <x:c r="AJ30" s="5" t="n"/>
      <x:c r="AK30" s="5" t="n"/>
      <x:c r="AL30" s="5" t="n"/>
      <x:c r="AM30" s="5" t="n"/>
      <x:c r="AN30" s="5" t="n"/>
      <x:c r="AO30" s="5" t="n"/>
      <x:c r="AP30" s="5" t="n"/>
      <x:c r="AQ30" s="5" t="n"/>
      <x:c r="AR30" s="5" t="n"/>
      <x:c r="AS30" s="5" t="n"/>
      <x:c r="AT30" s="5" t="n"/>
      <x:c r="AU30" s="5" t="n"/>
      <x:c r="AV30" s="5" t="n"/>
      <x:c r="AW30" s="5" t="n"/>
      <x:c r="AX30" s="5" t="n"/>
      <x:c r="AY30" s="5" t="n"/>
      <x:c r="AZ30" s="5" t="n"/>
      <x:c r="BA30" s="5" t="n"/>
      <x:c r="BB30" s="5" t="n"/>
      <x:c r="BC30" s="5" t="n"/>
      <x:c r="BD30" s="5" t="n"/>
      <x:c r="BE30" s="5" t="n"/>
      <x:c r="BF30" s="5" t="n"/>
      <x:c r="BG30" s="5" t="n"/>
      <x:c r="BH30" s="5" t="n"/>
      <x:c r="BI30" s="5" t="n"/>
      <x:c r="BJ30" s="5" t="n"/>
      <x:c r="BK30" s="5" t="n"/>
      <x:c r="BL30" s="5" t="n"/>
      <x:c r="BM30" s="5" t="n"/>
      <x:c r="BN30" s="5" t="n"/>
      <x:c r="BO30" s="5" t="n"/>
      <x:c r="BP30" s="5" t="n"/>
      <x:c r="BQ30" s="5" t="n"/>
      <x:c r="BR30" s="5" t="n"/>
      <x:c r="BS30" s="5" t="n"/>
      <x:c r="BT30" s="5" t="n"/>
      <x:c r="BU30" s="5" t="n"/>
    </x:row>
    <x:row r="31" ht="30" customHeight="1">
      <x:c r="A31" s="5" t="inlineStr">
        <x:is>
          <x:t xml:space="preserve">HITRUST e1.csv</x:t>
        </x:is>
      </x:c>
      <x:c r="B31" s="5" t="inlineStr">
        <x:is>
          <x:t xml:space="preserve">ER-33</x:t>
        </x:is>
      </x:c>
      <x:c r="C31" s="5" t="inlineStr">
        <x:is>
          <x:t xml:space="preserve">Sample</x:t>
        </x:is>
      </x:c>
      <x:c r="D31" s="5" t="inlineStr">
        <x:is>
          <x:t xml:space="preserve">New Hire Security Awareness Training</x:t>
        </x:is>
      </x:c>
      <x:c r="E31" s="5" t="inlineStr">
        <x:is>
          <x:t xml:space="preserve">REQ-12-HIPAA</x:t>
        </x:is>
      </x:c>
      <x:c r="F31" s="5" t="n">
        <x:v>1</x:v>
      </x:c>
      <x:c r="G31" s="5" t="inlineStr">
        <x:is>
          <x:t xml:space="preserve">1308.09j1Organizational.5.a, 13998.02e1Organizational.2, 13.02e1Organizational.6</x:t>
        </x:is>
      </x:c>
      <x:c r="H31" s="5" t="n">
        <x:v>3</x:v>
      </x:c>
      <x:c r="I31" s="5" t="inlineStr">
        <x:is>
          <x:t xml:space="preserve">1:Many</x:t>
        </x:is>
      </x:c>
      <x:c r="J31" s="5" t="inlineStr">
        <x:is>
          <x:t xml:space="preserve">One HIPAA local control decomposes into multiple HITRUST e1 controls in this action item.</x:t>
        </x:is>
      </x:c>
      <x:c r="K31" s="5" t="inlineStr">
        <x:is>
          <x:t xml:space="preserve">45 CFR § 164.308(a)(5)</x:t>
        </x:is>
      </x:c>
      <x:c r="L31" s="5" t="inlineStr">
        <x:is>
          <x:t xml:space="preserve">Security Awareness and Training</x:t>
        </x:is>
      </x:c>
      <x:c r="M31" s="5" t="inlineStr">
        <x:is>
          <x:t xml:space="preserve">Direct</x:t>
        </x:is>
      </x:c>
      <x:c r="N31" s="5" t="inlineStr">
        <x:is>
          <x:t xml:space="preserve">Action item and control context align to workforce security-awareness training for new hires.</x:t>
        </x:is>
      </x:c>
      <x:c r="O31"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P31" s="5" t="inlineStr">
        <x:is>
          <x:t xml:space="preserve">Mapped at the standard level because the spreadsheet does not break new-hire training into the more granular addressable sub-specifications.</x:t>
        </x:is>
      </x:c>
      <x:c r="Q31" s="5" t="inlineStr">
        <x:is>
          <x:t xml:space="preserve">REQ-12-HIPAA</x:t>
        </x:is>
      </x:c>
      <x:c r="R31" s="5" t="inlineStr">
        <x:is>
          <x:t xml:space="preserve">1308.09j1Organizational.5.a</x:t>
        </x:is>
      </x:c>
      <x:c r="S31" s="5" t="inlineStr">
        <x:is>
          <x:t xml:space="preserve">1308.09j1 Organizational.5.a</x:t>
        </x:is>
      </x:c>
      <x:c r="T31" s="5" t="inlineStr">
        <x:is>
          <x:t xml:space="preserve">13998.02e1Organizational.2</x:t>
        </x:is>
      </x:c>
      <x:c r="U31" s="5" t="inlineStr">
        <x:is>
          <x:t xml:space="preserve">13998.02e1 Organizational.2</x:t>
        </x:is>
      </x:c>
      <x:c r="V31" s="5" t="inlineStr">
        <x:is>
          <x:t xml:space="preserve">13.02e1Organizational.6</x:t>
        </x:is>
      </x:c>
      <x:c r="W31" s="5" t="inlineStr">
        <x:is>
          <x:t xml:space="preserve">13.02e1 Organizational.6</x:t>
        </x:is>
      </x:c>
      <x:c r="X31" s="5" t="n"/>
      <x:c r="Y31" s="5" t="n"/>
      <x:c r="Z31" s="5" t="n">
        <x:v>1</x:v>
      </x:c>
      <x:c r="AA31" s="5" t="n"/>
      <x:c r="AB31" s="5" t="inlineStr">
        <x:is>
          <x:t xml:space="preserve">45 C.F.R. § 164.308(a)(5)</x:t>
        </x:is>
      </x:c>
      <x:c r="AC31" s="5" t="inlineStr">
        <x:is>
          <x:t xml:space="preserve">Security Awareness and Training</x:t>
        </x:is>
      </x:c>
      <x:c r="AD31" s="5" t="inlineStr">
        <x:is>
          <x:t xml:space="preserve">Implement a security awareness and training program for all members of the workforce, including management.</x:t>
        </x:is>
      </x:c>
      <x:c r="AE31" s="5" t="inlineStr">
        <x:is>
          <x:t xml:space="preserve">Standard</x:t>
        </x:is>
      </x:c>
      <x:c r="AF31" s="5" t="inlineStr">
        <x:is>
          <x:t xml:space="preserve">Administrative Safeguards</x:t>
        </x:is>
      </x:c>
      <x:c r="AG31" s="28" t="inlineStr">
        <x:is>
          <x:t xml:space="preserve">https://www.ecfr.gov/current/title-45/subtitle-A/subchapter-C/part-164/section-164.308</x:t>
        </x:is>
      </x:c>
      <x:c r="AH31" s="28" t="inlineStr">
        <x:is>
          <x:t xml:space="preserve">https://www.hhs.gov/sites/default/files/ocr/privacy/hipaa/administrative/securityrule/adminsafeguards.pdf</x:t>
        </x:is>
      </x:c>
      <x:c r="AI31" s="5" t="n"/>
      <x:c r="AJ31" s="5" t="n"/>
      <x:c r="AK31" s="5" t="n"/>
      <x:c r="AL31" s="5" t="n"/>
      <x:c r="AM31" s="5" t="n"/>
      <x:c r="AN31" s="5" t="n"/>
      <x:c r="AO31" s="5" t="n"/>
      <x:c r="AP31" s="5" t="n"/>
      <x:c r="AQ31" s="5" t="n"/>
      <x:c r="AR31" s="5" t="n"/>
      <x:c r="AS31" s="5" t="n"/>
      <x:c r="AT31" s="5" t="n"/>
      <x:c r="AU31" s="5" t="n"/>
      <x:c r="AV31" s="5" t="n"/>
      <x:c r="AW31" s="5" t="n"/>
      <x:c r="AX31" s="5" t="n"/>
      <x:c r="AY31" s="5" t="n"/>
      <x:c r="AZ31" s="5" t="n"/>
      <x:c r="BA31" s="5" t="n"/>
      <x:c r="BB31" s="5" t="n"/>
      <x:c r="BC31" s="5" t="n"/>
      <x:c r="BD31" s="5" t="n"/>
      <x:c r="BE31" s="5" t="n"/>
      <x:c r="BF31" s="5" t="n"/>
      <x:c r="BG31" s="5" t="n"/>
      <x:c r="BH31" s="5" t="n"/>
      <x:c r="BI31" s="5" t="n"/>
      <x:c r="BJ31" s="5" t="n"/>
      <x:c r="BK31" s="5" t="n"/>
      <x:c r="BL31" s="5" t="n"/>
      <x:c r="BM31" s="5" t="n"/>
      <x:c r="BN31" s="5" t="n"/>
      <x:c r="BO31" s="5" t="n"/>
      <x:c r="BP31" s="5" t="n"/>
      <x:c r="BQ31" s="5" t="n"/>
      <x:c r="BR31" s="5" t="n"/>
      <x:c r="BS31" s="5" t="n"/>
      <x:c r="BT31" s="5" t="n"/>
      <x:c r="BU31" s="5" t="n"/>
    </x:row>
    <x:row r="32" ht="30" customHeight="1">
      <x:c r="A32" s="5" t="inlineStr">
        <x:is>
          <x:t xml:space="preserve">HITRUST e1.csv</x:t>
        </x:is>
      </x:c>
      <x:c r="B32" s="5" t="inlineStr">
        <x:is>
          <x:t xml:space="preserve">ER-62</x:t>
        </x:is>
      </x:c>
      <x:c r="C32" s="5" t="inlineStr">
        <x:is>
          <x:t xml:space="preserve">Sample</x:t>
        </x:is>
      </x:c>
      <x:c r="D32" s="5" t="inlineStr">
        <x:is>
          <x:t xml:space="preserve">Software/Infrastructure Production Change Ticket</x:t>
        </x:is>
      </x:c>
      <x:c r="E32" s="5" t="inlineStr">
        <x:is>
          <x:t xml:space="preserve">REQ-55-HIPAA</x:t>
        </x:is>
      </x:c>
      <x:c r="F32" s="5" t="n">
        <x:v>1</x:v>
      </x:c>
      <x:c r="G32" s="5" t="inlineStr">
        <x:is>
          <x:t xml:space="preserve">06.09b1System.2</x:t>
        </x:is>
      </x:c>
      <x:c r="H32" s="5" t="n">
        <x:v>1</x:v>
      </x:c>
      <x:c r="I32" s="5" t="inlineStr">
        <x:is>
          <x:t xml:space="preserve">1:1</x:t>
        </x:is>
      </x:c>
      <x:c r="J32" s="5" t="inlineStr">
        <x:is>
          <x:t xml:space="preserve">Direct 1:1 overlap at the action-item level.</x:t>
        </x:is>
      </x:c>
      <x:c r="K32" s="5" t="inlineStr">
        <x:is>
          <x:t xml:space="preserve">45 CFR § 164.308(a)(8) | 45 CFR § 164.316(b)(1)</x:t>
        </x:is>
      </x:c>
      <x:c r="L32" s="5" t="inlineStr">
        <x:is>
          <x:t xml:space="preserve">Evaluation | Documentation</x:t>
        </x:is>
      </x:c>
      <x:c r="M32" s="5" t="inlineStr">
        <x:is>
          <x:t xml:space="preserve">Best-fit composite</x:t>
        </x:is>
      </x:c>
      <x:c r="N32" s="5" t="inlineStr">
        <x:is>
          <x:t xml:space="preserve">Production-change tickets/population evidence are not a named HIPAA specification, but they are strong evidence of evaluating and documenting operational changes affecting ePHI safeguards.</x:t>
        </x:is>
      </x:c>
      <x:c r="O32"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P32" s="5" t="inlineStr">
        <x:is>
          <x:t xml:space="preserve">Best-fit evidence mapping; HIPAA does not mandate a particular ticketing mechanism.</x:t>
        </x:is>
      </x:c>
      <x:c r="Q32" s="5" t="inlineStr">
        <x:is>
          <x:t xml:space="preserve">REQ-55-HIPAA</x:t>
        </x:is>
      </x:c>
      <x:c r="R32" s="5" t="inlineStr">
        <x:is>
          <x:t xml:space="preserve">06.09b1System.2</x:t>
        </x:is>
      </x:c>
      <x:c r="S32" s="5" t="inlineStr">
        <x:is>
          <x:t xml:space="preserve">06.09b1 System.2</x:t>
        </x:is>
      </x:c>
      <x:c r="T32" s="5" t="n"/>
      <x:c r="U32" s="5" t="n"/>
      <x:c r="V32" s="5" t="n"/>
      <x:c r="W32" s="5" t="n"/>
      <x:c r="X32" s="5" t="n"/>
      <x:c r="Y32" s="5" t="n"/>
      <x:c r="Z32" s="5" t="n">
        <x:v>2</x:v>
      </x:c>
      <x:c r="AA32" s="5" t="n"/>
      <x:c r="AB32" s="5" t="inlineStr">
        <x:is>
          <x:t xml:space="preserve">45 C.F.R. § 164.308(a)(8)</x:t>
        </x:is>
      </x:c>
      <x:c r="AC32" s="5" t="inlineStr">
        <x:is>
          <x:t xml:space="preserve">Evaluation</x:t>
        </x:is>
      </x:c>
      <x:c r="AD32" s="5" t="inlineStr">
        <x:is>
          <x:t xml:space="preserve">Perform periodic technical and nontechnical evaluations, and repeat them in response to environmental or operational changes affecting the security of ePHI.</x:t>
        </x:is>
      </x:c>
      <x:c r="AE32" s="5" t="inlineStr">
        <x:is>
          <x:t xml:space="preserve">Required standard</x:t>
        </x:is>
      </x:c>
      <x:c r="AF32" s="5" t="inlineStr">
        <x:is>
          <x:t xml:space="preserve">Administrative Safeguards</x:t>
        </x:is>
      </x:c>
      <x:c r="AG32" s="28" t="inlineStr">
        <x:is>
          <x:t xml:space="preserve">https://www.ecfr.gov/current/title-45/subtitle-A/subchapter-C/part-164/section-164.308</x:t>
        </x:is>
      </x:c>
      <x:c r="AH32" s="28" t="inlineStr">
        <x:is>
          <x:t xml:space="preserve">https://www.hhs.gov/ocr/privacy/hipaa/administrative/securityrule/index.html</x:t>
        </x:is>
      </x:c>
      <x:c r="AI32" s="5" t="n"/>
      <x:c r="AJ32" s="5" t="inlineStr">
        <x:is>
          <x:t xml:space="preserve">45 C.F.R. § 164.316(b)(1)</x:t>
        </x:is>
      </x:c>
      <x:c r="AK32" s="5" t="inlineStr">
        <x:is>
          <x:t xml:space="preserve">Documentation</x:t>
        </x:is>
      </x:c>
      <x:c r="AL32" s="5" t="inlineStr">
        <x:is>
          <x:t xml:space="preserve">Maintain written or electronic policies and procedures implemented to comply with the Security Rule and written or electronic records of required actions, activities, and assessments.</x:t>
        </x:is>
      </x:c>
      <x:c r="AM32" s="5" t="inlineStr">
        <x:is>
          <x:t xml:space="preserve">Standard</x:t>
        </x:is>
      </x:c>
      <x:c r="AN32" s="5" t="inlineStr">
        <x:is>
          <x:t xml:space="preserve">Policies / Documentation</x:t>
        </x:is>
      </x:c>
      <x:c r="AO32" s="28" t="inlineStr">
        <x:is>
          <x:t xml:space="preserve">https://www.ecfr.gov/current/title-45/subtitle-A/subchapter-C/part-164/section-164.316</x:t>
        </x:is>
      </x:c>
      <x:c r="AP32" s="28" t="inlineStr">
        <x:is>
          <x:t xml:space="preserve">https://www.hhs.gov/sites/default/files/ocr/privacy/hipaa/administrative/securityrule/pprequirements.pdf</x:t>
        </x:is>
      </x:c>
      <x:c r="AQ32" s="5" t="n"/>
      <x:c r="AR32" s="5" t="n"/>
      <x:c r="AS32" s="5" t="n"/>
      <x:c r="AT32" s="5" t="n"/>
      <x:c r="AU32" s="5" t="n"/>
      <x:c r="AV32" s="5" t="n"/>
      <x:c r="AW32" s="5" t="n"/>
      <x:c r="AX32" s="5" t="n"/>
      <x:c r="AY32" s="5" t="n"/>
      <x:c r="AZ32" s="5" t="n"/>
      <x:c r="BA32" s="5" t="n"/>
      <x:c r="BB32" s="5" t="n"/>
      <x:c r="BC32" s="5" t="n"/>
      <x:c r="BD32" s="5" t="n"/>
      <x:c r="BE32" s="5" t="n"/>
      <x:c r="BF32" s="5" t="n"/>
      <x:c r="BG32" s="5" t="n"/>
      <x:c r="BH32" s="5" t="n"/>
      <x:c r="BI32" s="5" t="n"/>
      <x:c r="BJ32" s="5" t="n"/>
      <x:c r="BK32" s="5" t="n"/>
      <x:c r="BL32" s="5" t="n"/>
      <x:c r="BM32" s="5" t="n"/>
      <x:c r="BN32" s="5" t="n"/>
      <x:c r="BO32" s="5" t="n"/>
      <x:c r="BP32" s="5" t="n"/>
      <x:c r="BQ32" s="5" t="n"/>
      <x:c r="BR32" s="5" t="n"/>
      <x:c r="BS32" s="5" t="n"/>
      <x:c r="BT32" s="5" t="n"/>
      <x:c r="BU32" s="5" t="n"/>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0" customWidth="1"/>
    <x:col min="2" max="2" width="14" customWidth="1"/>
    <x:col min="3" max="3" width="15" customWidth="1"/>
    <x:col min="4" max="4" width="40" customWidth="1"/>
    <x:col min="5" max="5" width="18" customWidth="1"/>
    <x:col min="6" max="6" width="28" customWidth="1"/>
    <x:col min="7" max="7" width="28" customWidth="1"/>
    <x:col min="8" max="8" width="28" customWidth="1"/>
    <x:col min="9" max="9" width="28" customWidth="1"/>
    <x:col min="10" max="10" width="32" customWidth="1"/>
    <x:col min="11" max="11" width="60" customWidth="1"/>
    <x:col min="12" max="12" width="32" customWidth="1"/>
    <x:col min="13" max="13" width="27" customWidth="1"/>
    <x:col min="14" max="14" width="45" customWidth="1"/>
    <x:col min="15" max="15" width="45" customWidth="1"/>
    <x:col min="16" max="16" width="14" customWidth="1"/>
    <x:col min="17" max="17" width="33" customWidth="1"/>
    <x:col min="18" max="18" width="60" customWidth="1"/>
    <x:col min="19" max="19" width="60" customWidth="1"/>
    <x:col min="20" max="20" width="60" customWidth="1"/>
  </x:cols>
  <x:sheetData>
    <x:row r="1" ht="30" customHeight="1">
      <x:c r="A1" s="11" t="inlineStr">
        <x:is>
          <x:t xml:space="preserve">Source File</x:t>
        </x:is>
      </x:c>
      <x:c r="B1" s="11" t="inlineStr">
        <x:is>
          <x:t xml:space="preserve">Reference ID</x:t>
        </x:is>
      </x:c>
      <x:c r="C1" s="11" t="inlineStr">
        <x:is>
          <x:t xml:space="preserve">Category</x:t>
        </x:is>
      </x:c>
      <x:c r="D1" s="11" t="inlineStr">
        <x:is>
          <x:t xml:space="preserve">Action Item</x:t>
        </x:is>
      </x:c>
      <x:c r="E1" s="11" t="inlineStr">
        <x:is>
          <x:t xml:space="preserve">HIPAA Control</x:t>
        </x:is>
      </x:c>
      <x:c r="F1" s="11" t="inlineStr">
        <x:is>
          <x:t xml:space="preserve">Related HITRUST e1 Controls</x:t>
        </x:is>
      </x:c>
      <x:c r="G1" s="11" t="inlineStr">
        <x:is>
          <x:t xml:space="preserve">Related HITRUST e1 Control Displays</x:t>
        </x:is>
      </x:c>
      <x:c r="H1" s="11" t="inlineStr">
        <x:is>
          <x:t xml:space="preserve">Related HITRUST Control Count</x:t>
        </x:is>
      </x:c>
      <x:c r="I1" s="11" t="inlineStr">
        <x:is>
          <x:t xml:space="preserve">45_CFR_Citation</x:t>
        </x:is>
      </x:c>
      <x:c r="J1" s="11" t="inlineStr">
        <x:is>
          <x:t xml:space="preserve">HIPAA_Requirement_Title</x:t>
        </x:is>
      </x:c>
      <x:c r="K1" s="11" t="inlineStr">
        <x:is>
          <x:t xml:space="preserve">HIPAA_Requirement_Summary</x:t>
        </x:is>
      </x:c>
      <x:c r="L1" s="11" t="inlineStr">
        <x:is>
          <x:t xml:space="preserve">Implementation_Type</x:t>
        </x:is>
      </x:c>
      <x:c r="M1" s="11" t="inlineStr">
        <x:is>
          <x:t xml:space="preserve">Safeguard_Family</x:t>
        </x:is>
      </x:c>
      <x:c r="N1" s="11" t="inlineStr">
        <x:is>
          <x:t xml:space="preserve">Official_Section_URL</x:t>
        </x:is>
      </x:c>
      <x:c r="O1" s="11" t="inlineStr">
        <x:is>
          <x:t xml:space="preserve">Official_Support_URL</x:t>
        </x:is>
      </x:c>
      <x:c r="P1" s="11" t="inlineStr">
        <x:is>
          <x:t xml:space="preserve">Mapping Type</x:t>
        </x:is>
      </x:c>
      <x:c r="Q1" s="11" t="inlineStr">
        <x:is>
          <x:t xml:space="preserve">45 CFR Mapping Confidence</x:t>
        </x:is>
      </x:c>
      <x:c r="R1" s="11" t="inlineStr">
        <x:is>
          <x:t xml:space="preserve">45 CFR Mapping Basis</x:t>
        </x:is>
      </x:c>
      <x:c r="S1" s="11" t="inlineStr">
        <x:is>
          <x:t xml:space="preserve">45 CFR Notes</x:t>
        </x:is>
      </x:c>
      <x:c r="T1" s="11" t="inlineStr">
        <x:is>
          <x:t xml:space="preserve">Official Citation Adjustment Notes</x:t>
        </x:is>
      </x:c>
    </x:row>
    <x:row r="2" ht="30" customHeight="1">
      <x:c r="A2" s="5" t="inlineStr">
        <x:is>
          <x:t xml:space="preserve">HITRUST e1.csv</x:t>
        </x:is>
      </x:c>
      <x:c r="B2" s="5" t="inlineStr">
        <x:is>
          <x:t xml:space="preserve">ER-18</x:t>
        </x:is>
      </x:c>
      <x:c r="C2" s="5" t="inlineStr">
        <x:is>
          <x:t xml:space="preserve">Configuration</x:t>
        </x:is>
      </x:c>
      <x:c r="D2" s="5" t="inlineStr">
        <x:is>
          <x:t xml:space="preserve">Anti-malware and Alerts</x:t>
        </x:is>
      </x:c>
      <x:c r="E2" s="5" t="inlineStr">
        <x:is>
          <x:t xml:space="preserve">REQ-38-HIPAA</x:t>
        </x:is>
      </x:c>
      <x:c r="F2" s="5" t="inlineStr">
        <x:is>
          <x:t xml:space="preserve">0207.09j1Organizational.6, 0226.09k1Organizational.2, 02962.09j1Organizational.5, 08.09m1Organizational.8</x:t>
        </x:is>
      </x:c>
      <x:c r="G2" s="5" t="inlineStr">
        <x:is>
          <x:t xml:space="preserve">0207.09j1 Organizational.6, 0226.09k1 Organizational.2, 02962.09j1 Organizational.5, 08.09m1 Organizational.8</x:t>
        </x:is>
      </x:c>
      <x:c r="H2" s="5" t="n">
        <x:v>4</x:v>
      </x:c>
      <x:c r="I2" s="5" t="inlineStr">
        <x:is>
          <x:t xml:space="preserve">45 C.F.R. § 164.308(a)(5)(ii)(B)</x:t>
        </x:is>
      </x:c>
      <x:c r="J2" s="5" t="inlineStr">
        <x:is>
          <x:t xml:space="preserve">Security Awareness and Training — Protection from Malicious Software</x:t>
        </x:is>
      </x:c>
      <x:c r="K2" s="5" t="inlineStr">
        <x:is>
          <x:t xml:space="preserve">Implement procedures for guarding against, detecting, and reporting malicious software.</x:t>
        </x:is>
      </x:c>
      <x:c r="L2" s="5" t="inlineStr">
        <x:is>
          <x:t xml:space="preserve">Addressable implementation specification</x:t>
        </x:is>
      </x:c>
      <x:c r="M2" s="5" t="inlineStr">
        <x:is>
          <x:t xml:space="preserve">Administrative Safeguards</x:t>
        </x:is>
      </x:c>
      <x:c r="N2" s="28" t="inlineStr">
        <x:is>
          <x:t xml:space="preserve">https://www.ecfr.gov/current/title-45/subtitle-A/subchapter-C/part-164/section-164.308</x:t>
        </x:is>
      </x:c>
      <x:c r="O2" s="28" t="inlineStr">
        <x:is>
          <x:t xml:space="preserve">https://www.hhs.gov/hipaa/for-professionals/compliance-enforcement/audit/protocol-edited/index.html</x:t>
        </x:is>
      </x:c>
      <x:c r="P2" s="5" t="inlineStr">
        <x:is>
          <x:t xml:space="preserve">1:Many</x:t>
        </x:is>
      </x:c>
      <x:c r="Q2" s="5" t="inlineStr">
        <x:is>
          <x:t xml:space="preserve">Direct</x:t>
        </x:is>
      </x:c>
      <x:c r="R2" s="5" t="inlineStr">
        <x:is>
          <x:t xml:space="preserve">Anti-malware evidence aligns directly to guarding against, detecting, and reporting malicious software.</x:t>
        </x:is>
      </x:c>
      <x:c r="S2" s="5" t="inlineStr">
        <x:is>
          <x:t xml:space="preserve">Alerts are treated as part of guarding against/detecting malicious software.</x:t>
        </x:is>
      </x:c>
      <x:c r="T2" s="5" t="n"/>
    </x:row>
    <x:row r="3" ht="30" customHeight="1">
      <x:c r="A3" s="5" t="inlineStr">
        <x:is>
          <x:t xml:space="preserve">HITRUST e1.csv</x:t>
        </x:is>
      </x:c>
      <x:c r="B3" s="5" t="inlineStr">
        <x:is>
          <x:t xml:space="preserve">ER-114</x:t>
        </x:is>
      </x:c>
      <x:c r="C3" s="5" t="inlineStr">
        <x:is>
          <x:t xml:space="preserve">Configuration</x:t>
        </x:is>
      </x:c>
      <x:c r="D3" s="5" t="inlineStr">
        <x:is>
          <x:t xml:space="preserve">Backups and Schedules</x:t>
        </x:is>
      </x:c>
      <x:c r="E3" s="5" t="inlineStr">
        <x:is>
          <x:t xml:space="preserve">REQ-62-HIPAA</x:t>
        </x:is>
      </x:c>
      <x:c r="F3" s="5" t="inlineStr">
        <x:is>
          <x:t xml:space="preserve">16.09l1Organizational.4, 1616.09l1Organizational.16, 1618.09l1Organizational.45</x:t>
        </x:is>
      </x:c>
      <x:c r="G3" s="5" t="inlineStr">
        <x:is>
          <x:t xml:space="preserve">16.09l1 Organizational.4, 1616.09l1 Organizational.16, 1618.09l1 Organizational.45</x:t>
        </x:is>
      </x:c>
      <x:c r="H3" s="5" t="n">
        <x:v>3</x:v>
      </x:c>
      <x:c r="I3" s="5" t="inlineStr">
        <x:is>
          <x:t xml:space="preserve">45 C.F.R. § 164.308(a)(7)(ii)(A)</x:t>
        </x:is>
      </x:c>
      <x:c r="J3" s="5" t="inlineStr">
        <x:is>
          <x:t xml:space="preserve">Contingency Plan — Data Backup Plan</x:t>
        </x:is>
      </x:c>
      <x:c r="K3" s="5" t="inlineStr">
        <x:is>
          <x:t xml:space="preserve">Establish and implement procedures to create and maintain retrievable exact copies of ePHI.</x:t>
        </x:is>
      </x:c>
      <x:c r="L3" s="5" t="inlineStr">
        <x:is>
          <x:t xml:space="preserve">Required implementation specification</x:t>
        </x:is>
      </x:c>
      <x:c r="M3" s="5" t="inlineStr">
        <x:is>
          <x:t xml:space="preserve">Administrative Safeguards</x:t>
        </x:is>
      </x:c>
      <x:c r="N3" s="28" t="inlineStr">
        <x:is>
          <x:t xml:space="preserve">https://www.ecfr.gov/current/title-45/subtitle-A/subchapter-C/part-164/section-164.308</x:t>
        </x:is>
      </x:c>
      <x:c r="O3" s="28" t="inlineStr">
        <x:is>
          <x:t xml:space="preserve">https://www.hhs.gov/hipaa/for-professionals/security/guidance/cybersecurity/ransomware-fact-sheet/index.html</x:t>
        </x:is>
      </x:c>
      <x:c r="P3" s="5" t="inlineStr">
        <x:is>
          <x:t xml:space="preserve">Many:Many</x:t>
        </x:is>
      </x:c>
      <x:c r="Q3" s="5" t="inlineStr">
        <x:is>
          <x:t xml:space="preserve">Direct</x:t>
        </x:is>
      </x:c>
      <x:c r="R3" s="5" t="inlineStr">
        <x:is>
          <x:t xml:space="preserve">Backup schedules most directly align to maintaining retrievable exact copies of ePHI.</x:t>
        </x:is>
      </x:c>
      <x:c r="S3" s="5" t="inlineStr">
        <x:is>
          <x:t xml:space="preserve">Used for backup schedule evidence.</x:t>
        </x:is>
      </x:c>
      <x:c r="T3" s="5" t="n"/>
    </x:row>
    <x:row r="4" ht="30" customHeight="1">
      <x:c r="A4" s="5" t="inlineStr">
        <x:is>
          <x:t xml:space="preserve">HITRUST e1.csv</x:t>
        </x:is>
      </x:c>
      <x:c r="B4" s="5" t="inlineStr">
        <x:is>
          <x:t xml:space="preserve">ER-114</x:t>
        </x:is>
      </x:c>
      <x:c r="C4" s="5" t="inlineStr">
        <x:is>
          <x:t xml:space="preserve">Configuration</x:t>
        </x:is>
      </x:c>
      <x:c r="D4" s="5" t="inlineStr">
        <x:is>
          <x:t xml:space="preserve">Backups and Schedules</x:t>
        </x:is>
      </x:c>
      <x:c r="E4" s="5" t="inlineStr">
        <x:is>
          <x:t xml:space="preserve">REQ-63-HIPAA</x:t>
        </x:is>
      </x:c>
      <x:c r="F4" s="5" t="inlineStr">
        <x:is>
          <x:t xml:space="preserve">16.09l1Organizational.4, 1616.09l1Organizational.16, 1618.09l1Organizational.45</x:t>
        </x:is>
      </x:c>
      <x:c r="G4" s="5" t="inlineStr">
        <x:is>
          <x:t xml:space="preserve">16.09l1 Organizational.4, 1616.09l1 Organizational.16, 1618.09l1 Organizational.45</x:t>
        </x:is>
      </x:c>
      <x:c r="H4" s="5" t="n">
        <x:v>3</x:v>
      </x:c>
      <x:c r="I4" s="5" t="inlineStr">
        <x:is>
          <x:t xml:space="preserve">45 C.F.R. § 164.308(a)(7)(ii)(B)</x:t>
        </x:is>
      </x:c>
      <x:c r="J4" s="5" t="inlineStr">
        <x:is>
          <x:t xml:space="preserve">Contingency Plan — Disaster Recovery Plan</x:t>
        </x:is>
      </x:c>
      <x:c r="K4" s="5" t="inlineStr">
        <x:is>
          <x:t xml:space="preserve">Establish and implement procedures to restore any loss of data.</x:t>
        </x:is>
      </x:c>
      <x:c r="L4" s="5" t="inlineStr">
        <x:is>
          <x:t xml:space="preserve">Required implementation specification</x:t>
        </x:is>
      </x:c>
      <x:c r="M4" s="5" t="inlineStr">
        <x:is>
          <x:t xml:space="preserve">Administrative Safeguards</x:t>
        </x:is>
      </x:c>
      <x:c r="N4" s="28" t="inlineStr">
        <x:is>
          <x:t xml:space="preserve">https://www.ecfr.gov/current/title-45/subtitle-A/subchapter-C/part-164/section-164.308</x:t>
        </x:is>
      </x:c>
      <x:c r="O4" s="28" t="inlineStr">
        <x:is>
          <x:t xml:space="preserve">https://www.hhs.gov/hipaa/for-professionals/security/guidance/cybersecurity/ransomware-fact-sheet/index.html</x:t>
        </x:is>
      </x:c>
      <x:c r="P4" s="5" t="inlineStr">
        <x:is>
          <x:t xml:space="preserve">Many:Many</x:t>
        </x:is>
      </x:c>
      <x:c r="Q4" s="5" t="inlineStr">
        <x:is>
          <x:t xml:space="preserve">Best-fit</x:t>
        </x:is>
      </x:c>
      <x:c r="R4" s="5" t="inlineStr">
        <x:is>
          <x:t xml:space="preserve">Backup/replication planning most closely aligns to restoring lost data and recovering operations after a disruption.</x:t>
        </x:is>
      </x:c>
      <x:c r="S4" s="5" t="inlineStr">
        <x:is>
          <x:t xml:space="preserve">Used for schedule-level backup rows when the internal control appears to emphasize recoverability/replication.</x:t>
        </x:is>
      </x:c>
      <x:c r="T4" s="5" t="n"/>
    </x:row>
    <x:row r="5" ht="30" customHeight="1">
      <x:c r="A5" s="5" t="inlineStr">
        <x:is>
          <x:t xml:space="preserve">HITRUST e1.csv</x:t>
        </x:is>
      </x:c>
      <x:c r="B5" s="5" t="inlineStr">
        <x:is>
          <x:t xml:space="preserve">ER-1</x:t>
        </x:is>
      </x:c>
      <x:c r="C5" s="5" t="inlineStr">
        <x:is>
          <x:t xml:space="preserve">Configuration</x:t>
        </x:is>
      </x:c>
      <x:c r="D5" s="5" t="inlineStr">
        <x:is>
          <x:t xml:space="preserve">Data Encryption at Rest</x:t>
        </x:is>
      </x:c>
      <x:c r="E5" s="5" t="inlineStr">
        <x:is>
          <x:t xml:space="preserve">REQ-33-HIPAA</x:t>
        </x:is>
      </x:c>
      <x:c r="F5" s="5" t="inlineStr">
        <x:is>
          <x:t xml:space="preserve">04.01x1Organizational.5, 1903.06d1Organizational.3456711</x:t>
        </x:is>
      </x:c>
      <x:c r="G5" s="5" t="inlineStr">
        <x:is>
          <x:t xml:space="preserve">04.01x1 Organizational.5, 1903.06d1 Organizational.3456711</x:t>
        </x:is>
      </x:c>
      <x:c r="H5" s="5" t="n">
        <x:v>2</x:v>
      </x:c>
      <x:c r="I5" s="5" t="inlineStr">
        <x:is>
          <x:t xml:space="preserve">45 C.F.R. § 164.312(a)(2)(iv)</x:t>
        </x:is>
      </x:c>
      <x:c r="J5" s="5" t="inlineStr">
        <x:is>
          <x:t xml:space="preserve">Access Control — Encryption and Decryption</x:t>
        </x:is>
      </x:c>
      <x:c r="K5" s="5" t="inlineStr">
        <x:is>
          <x:t xml:space="preserve">Implement a mechanism to encrypt and decrypt ePHI.</x:t>
        </x:is>
      </x:c>
      <x:c r="L5" s="5" t="inlineStr">
        <x:is>
          <x:t xml:space="preserve">Addressable implementation specification</x:t>
        </x:is>
      </x:c>
      <x:c r="M5" s="5" t="inlineStr">
        <x:is>
          <x:t xml:space="preserve">Technical Safeguards</x:t>
        </x:is>
      </x:c>
      <x:c r="N5" s="28" t="inlineStr">
        <x:is>
          <x:t xml:space="preserve">https://www.ecfr.gov/current/title-45/subtitle-A/subchapter-C/part-164/section-164.312</x:t>
        </x:is>
      </x:c>
      <x:c r="O5" s="28" t="inlineStr">
        <x:is>
          <x:t xml:space="preserve">https://www.hhs.gov/hipaa/for-professionals/faq/2001/is-the-use-of-encryption-mandatory-in-the-security-rule/index.html</x:t>
        </x:is>
      </x:c>
      <x:c r="P5" s="5" t="inlineStr">
        <x:is>
          <x:t xml:space="preserve">Many:Many</x:t>
        </x:is>
      </x:c>
      <x:c r="Q5" s="5" t="inlineStr">
        <x:is>
          <x:t xml:space="preserve">Direct</x:t>
        </x:is>
      </x:c>
      <x:c r="R5" s="5" t="inlineStr">
        <x:is>
          <x:t xml:space="preserve">At-rest encryption evidence aligns directly to the encryption/decryption implementation specification under access control.</x:t>
        </x:is>
      </x:c>
      <x:c r="S5" s="5" t="inlineStr">
        <x:is>
          <x:t xml:space="preserve">Used when the shared action item is explicitly at-rest encryption.</x:t>
        </x:is>
      </x:c>
      <x:c r="T5" s="5" t="n"/>
    </x:row>
    <x:row r="6" ht="30" customHeight="1">
      <x:c r="A6" s="5" t="inlineStr">
        <x:is>
          <x:t xml:space="preserve">HITRUST e1.csv</x:t>
        </x:is>
      </x:c>
      <x:c r="B6" s="5" t="inlineStr">
        <x:is>
          <x:t xml:space="preserve">ER-1</x:t>
        </x:is>
      </x:c>
      <x:c r="C6" s="5" t="inlineStr">
        <x:is>
          <x:t xml:space="preserve">Configuration</x:t>
        </x:is>
      </x:c>
      <x:c r="D6" s="5" t="inlineStr">
        <x:is>
          <x:t xml:space="preserve">Data Encryption at Rest</x:t>
        </x:is>
      </x:c>
      <x:c r="E6" s="5" t="inlineStr">
        <x:is>
          <x:t xml:space="preserve">REQ-34-HIPAA</x:t>
        </x:is>
      </x:c>
      <x:c r="F6" s="5" t="inlineStr">
        <x:is>
          <x:t xml:space="preserve">04.01x1Organizational.5, 1903.06d1Organizational.3456711</x:t>
        </x:is>
      </x:c>
      <x:c r="G6" s="5" t="inlineStr">
        <x:is>
          <x:t xml:space="preserve">04.01x1 Organizational.5, 1903.06d1 Organizational.3456711</x:t>
        </x:is>
      </x:c>
      <x:c r="H6" s="5" t="n">
        <x:v>2</x:v>
      </x:c>
      <x:c r="I6" s="5" t="inlineStr">
        <x:is>
          <x:t xml:space="preserve">45 C.F.R. § 164.312(a)(2)(iv)</x:t>
        </x:is>
      </x:c>
      <x:c r="J6" s="5" t="inlineStr">
        <x:is>
          <x:t xml:space="preserve">Access Control — Encryption and Decryption</x:t>
        </x:is>
      </x:c>
      <x:c r="K6" s="5" t="inlineStr">
        <x:is>
          <x:t xml:space="preserve">Implement a mechanism to encrypt and decrypt ePHI.</x:t>
        </x:is>
      </x:c>
      <x:c r="L6" s="5" t="inlineStr">
        <x:is>
          <x:t xml:space="preserve">Addressable implementation specification</x:t>
        </x:is>
      </x:c>
      <x:c r="M6" s="5" t="inlineStr">
        <x:is>
          <x:t xml:space="preserve">Technical Safeguards</x:t>
        </x:is>
      </x:c>
      <x:c r="N6" s="28" t="inlineStr">
        <x:is>
          <x:t xml:space="preserve">https://www.ecfr.gov/current/title-45/subtitle-A/subchapter-C/part-164/section-164.312</x:t>
        </x:is>
      </x:c>
      <x:c r="O6" s="28" t="inlineStr">
        <x:is>
          <x:t xml:space="preserve">https://www.hhs.gov/hipaa/for-professionals/faq/2001/is-the-use-of-encryption-mandatory-in-the-security-rule/index.html</x:t>
        </x:is>
      </x:c>
      <x:c r="P6" s="5" t="inlineStr">
        <x:is>
          <x:t xml:space="preserve">Many:Many</x:t>
        </x:is>
      </x:c>
      <x:c r="Q6" s="5" t="inlineStr">
        <x:is>
          <x:t xml:space="preserve">Direct</x:t>
        </x:is>
      </x:c>
      <x:c r="R6" s="5" t="inlineStr">
        <x:is>
          <x:t xml:space="preserve">Control/action-item context aligns to at-rest encryption.</x:t>
        </x:is>
      </x:c>
      <x:c r="S6" s="5" t="inlineStr">
        <x:is>
          <x:t xml:space="preserve">Used for data-encryption-at-rest rows.</x:t>
        </x:is>
      </x:c>
      <x:c r="T6" s="5" t="n"/>
    </x:row>
    <x:row r="7" ht="30" customHeight="1">
      <x:c r="A7" s="5" t="inlineStr">
        <x:is>
          <x:t xml:space="preserve">HITRUST e1.csv</x:t>
        </x:is>
      </x:c>
      <x:c r="B7" s="5" t="inlineStr">
        <x:is>
          <x:t xml:space="preserve">ER-1</x:t>
        </x:is>
      </x:c>
      <x:c r="C7" s="5" t="inlineStr">
        <x:is>
          <x:t xml:space="preserve">Configuration</x:t>
        </x:is>
      </x:c>
      <x:c r="D7" s="5" t="inlineStr">
        <x:is>
          <x:t xml:space="preserve">Data Encryption at Rest</x:t>
        </x:is>
      </x:c>
      <x:c r="E7" s="5" t="inlineStr">
        <x:is>
          <x:t xml:space="preserve">REQ-35-HIPAA</x:t>
        </x:is>
      </x:c>
      <x:c r="F7" s="5" t="inlineStr">
        <x:is>
          <x:t xml:space="preserve">04.01x1Organizational.5, 1903.06d1Organizational.3456711</x:t>
        </x:is>
      </x:c>
      <x:c r="G7" s="5" t="inlineStr">
        <x:is>
          <x:t xml:space="preserve">04.01x1 Organizational.5, 1903.06d1 Organizational.3456711</x:t>
        </x:is>
      </x:c>
      <x:c r="H7" s="5" t="n">
        <x:v>2</x:v>
      </x:c>
      <x:c r="I7" s="5" t="inlineStr">
        <x:is>
          <x:t xml:space="preserve">45 C.F.R. § 164.312(a)(2)(iv)</x:t>
        </x:is>
      </x:c>
      <x:c r="J7" s="5" t="inlineStr">
        <x:is>
          <x:t xml:space="preserve">Access Control — Encryption and Decryption</x:t>
        </x:is>
      </x:c>
      <x:c r="K7" s="5" t="inlineStr">
        <x:is>
          <x:t xml:space="preserve">Implement a mechanism to encrypt and decrypt ePHI.</x:t>
        </x:is>
      </x:c>
      <x:c r="L7" s="5" t="inlineStr">
        <x:is>
          <x:t xml:space="preserve">Addressable implementation specification</x:t>
        </x:is>
      </x:c>
      <x:c r="M7" s="5" t="inlineStr">
        <x:is>
          <x:t xml:space="preserve">Technical Safeguards</x:t>
        </x:is>
      </x:c>
      <x:c r="N7" s="28" t="inlineStr">
        <x:is>
          <x:t xml:space="preserve">https://www.ecfr.gov/current/title-45/subtitle-A/subchapter-C/part-164/section-164.312</x:t>
        </x:is>
      </x:c>
      <x:c r="O7" s="28" t="inlineStr">
        <x:is>
          <x:t xml:space="preserve">https://www.hhs.gov/hipaa/for-professionals/faq/2001/is-the-use-of-encryption-mandatory-in-the-security-rule/index.html</x:t>
        </x:is>
      </x:c>
      <x:c r="P7" s="5" t="inlineStr">
        <x:is>
          <x:t xml:space="preserve">Many:Many</x:t>
        </x:is>
      </x:c>
      <x:c r="Q7" s="5" t="inlineStr">
        <x:is>
          <x:t xml:space="preserve">Best-fit</x:t>
        </x:is>
      </x:c>
      <x:c r="R7" s="5" t="inlineStr">
        <x:is>
          <x:t xml:space="preserve">This internal control ID also appears on an at-rest encryption row in the source spreadsheets, so the row context points to at-rest encryption even though the same control family also covers transmission encryption elsewhere.</x:t>
        </x:is>
      </x:c>
      <x:c r="S7" s="5" t="inlineStr">
        <x:is>
          <x:t xml:space="preserve">Row-context mapping takes precedence over the broader internal control family.</x:t>
        </x:is>
      </x:c>
      <x:c r="T7" s="5" t="n"/>
    </x:row>
    <x:row r="8" ht="30" customHeight="1">
      <x:c r="A8" s="5" t="inlineStr">
        <x:is>
          <x:t xml:space="preserve">HITRUST e1.csv</x:t>
        </x:is>
      </x:c>
      <x:c r="B8" s="5" t="inlineStr">
        <x:is>
          <x:t xml:space="preserve">ER-3</x:t>
        </x:is>
      </x:c>
      <x:c r="C8" s="5" t="inlineStr">
        <x:is>
          <x:t xml:space="preserve">Configuration</x:t>
        </x:is>
      </x:c>
      <x:c r="D8" s="5" t="inlineStr">
        <x:is>
          <x:t xml:space="preserve">Encryption In Transit (Ex. TLS Protocols)</x:t>
        </x:is>
      </x:c>
      <x:c r="E8" s="5" t="inlineStr">
        <x:is>
          <x:t xml:space="preserve">REQ-33-HIPAA</x:t>
        </x:is>
      </x:c>
      <x:c r="F8" s="5" t="inlineStr">
        <x:is>
          <x:t xml:space="preserve">04.01x1Organizational.5, 0862.09m2Organizational.8, 0903.10f1Organizational.1.a, 0913.09s1Organizational.5, 0928.09v2Organizational.1, 0945.09y1Organizational.3, 0954.10d1System.1, 1013.01r1System.2</x:t>
        </x:is>
      </x:c>
      <x:c r="G8" s="5" t="inlineStr">
        <x:is>
          <x:t xml:space="preserve">04.01x1 Organizational.5, 0862.09m2 Organizational.8, 0903.10f1 Organizational.1.a, 0913.09s1 Organizational.5, 0928.09v2 Organizational.1, 0945.09y1 Organizational.3, 0954.10d1 System.1, 1013.01r1 System.2</x:t>
        </x:is>
      </x:c>
      <x:c r="H8" s="5" t="n">
        <x:v>8</x:v>
      </x:c>
      <x:c r="I8" s="5" t="inlineStr">
        <x:is>
          <x:t xml:space="preserve">45 C.F.R. § 164.312(e)(2)(ii)</x:t>
        </x:is>
      </x:c>
      <x:c r="J8" s="5" t="inlineStr">
        <x:is>
          <x:t xml:space="preserve">Transmission Security — Encryption</x:t>
        </x:is>
      </x:c>
      <x:c r="K8" s="5" t="inlineStr">
        <x:is>
          <x:t xml:space="preserve">Implement a mechanism to encrypt ePHI whenever deemed appropriate during electronic transmission.</x:t>
        </x:is>
      </x:c>
      <x:c r="L8" s="5" t="inlineStr">
        <x:is>
          <x:t xml:space="preserve">Addressable implementation specification</x:t>
        </x:is>
      </x:c>
      <x:c r="M8" s="5" t="inlineStr">
        <x:is>
          <x:t xml:space="preserve">Technical Safeguards</x:t>
        </x:is>
      </x:c>
      <x:c r="N8" s="28" t="inlineStr">
        <x:is>
          <x:t xml:space="preserve">https://www.ecfr.gov/current/title-45/subtitle-A/subchapter-C/part-164/section-164.312</x:t>
        </x:is>
      </x:c>
      <x:c r="O8" s="28" t="inlineStr">
        <x:is>
          <x:t xml:space="preserve">https://www.hhs.gov/hipaa/for-professionals/faq/2001/is-the-use-of-encryption-mandatory-in-the-security-rule/index.html</x:t>
        </x:is>
      </x:c>
      <x:c r="P8" s="5" t="inlineStr">
        <x:is>
          <x:t xml:space="preserve">Many:Many</x:t>
        </x:is>
      </x:c>
      <x:c r="Q8" s="5" t="inlineStr">
        <x:is>
          <x:t xml:space="preserve">Direct</x:t>
        </x:is>
      </x:c>
      <x:c r="R8" s="5" t="inlineStr">
        <x:is>
          <x:t xml:space="preserve">Transmission-encryption evidence aligns directly to the transmission-security encryption implementation specification.</x:t>
        </x:is>
      </x:c>
      <x:c r="S8" s="5" t="inlineStr">
        <x:is>
          <x:t xml:space="preserve">Used when the shared action item is explicitly in-transit encryption.</x:t>
        </x:is>
      </x:c>
      <x:c r="T8" s="5" t="n"/>
    </x:row>
    <x:row r="9" ht="30" customHeight="1">
      <x:c r="A9" s="5" t="inlineStr">
        <x:is>
          <x:t xml:space="preserve">HITRUST e1.csv</x:t>
        </x:is>
      </x:c>
      <x:c r="B9" s="5" t="inlineStr">
        <x:is>
          <x:t xml:space="preserve">ER-3</x:t>
        </x:is>
      </x:c>
      <x:c r="C9" s="5" t="inlineStr">
        <x:is>
          <x:t xml:space="preserve">Configuration</x:t>
        </x:is>
      </x:c>
      <x:c r="D9" s="5" t="inlineStr">
        <x:is>
          <x:t xml:space="preserve">Encryption In Transit (Ex. TLS Protocols)</x:t>
        </x:is>
      </x:c>
      <x:c r="E9" s="5" t="inlineStr">
        <x:is>
          <x:t xml:space="preserve">REQ-35-HIPAA</x:t>
        </x:is>
      </x:c>
      <x:c r="F9" s="5" t="inlineStr">
        <x:is>
          <x:t xml:space="preserve">04.01x1Organizational.5, 0862.09m2Organizational.8, 0903.10f1Organizational.1.a, 0913.09s1Organizational.5, 0928.09v2Organizational.1, 0945.09y1Organizational.3, 0954.10d1System.1, 1013.01r1System.2</x:t>
        </x:is>
      </x:c>
      <x:c r="G9" s="5" t="inlineStr">
        <x:is>
          <x:t xml:space="preserve">04.01x1 Organizational.5, 0862.09m2 Organizational.8, 0903.10f1 Organizational.1.a, 0913.09s1 Organizational.5, 0928.09v2 Organizational.1, 0945.09y1 Organizational.3, 0954.10d1 System.1, 1013.01r1 System.2</x:t>
        </x:is>
      </x:c>
      <x:c r="H9" s="5" t="n">
        <x:v>8</x:v>
      </x:c>
      <x:c r="I9" s="5" t="inlineStr">
        <x:is>
          <x:t xml:space="preserve">45 C.F.R. § 164.312(e)(2)(ii)</x:t>
        </x:is>
      </x:c>
      <x:c r="J9" s="5" t="inlineStr">
        <x:is>
          <x:t xml:space="preserve">Transmission Security — Encryption</x:t>
        </x:is>
      </x:c>
      <x:c r="K9" s="5" t="inlineStr">
        <x:is>
          <x:t xml:space="preserve">Implement a mechanism to encrypt ePHI whenever deemed appropriate during electronic transmission.</x:t>
        </x:is>
      </x:c>
      <x:c r="L9" s="5" t="inlineStr">
        <x:is>
          <x:t xml:space="preserve">Addressable implementation specification</x:t>
        </x:is>
      </x:c>
      <x:c r="M9" s="5" t="inlineStr">
        <x:is>
          <x:t xml:space="preserve">Technical Safeguards</x:t>
        </x:is>
      </x:c>
      <x:c r="N9" s="28" t="inlineStr">
        <x:is>
          <x:t xml:space="preserve">https://www.ecfr.gov/current/title-45/subtitle-A/subchapter-C/part-164/section-164.312</x:t>
        </x:is>
      </x:c>
      <x:c r="O9" s="28" t="inlineStr">
        <x:is>
          <x:t xml:space="preserve">https://www.hhs.gov/hipaa/for-professionals/faq/2001/is-the-use-of-encryption-mandatory-in-the-security-rule/index.html</x:t>
        </x:is>
      </x:c>
      <x:c r="P9" s="5" t="inlineStr">
        <x:is>
          <x:t xml:space="preserve">Many:Many</x:t>
        </x:is>
      </x:c>
      <x:c r="Q9" s="5" t="inlineStr">
        <x:is>
          <x:t xml:space="preserve">Direct</x:t>
        </x:is>
      </x:c>
      <x:c r="R9" s="5" t="inlineStr">
        <x:is>
          <x:t xml:space="preserve">Action item explicitly addresses encryption in transit.</x:t>
        </x:is>
      </x:c>
      <x:c r="S9" s="5" t="inlineStr">
        <x:is>
          <x:t xml:space="preserve">Used for transport/TLS evidence.</x:t>
        </x:is>
      </x:c>
      <x:c r="T9" s="5" t="n"/>
    </x:row>
    <x:row r="10" ht="30" customHeight="1">
      <x:c r="A10" s="5" t="inlineStr">
        <x:is>
          <x:t xml:space="preserve">HITRUST e1.csv</x:t>
        </x:is>
      </x:c>
      <x:c r="B10" s="5" t="inlineStr">
        <x:is>
          <x:t xml:space="preserve">ER-88</x:t>
        </x:is>
      </x:c>
      <x:c r="C10" s="5" t="inlineStr">
        <x:is>
          <x:t xml:space="preserve">Configuration</x:t>
        </x:is>
      </x:c>
      <x:c r="D10" s="5" t="inlineStr">
        <x:is>
          <x:t xml:space="preserve">Evidence of Multi-Factor Authentication</x:t>
        </x:is>
      </x:c>
      <x:c r="E10" s="5" t="inlineStr">
        <x:is>
          <x:t xml:space="preserve">REQ-27-HIPAA</x:t>
        </x:is>
      </x:c>
      <x:c r="F10" s="5" t="inlineStr">
        <x:is>
          <x:t xml:space="preserve">11.01q1System.3, 11.01q1System.4</x:t>
        </x:is>
      </x:c>
      <x:c r="G10" s="5" t="inlineStr">
        <x:is>
          <x:t xml:space="preserve">11.01q1 System.3, 11.01q1 System.4</x:t>
        </x:is>
      </x:c>
      <x:c r="H10" s="5" t="n">
        <x:v>2</x:v>
      </x:c>
      <x:c r="I10" s="5" t="inlineStr">
        <x:is>
          <x:t xml:space="preserve">45 C.F.R. § 164.312(d)</x:t>
        </x:is>
      </x:c>
      <x:c r="J10" s="5" t="inlineStr">
        <x:is>
          <x:t xml:space="preserve">Person or Entity Authentication</x:t>
        </x:is>
      </x:c>
      <x:c r="K10" s="5" t="inlineStr">
        <x:is>
          <x:t xml:space="preserve">Implement procedures to verify that a person or entity seeking access to ePHI is the one claimed.</x:t>
        </x:is>
      </x:c>
      <x:c r="L10" s="5" t="inlineStr">
        <x:is>
          <x:t xml:space="preserve">Required standard</x:t>
        </x:is>
      </x:c>
      <x:c r="M10" s="5" t="inlineStr">
        <x:is>
          <x:t xml:space="preserve">Technical Safeguards</x:t>
        </x:is>
      </x:c>
      <x:c r="N10" s="28" t="inlineStr">
        <x:is>
          <x:t xml:space="preserve">https://www.ecfr.gov/current/title-45/subtitle-A/subchapter-C/part-164/section-164.312</x:t>
        </x:is>
      </x:c>
      <x:c r="O10" s="28" t="inlineStr">
        <x:is>
          <x:t xml:space="preserve">https://www.hhs.gov/hipaa/for-professionals/compliance-enforcement/audit/protocol-edited/index.html</x:t>
        </x:is>
      </x:c>
      <x:c r="P10" s="5" t="inlineStr">
        <x:is>
          <x:t xml:space="preserve">1:Many</x:t>
        </x:is>
      </x:c>
      <x:c r="Q10" s="5" t="inlineStr">
        <x:is>
          <x:t xml:space="preserve">Direct</x:t>
        </x:is>
      </x:c>
      <x:c r="R10" s="5" t="inlineStr">
        <x:is>
          <x:t xml:space="preserve">MFA evidence most directly supports verifying that the person or entity seeking access is the one claimed.</x:t>
        </x:is>
      </x:c>
      <x:c r="S10" s="5" t="inlineStr">
        <x:is>
          <x:t xml:space="preserve">HIPAA does not mandate a specific technology such as MFA in all cases, but MFA evidence is a strong implementation of this standard.</x:t>
        </x:is>
      </x:c>
      <x:c r="T10" s="5" t="n"/>
    </x:row>
    <x:row r="11" ht="30" customHeight="1">
      <x:c r="A11" s="5" t="inlineStr">
        <x:is>
          <x:t xml:space="preserve">HITRUST e1.csv</x:t>
        </x:is>
      </x:c>
      <x:c r="B11" s="5" t="inlineStr">
        <x:is>
          <x:t xml:space="preserve">ER-91</x:t>
        </x:is>
      </x:c>
      <x:c r="C11" s="5" t="inlineStr">
        <x:is>
          <x:t xml:space="preserve">Configuration</x:t>
        </x:is>
      </x:c>
      <x:c r="D11" s="5" t="inlineStr">
        <x:is>
          <x:t xml:space="preserve">Firewall Rules/Security Groups</x:t>
        </x:is>
      </x:c>
      <x:c r="E11" s="5" t="inlineStr">
        <x:is>
          <x:t xml:space="preserve">REQ-37-HIPAA</x:t>
        </x:is>
      </x:c>
      <x:c r="F11" s="5" t="inlineStr">
        <x:is>
          <x:t xml:space="preserve">0265.09m1Organizational.2, 0805.01m1Organizational.12</x:t>
        </x:is>
      </x:c>
      <x:c r="G11" s="5" t="inlineStr">
        <x:is>
          <x:t xml:space="preserve">0265.09m1 Organizational.2, 0805.01m1 Organizational.12</x:t>
        </x:is>
      </x:c>
      <x:c r="H11" s="5" t="n">
        <x:v>2</x:v>
      </x:c>
      <x:c r="I11" s="5" t="inlineStr">
        <x:is>
          <x:t xml:space="preserve">45 C.F.R. § 164.312(a)(1)</x:t>
        </x:is>
      </x:c>
      <x:c r="J11" s="5" t="inlineStr">
        <x:is>
          <x:t xml:space="preserve">Access Control</x:t>
        </x:is>
      </x:c>
      <x:c r="K11" s="5" t="inlineStr">
        <x:is>
          <x:t xml:space="preserve">Implement technical policies and procedures for electronic information systems that maintain ePHI to allow access only to persons or software programs with authorized access rights.</x:t>
        </x:is>
      </x:c>
      <x:c r="L11" s="5" t="inlineStr">
        <x:is>
          <x:t xml:space="preserve">Standard</x:t>
        </x:is>
      </x:c>
      <x:c r="M11" s="5" t="inlineStr">
        <x:is>
          <x:t xml:space="preserve">Technical Safeguards</x:t>
        </x:is>
      </x:c>
      <x:c r="N11" s="28" t="inlineStr">
        <x:is>
          <x:t xml:space="preserve">https://www.ecfr.gov/current/title-45/subtitle-A/subchapter-C/part-164/section-164.312</x:t>
        </x:is>
      </x:c>
      <x:c r="O11" s="28" t="inlineStr">
        <x:is>
          <x:t xml:space="preserve">https://www.hhs.gov/hipaa/for-professionals/compliance-enforcement/audit/protocol-edited/index.html</x:t>
        </x:is>
      </x:c>
      <x:c r="P11" s="5" t="inlineStr">
        <x:is>
          <x:t xml:space="preserve">1:Many</x:t>
        </x:is>
      </x:c>
      <x:c r="Q11" s="5" t="inlineStr">
        <x:is>
          <x:t xml:space="preserve">Best-fit</x:t>
        </x:is>
      </x:c>
      <x:c r="R11" s="5" t="inlineStr">
        <x:is>
          <x:t xml:space="preserve">Firewall rules/security groups are a technical means of enforcing access restrictions around systems containing ePHI.</x:t>
        </x:is>
      </x:c>
      <x:c r="S11" s="5" t="inlineStr">
        <x:is>
          <x:t xml:space="preserve">Mapped to the broad access-control standard because HIPAA does not list firewall rules as a separate named specification.</x:t>
        </x:is>
      </x:c>
      <x:c r="T11" s="5" t="n"/>
    </x:row>
    <x:row r="12" ht="30" customHeight="1">
      <x:c r="A12" s="5" t="inlineStr">
        <x:is>
          <x:t xml:space="preserve">HITRUST e1.csv</x:t>
        </x:is>
      </x:c>
      <x:c r="B12" s="5" t="inlineStr">
        <x:is>
          <x:t xml:space="preserve">ER-12</x:t>
        </x:is>
      </x:c>
      <x:c r="C12" s="5" t="inlineStr">
        <x:is>
          <x:t xml:space="preserve">Configuration</x:t>
        </x:is>
      </x:c>
      <x:c r="D12" s="5" t="inlineStr">
        <x:is>
          <x:t xml:space="preserve">List of All Production Systems (Servers, VMs, Data Stores)</x:t>
        </x:is>
      </x:c>
      <x:c r="E12" s="5" t="inlineStr">
        <x:is>
          <x:t xml:space="preserve">REQ-33-HIPAA</x:t>
        </x:is>
      </x:c>
      <x:c r="F12" s="5" t="inlineStr">
        <x:is>
          <x:t xml:space="preserve">07.07a1Organizational.8, 0701.07a1Organizational.7, 0701.07a1Organizational.8</x:t>
        </x:is>
      </x:c>
      <x:c r="G12" s="5" t="inlineStr">
        <x:is>
          <x:t xml:space="preserve">07.07a1 Organizational.8, 0701.07a1 Organizational.7, 0701.07a1 Organizational.8</x:t>
        </x:is>
      </x:c>
      <x:c r="H12" s="5" t="n">
        <x:v>3</x:v>
      </x:c>
      <x:c r="I12" s="5" t="inlineStr">
        <x:is>
          <x:t xml:space="preserve">45 C.F.R. § 164.308(a)(1)(ii)(A)</x:t>
        </x:is>
      </x:c>
      <x:c r="J12" s="5" t="inlineStr">
        <x:is>
          <x:t xml:space="preserve">Security Management Process — Risk Analysis</x:t>
        </x:is>
      </x:c>
      <x:c r="K12" s="5" t="inlineStr">
        <x:is>
          <x:t xml:space="preserve">Conduct an accurate and thorough assessment of the potential risks and vulnerabilities to the confidentiality, integrity, and availability of ePHI.</x:t>
        </x:is>
      </x:c>
      <x:c r="L12" s="5" t="inlineStr">
        <x:is>
          <x:t xml:space="preserve">Required implementation specification</x:t>
        </x:is>
      </x:c>
      <x:c r="M12" s="5" t="inlineStr">
        <x:is>
          <x:t xml:space="preserve">Administrative Safeguards</x:t>
        </x:is>
      </x:c>
      <x:c r="N12" s="28" t="inlineStr">
        <x:is>
          <x:t xml:space="preserve">https://www.ecfr.gov/current/title-45/subtitle-A/subchapter-C/part-164/section-164.308</x:t>
        </x:is>
      </x:c>
      <x:c r="O12" s="28" t="inlineStr">
        <x:is>
          <x:t xml:space="preserve">https://www.hhs.gov/hipaa/for-professionals/security/guidance/guidance-risk-analysis/index.html</x:t>
        </x:is>
      </x:c>
      <x:c r="P12" s="5" t="inlineStr">
        <x:is>
          <x:t xml:space="preserve">Many:Many</x:t>
        </x:is>
      </x:c>
      <x:c r="Q12" s="5" t="inlineStr">
        <x:is>
          <x:t xml:space="preserve">Best-fit composite</x:t>
        </x:is>
      </x:c>
      <x:c r="R12" s="5" t="inlineStr">
        <x:is>
          <x:t xml:space="preserve">System-inventory evidence is not explicitly named in the Security Rule, but OCR guidance treats asset inventories and system scoping as supporting accurate risk analysis and implementation of encryption safeguards.</x:t>
        </x:is>
      </x:c>
      <x:c r="S12" s="5" t="inlineStr">
        <x:is>
          <x:t xml:space="preserve">Inventory/list-of-systems evidence is supporting evidence for encryption coverage, not a standalone named HIPAA inventory mandate.</x:t>
        </x:is>
      </x:c>
      <x:c r="T12" s="5" t="n"/>
    </x:row>
    <x:row r="13" ht="30" customHeight="1">
      <x:c r="A13" s="5" t="inlineStr">
        <x:is>
          <x:t xml:space="preserve">HITRUST e1.csv</x:t>
        </x:is>
      </x:c>
      <x:c r="B13" s="5" t="inlineStr">
        <x:is>
          <x:t xml:space="preserve">ER-12</x:t>
        </x:is>
      </x:c>
      <x:c r="C13" s="5" t="inlineStr">
        <x:is>
          <x:t xml:space="preserve">Configuration</x:t>
        </x:is>
      </x:c>
      <x:c r="D13" s="5" t="inlineStr">
        <x:is>
          <x:t xml:space="preserve">List of All Production Systems (Servers, VMs, Data Stores)</x:t>
        </x:is>
      </x:c>
      <x:c r="E13" s="5" t="inlineStr">
        <x:is>
          <x:t xml:space="preserve">REQ-33-HIPAA</x:t>
        </x:is>
      </x:c>
      <x:c r="F13" s="5" t="inlineStr">
        <x:is>
          <x:t xml:space="preserve">07.07a1Organizational.8, 0701.07a1Organizational.7, 0701.07a1Organizational.8</x:t>
        </x:is>
      </x:c>
      <x:c r="G13" s="5" t="inlineStr">
        <x:is>
          <x:t xml:space="preserve">07.07a1 Organizational.8, 0701.07a1 Organizational.7, 0701.07a1 Organizational.8</x:t>
        </x:is>
      </x:c>
      <x:c r="H13" s="5" t="n">
        <x:v>3</x:v>
      </x:c>
      <x:c r="I13" s="5" t="inlineStr">
        <x:is>
          <x:t xml:space="preserve">45 C.F.R. § 164.312(a)(2)(iv)</x:t>
        </x:is>
      </x:c>
      <x:c r="J13" s="5" t="inlineStr">
        <x:is>
          <x:t xml:space="preserve">Access Control — Encryption and Decryption</x:t>
        </x:is>
      </x:c>
      <x:c r="K13" s="5" t="inlineStr">
        <x:is>
          <x:t xml:space="preserve">Implement a mechanism to encrypt and decrypt ePHI.</x:t>
        </x:is>
      </x:c>
      <x:c r="L13" s="5" t="inlineStr">
        <x:is>
          <x:t xml:space="preserve">Addressable implementation specification</x:t>
        </x:is>
      </x:c>
      <x:c r="M13" s="5" t="inlineStr">
        <x:is>
          <x:t xml:space="preserve">Technical Safeguards</x:t>
        </x:is>
      </x:c>
      <x:c r="N13" s="28" t="inlineStr">
        <x:is>
          <x:t xml:space="preserve">https://www.ecfr.gov/current/title-45/subtitle-A/subchapter-C/part-164/section-164.312</x:t>
        </x:is>
      </x:c>
      <x:c r="O13" s="28" t="inlineStr">
        <x:is>
          <x:t xml:space="preserve">https://www.hhs.gov/hipaa/for-professionals/faq/2001/is-the-use-of-encryption-mandatory-in-the-security-rule/index.html</x:t>
        </x:is>
      </x:c>
      <x:c r="P13" s="5" t="inlineStr">
        <x:is>
          <x:t xml:space="preserve">Many:Many</x:t>
        </x:is>
      </x:c>
      <x:c r="Q13" s="5" t="inlineStr">
        <x:is>
          <x:t xml:space="preserve">Best-fit composite</x:t>
        </x:is>
      </x:c>
      <x:c r="R13" s="5" t="inlineStr">
        <x:is>
          <x:t xml:space="preserve">System-inventory evidence is not explicitly named in the Security Rule, but OCR guidance treats asset inventories and system scoping as supporting accurate risk analysis and implementation of encryption safeguards.</x:t>
        </x:is>
      </x:c>
      <x:c r="S13" s="5" t="inlineStr">
        <x:is>
          <x:t xml:space="preserve">Inventory/list-of-systems evidence is supporting evidence for encryption coverage, not a standalone named HIPAA inventory mandate.</x:t>
        </x:is>
      </x:c>
      <x:c r="T13" s="5" t="n"/>
    </x:row>
    <x:row r="14" ht="30" customHeight="1">
      <x:c r="A14" s="5" t="inlineStr">
        <x:is>
          <x:t xml:space="preserve">HITRUST e1.csv</x:t>
        </x:is>
      </x:c>
      <x:c r="B14" s="5" t="inlineStr">
        <x:is>
          <x:t xml:space="preserve">ER-12</x:t>
        </x:is>
      </x:c>
      <x:c r="C14" s="5" t="inlineStr">
        <x:is>
          <x:t xml:space="preserve">Configuration</x:t>
        </x:is>
      </x:c>
      <x:c r="D14" s="5" t="inlineStr">
        <x:is>
          <x:t xml:space="preserve">List of All Production Systems (Servers, VMs, Data Stores)</x:t>
        </x:is>
      </x:c>
      <x:c r="E14" s="5" t="inlineStr">
        <x:is>
          <x:t xml:space="preserve">REQ-33-HIPAA</x:t>
        </x:is>
      </x:c>
      <x:c r="F14" s="5" t="inlineStr">
        <x:is>
          <x:t xml:space="preserve">07.07a1Organizational.8, 0701.07a1Organizational.7, 0701.07a1Organizational.8</x:t>
        </x:is>
      </x:c>
      <x:c r="G14" s="5" t="inlineStr">
        <x:is>
          <x:t xml:space="preserve">07.07a1 Organizational.8, 0701.07a1 Organizational.7, 0701.07a1 Organizational.8</x:t>
        </x:is>
      </x:c>
      <x:c r="H14" s="5" t="n">
        <x:v>3</x:v>
      </x:c>
      <x:c r="I14" s="5" t="inlineStr">
        <x:is>
          <x:t xml:space="preserve">45 C.F.R. § 164.312(e)(2)(ii)</x:t>
        </x:is>
      </x:c>
      <x:c r="J14" s="5" t="inlineStr">
        <x:is>
          <x:t xml:space="preserve">Transmission Security — Encryption</x:t>
        </x:is>
      </x:c>
      <x:c r="K14" s="5" t="inlineStr">
        <x:is>
          <x:t xml:space="preserve">Implement a mechanism to encrypt ePHI whenever deemed appropriate during electronic transmission.</x:t>
        </x:is>
      </x:c>
      <x:c r="L14" s="5" t="inlineStr">
        <x:is>
          <x:t xml:space="preserve">Addressable implementation specification</x:t>
        </x:is>
      </x:c>
      <x:c r="M14" s="5" t="inlineStr">
        <x:is>
          <x:t xml:space="preserve">Technical Safeguards</x:t>
        </x:is>
      </x:c>
      <x:c r="N14" s="28" t="inlineStr">
        <x:is>
          <x:t xml:space="preserve">https://www.ecfr.gov/current/title-45/subtitle-A/subchapter-C/part-164/section-164.312</x:t>
        </x:is>
      </x:c>
      <x:c r="O14" s="28" t="inlineStr">
        <x:is>
          <x:t xml:space="preserve">https://www.hhs.gov/hipaa/for-professionals/faq/2001/is-the-use-of-encryption-mandatory-in-the-security-rule/index.html</x:t>
        </x:is>
      </x:c>
      <x:c r="P14" s="5" t="inlineStr">
        <x:is>
          <x:t xml:space="preserve">Many:Many</x:t>
        </x:is>
      </x:c>
      <x:c r="Q14" s="5" t="inlineStr">
        <x:is>
          <x:t xml:space="preserve">Best-fit composite</x:t>
        </x:is>
      </x:c>
      <x:c r="R14" s="5" t="inlineStr">
        <x:is>
          <x:t xml:space="preserve">System-inventory evidence is not explicitly named in the Security Rule, but OCR guidance treats asset inventories and system scoping as supporting accurate risk analysis and implementation of encryption safeguards.</x:t>
        </x:is>
      </x:c>
      <x:c r="S14" s="5" t="inlineStr">
        <x:is>
          <x:t xml:space="preserve">Inventory/list-of-systems evidence is supporting evidence for encryption coverage, not a standalone named HIPAA inventory mandate.</x:t>
        </x:is>
      </x:c>
      <x:c r="T14" s="5" t="n"/>
    </x:row>
    <x:row r="15" ht="30" customHeight="1">
      <x:c r="A15" s="5" t="inlineStr">
        <x:is>
          <x:t xml:space="preserve">HITRUST e1.csv</x:t>
        </x:is>
      </x:c>
      <x:c r="B15" s="5" t="inlineStr">
        <x:is>
          <x:t xml:space="preserve">ER-12</x:t>
        </x:is>
      </x:c>
      <x:c r="C15" s="5" t="inlineStr">
        <x:is>
          <x:t xml:space="preserve">Configuration</x:t>
        </x:is>
      </x:c>
      <x:c r="D15" s="5" t="inlineStr">
        <x:is>
          <x:t xml:space="preserve">List of All Production Systems (Servers, VMs, Data Stores)</x:t>
        </x:is>
      </x:c>
      <x:c r="E15" s="5" t="inlineStr">
        <x:is>
          <x:t xml:space="preserve">REQ-34-HIPAA</x:t>
        </x:is>
      </x:c>
      <x:c r="F15" s="5" t="inlineStr">
        <x:is>
          <x:t xml:space="preserve">07.07a1Organizational.8, 0701.07a1Organizational.7, 0701.07a1Organizational.8</x:t>
        </x:is>
      </x:c>
      <x:c r="G15" s="5" t="inlineStr">
        <x:is>
          <x:t xml:space="preserve">07.07a1 Organizational.8, 0701.07a1 Organizational.7, 0701.07a1 Organizational.8</x:t>
        </x:is>
      </x:c>
      <x:c r="H15" s="5" t="n">
        <x:v>3</x:v>
      </x:c>
      <x:c r="I15" s="5" t="inlineStr">
        <x:is>
          <x:t xml:space="preserve">45 C.F.R. § 164.308(a)(1)(ii)(A)</x:t>
        </x:is>
      </x:c>
      <x:c r="J15" s="5" t="inlineStr">
        <x:is>
          <x:t xml:space="preserve">Security Management Process — Risk Analysis</x:t>
        </x:is>
      </x:c>
      <x:c r="K15" s="5" t="inlineStr">
        <x:is>
          <x:t xml:space="preserve">Conduct an accurate and thorough assessment of the potential risks and vulnerabilities to the confidentiality, integrity, and availability of ePHI.</x:t>
        </x:is>
      </x:c>
      <x:c r="L15" s="5" t="inlineStr">
        <x:is>
          <x:t xml:space="preserve">Required implementation specification</x:t>
        </x:is>
      </x:c>
      <x:c r="M15" s="5" t="inlineStr">
        <x:is>
          <x:t xml:space="preserve">Administrative Safeguards</x:t>
        </x:is>
      </x:c>
      <x:c r="N15" s="28" t="inlineStr">
        <x:is>
          <x:t xml:space="preserve">https://www.ecfr.gov/current/title-45/subtitle-A/subchapter-C/part-164/section-164.308</x:t>
        </x:is>
      </x:c>
      <x:c r="O15" s="28" t="inlineStr">
        <x:is>
          <x:t xml:space="preserve">https://www.hhs.gov/hipaa/for-professionals/security/guidance/guidance-risk-analysis/index.html</x:t>
        </x:is>
      </x:c>
      <x:c r="P15" s="5" t="inlineStr">
        <x:is>
          <x:t xml:space="preserve">Many:Many</x:t>
        </x:is>
      </x:c>
      <x:c r="Q15" s="5" t="inlineStr">
        <x:is>
          <x:t xml:space="preserve">Best-fit composite</x:t>
        </x:is>
      </x:c>
      <x:c r="R15" s="5" t="inlineStr">
        <x:is>
          <x:t xml:space="preserve">System inventory supports scoping/coverage of at-rest encryption and accurate risk analysis.</x:t>
        </x:is>
      </x:c>
      <x:c r="S15" s="5" t="inlineStr">
        <x:is>
          <x:t xml:space="preserve">Asset inventory is supporting evidence rather than an explicit standalone at-rest-encryption requirement.</x:t>
        </x:is>
      </x:c>
      <x:c r="T15" s="5" t="n"/>
    </x:row>
    <x:row r="16" ht="30" customHeight="1">
      <x:c r="A16" s="5" t="inlineStr">
        <x:is>
          <x:t xml:space="preserve">HITRUST e1.csv</x:t>
        </x:is>
      </x:c>
      <x:c r="B16" s="5" t="inlineStr">
        <x:is>
          <x:t xml:space="preserve">ER-12</x:t>
        </x:is>
      </x:c>
      <x:c r="C16" s="5" t="inlineStr">
        <x:is>
          <x:t xml:space="preserve">Configuration</x:t>
        </x:is>
      </x:c>
      <x:c r="D16" s="5" t="inlineStr">
        <x:is>
          <x:t xml:space="preserve">List of All Production Systems (Servers, VMs, Data Stores)</x:t>
        </x:is>
      </x:c>
      <x:c r="E16" s="5" t="inlineStr">
        <x:is>
          <x:t xml:space="preserve">REQ-34-HIPAA</x:t>
        </x:is>
      </x:c>
      <x:c r="F16" s="5" t="inlineStr">
        <x:is>
          <x:t xml:space="preserve">07.07a1Organizational.8, 0701.07a1Organizational.7, 0701.07a1Organizational.8</x:t>
        </x:is>
      </x:c>
      <x:c r="G16" s="5" t="inlineStr">
        <x:is>
          <x:t xml:space="preserve">07.07a1 Organizational.8, 0701.07a1 Organizational.7, 0701.07a1 Organizational.8</x:t>
        </x:is>
      </x:c>
      <x:c r="H16" s="5" t="n">
        <x:v>3</x:v>
      </x:c>
      <x:c r="I16" s="5" t="inlineStr">
        <x:is>
          <x:t xml:space="preserve">45 C.F.R. § 164.312(a)(2)(iv)</x:t>
        </x:is>
      </x:c>
      <x:c r="J16" s="5" t="inlineStr">
        <x:is>
          <x:t xml:space="preserve">Access Control — Encryption and Decryption</x:t>
        </x:is>
      </x:c>
      <x:c r="K16" s="5" t="inlineStr">
        <x:is>
          <x:t xml:space="preserve">Implement a mechanism to encrypt and decrypt ePHI.</x:t>
        </x:is>
      </x:c>
      <x:c r="L16" s="5" t="inlineStr">
        <x:is>
          <x:t xml:space="preserve">Addressable implementation specification</x:t>
        </x:is>
      </x:c>
      <x:c r="M16" s="5" t="inlineStr">
        <x:is>
          <x:t xml:space="preserve">Technical Safeguards</x:t>
        </x:is>
      </x:c>
      <x:c r="N16" s="28" t="inlineStr">
        <x:is>
          <x:t xml:space="preserve">https://www.ecfr.gov/current/title-45/subtitle-A/subchapter-C/part-164/section-164.312</x:t>
        </x:is>
      </x:c>
      <x:c r="O16" s="28" t="inlineStr">
        <x:is>
          <x:t xml:space="preserve">https://www.hhs.gov/hipaa/for-professionals/faq/2001/is-the-use-of-encryption-mandatory-in-the-security-rule/index.html</x:t>
        </x:is>
      </x:c>
      <x:c r="P16" s="5" t="inlineStr">
        <x:is>
          <x:t xml:space="preserve">Many:Many</x:t>
        </x:is>
      </x:c>
      <x:c r="Q16" s="5" t="inlineStr">
        <x:is>
          <x:t xml:space="preserve">Best-fit composite</x:t>
        </x:is>
      </x:c>
      <x:c r="R16" s="5" t="inlineStr">
        <x:is>
          <x:t xml:space="preserve">System inventory supports scoping/coverage of at-rest encryption and accurate risk analysis.</x:t>
        </x:is>
      </x:c>
      <x:c r="S16" s="5" t="inlineStr">
        <x:is>
          <x:t xml:space="preserve">Asset inventory is supporting evidence rather than an explicit standalone at-rest-encryption requirement.</x:t>
        </x:is>
      </x:c>
      <x:c r="T16" s="5" t="n"/>
    </x:row>
    <x:row r="17" ht="30" customHeight="1">
      <x:c r="A17" s="5" t="inlineStr">
        <x:is>
          <x:t xml:space="preserve">HITRUST e1.csv</x:t>
        </x:is>
      </x:c>
      <x:c r="B17" s="5" t="inlineStr">
        <x:is>
          <x:t xml:space="preserve">ER-12</x:t>
        </x:is>
      </x:c>
      <x:c r="C17" s="5" t="inlineStr">
        <x:is>
          <x:t xml:space="preserve">Configuration</x:t>
        </x:is>
      </x:c>
      <x:c r="D17" s="5" t="inlineStr">
        <x:is>
          <x:t xml:space="preserve">List of All Production Systems (Servers, VMs, Data Stores)</x:t>
        </x:is>
      </x:c>
      <x:c r="E17" s="5" t="inlineStr">
        <x:is>
          <x:t xml:space="preserve">REQ-43-HIPAA</x:t>
        </x:is>
      </x:c>
      <x:c r="F17" s="5" t="inlineStr">
        <x:is>
          <x:t xml:space="preserve">07.07a1Organizational.8, 0701.07a1Organizational.7, 0701.07a1Organizational.8</x:t>
        </x:is>
      </x:c>
      <x:c r="G17" s="5" t="inlineStr">
        <x:is>
          <x:t xml:space="preserve">07.07a1 Organizational.8, 0701.07a1 Organizational.7, 0701.07a1 Organizational.8</x:t>
        </x:is>
      </x:c>
      <x:c r="H17" s="5" t="n">
        <x:v>3</x:v>
      </x:c>
      <x:c r="I17" s="5" t="inlineStr">
        <x:is>
          <x:t xml:space="preserve">45 C.F.R. § 164.308(a)(1)(ii)(A)</x:t>
        </x:is>
      </x:c>
      <x:c r="J17" s="5" t="inlineStr">
        <x:is>
          <x:t xml:space="preserve">Security Management Process — Risk Analysis</x:t>
        </x:is>
      </x:c>
      <x:c r="K17" s="5" t="inlineStr">
        <x:is>
          <x:t xml:space="preserve">Conduct an accurate and thorough assessment of the potential risks and vulnerabilities to the confidentiality, integrity, and availability of ePHI.</x:t>
        </x:is>
      </x:c>
      <x:c r="L17" s="5" t="inlineStr">
        <x:is>
          <x:t xml:space="preserve">Required implementation specification</x:t>
        </x:is>
      </x:c>
      <x:c r="M17" s="5" t="inlineStr">
        <x:is>
          <x:t xml:space="preserve">Administrative Safeguards</x:t>
        </x:is>
      </x:c>
      <x:c r="N17" s="28" t="inlineStr">
        <x:is>
          <x:t xml:space="preserve">https://www.ecfr.gov/current/title-45/subtitle-A/subchapter-C/part-164/section-164.308</x:t>
        </x:is>
      </x:c>
      <x:c r="O17" s="28" t="inlineStr">
        <x:is>
          <x:t xml:space="preserve">https://www.hhs.gov/hipaa/for-professionals/security/guidance/guidance-risk-analysis/index.html</x:t>
        </x:is>
      </x:c>
      <x:c r="P17" s="5" t="inlineStr">
        <x:is>
          <x:t xml:space="preserve">Many:Many</x:t>
        </x:is>
      </x:c>
      <x:c r="Q17" s="5" t="inlineStr">
        <x:is>
          <x:t xml:space="preserve">Best-fit composite</x:t>
        </x:is>
      </x:c>
      <x:c r="R17" s="5" t="inlineStr">
        <x:is>
          <x:t xml:space="preserve">A production-systems inventory is supporting evidence for patch coverage and vulnerability scoping under risk analysis/risk management.</x:t>
        </x:is>
      </x:c>
      <x:c r="S17" s="5" t="inlineStr">
        <x:is>
          <x:t xml:space="preserve">OCR guidance treats a technology asset inventory as a valuable tool for accurate and thorough risk analysis.</x:t>
        </x:is>
      </x:c>
      <x:c r="T17" s="5" t="n"/>
    </x:row>
    <x:row r="18" ht="30" customHeight="1">
      <x:c r="A18" s="5" t="inlineStr">
        <x:is>
          <x:t xml:space="preserve">HITRUST e1.csv</x:t>
        </x:is>
      </x:c>
      <x:c r="B18" s="5" t="inlineStr">
        <x:is>
          <x:t xml:space="preserve">ER-12</x:t>
        </x:is>
      </x:c>
      <x:c r="C18" s="5" t="inlineStr">
        <x:is>
          <x:t xml:space="preserve">Configuration</x:t>
        </x:is>
      </x:c>
      <x:c r="D18" s="5" t="inlineStr">
        <x:is>
          <x:t xml:space="preserve">List of All Production Systems (Servers, VMs, Data Stores)</x:t>
        </x:is>
      </x:c>
      <x:c r="E18" s="5" t="inlineStr">
        <x:is>
          <x:t xml:space="preserve">REQ-43-HIPAA</x:t>
        </x:is>
      </x:c>
      <x:c r="F18" s="5" t="inlineStr">
        <x:is>
          <x:t xml:space="preserve">07.07a1Organizational.8, 0701.07a1Organizational.7, 0701.07a1Organizational.8</x:t>
        </x:is>
      </x:c>
      <x:c r="G18" s="5" t="inlineStr">
        <x:is>
          <x:t xml:space="preserve">07.07a1 Organizational.8, 0701.07a1 Organizational.7, 0701.07a1 Organizational.8</x:t>
        </x:is>
      </x:c>
      <x:c r="H18" s="5" t="n">
        <x:v>3</x:v>
      </x:c>
      <x:c r="I18" s="5" t="inlineStr">
        <x:is>
          <x:t xml:space="preserve">45 C.F.R. § 164.308(a)(1)(ii)(B)</x:t>
        </x:is>
      </x:c>
      <x:c r="J18" s="5" t="inlineStr">
        <x:is>
          <x:t xml:space="preserve">Security Management Process — Risk Management</x:t>
        </x:is>
      </x:c>
      <x:c r="K18" s="5" t="inlineStr">
        <x:is>
          <x:t xml:space="preserve">Implement security measures sufficient to reduce identified risks and vulnerabilities to a reasonable and appropriate level.</x:t>
        </x:is>
      </x:c>
      <x:c r="L18" s="5" t="inlineStr">
        <x:is>
          <x:t xml:space="preserve">Required implementation specification</x:t>
        </x:is>
      </x:c>
      <x:c r="M18" s="5" t="inlineStr">
        <x:is>
          <x:t xml:space="preserve">Administrative Safeguards</x:t>
        </x:is>
      </x:c>
      <x:c r="N18" s="28" t="inlineStr">
        <x:is>
          <x:t xml:space="preserve">https://www.ecfr.gov/current/title-45/subtitle-A/subchapter-C/part-164/section-164.308</x:t>
        </x:is>
      </x:c>
      <x:c r="O18" s="28" t="inlineStr">
        <x:is>
          <x:t xml:space="preserve">https://www.hhs.gov/hipaa/for-professionals/security/guidance/guidance-risk-analysis/index.html</x:t>
        </x:is>
      </x:c>
      <x:c r="P18" s="5" t="inlineStr">
        <x:is>
          <x:t xml:space="preserve">Many:Many</x:t>
        </x:is>
      </x:c>
      <x:c r="Q18" s="5" t="inlineStr">
        <x:is>
          <x:t xml:space="preserve">Best-fit composite</x:t>
        </x:is>
      </x:c>
      <x:c r="R18" s="5" t="inlineStr">
        <x:is>
          <x:t xml:space="preserve">A production-systems inventory is supporting evidence for patch coverage and vulnerability scoping under risk analysis/risk management.</x:t>
        </x:is>
      </x:c>
      <x:c r="S18" s="5" t="inlineStr">
        <x:is>
          <x:t xml:space="preserve">OCR guidance treats a technology asset inventory as a valuable tool for accurate and thorough risk analysis.</x:t>
        </x:is>
      </x:c>
      <x:c r="T18" s="5" t="n"/>
    </x:row>
    <x:row r="19" ht="30" customHeight="1">
      <x:c r="A19" s="5" t="inlineStr">
        <x:is>
          <x:t xml:space="preserve">HITRUST e1.csv</x:t>
        </x:is>
      </x:c>
      <x:c r="B19" s="5" t="inlineStr">
        <x:is>
          <x:t xml:space="preserve">ER-12</x:t>
        </x:is>
      </x:c>
      <x:c r="C19" s="5" t="inlineStr">
        <x:is>
          <x:t xml:space="preserve">Configuration</x:t>
        </x:is>
      </x:c>
      <x:c r="D19" s="5" t="inlineStr">
        <x:is>
          <x:t xml:space="preserve">List of All Production Systems (Servers, VMs, Data Stores)</x:t>
        </x:is>
      </x:c>
      <x:c r="E19" s="5" t="inlineStr">
        <x:is>
          <x:t xml:space="preserve">REQ-102-HIPAA</x:t>
        </x:is>
      </x:c>
      <x:c r="F19" s="5" t="inlineStr">
        <x:is>
          <x:t xml:space="preserve">07.07a1Organizational.8, 0701.07a1Organizational.7, 0701.07a1Organizational.8</x:t>
        </x:is>
      </x:c>
      <x:c r="G19" s="5" t="inlineStr">
        <x:is>
          <x:t xml:space="preserve">07.07a1 Organizational.8, 0701.07a1 Organizational.7, 0701.07a1 Organizational.8</x:t>
        </x:is>
      </x:c>
      <x:c r="H19" s="5" t="n">
        <x:v>3</x:v>
      </x:c>
      <x:c r="I19" s="5" t="inlineStr">
        <x:is>
          <x:t xml:space="preserve">45 C.F.R. § 164.308(a)(1)(ii)(A)</x:t>
        </x:is>
      </x:c>
      <x:c r="J19" s="5" t="inlineStr">
        <x:is>
          <x:t xml:space="preserve">Security Management Process — Risk Analysis</x:t>
        </x:is>
      </x:c>
      <x:c r="K19" s="5" t="inlineStr">
        <x:is>
          <x:t xml:space="preserve">Conduct an accurate and thorough assessment of the potential risks and vulnerabilities to the confidentiality, integrity, and availability of ePHI.</x:t>
        </x:is>
      </x:c>
      <x:c r="L19" s="5" t="inlineStr">
        <x:is>
          <x:t xml:space="preserve">Required implementation specification</x:t>
        </x:is>
      </x:c>
      <x:c r="M19" s="5" t="inlineStr">
        <x:is>
          <x:t xml:space="preserve">Administrative Safeguards</x:t>
        </x:is>
      </x:c>
      <x:c r="N19" s="28" t="inlineStr">
        <x:is>
          <x:t xml:space="preserve">https://www.ecfr.gov/current/title-45/subtitle-A/subchapter-C/part-164/section-164.308</x:t>
        </x:is>
      </x:c>
      <x:c r="O19" s="28" t="inlineStr">
        <x:is>
          <x:t xml:space="preserve">https://www.hhs.gov/hipaa/for-professionals/security/guidance/guidance-risk-analysis/index.html</x:t>
        </x:is>
      </x:c>
      <x:c r="P19" s="5" t="inlineStr">
        <x:is>
          <x:t xml:space="preserve">Many:Many</x:t>
        </x:is>
      </x:c>
      <x:c r="Q19" s="5" t="inlineStr">
        <x:is>
          <x:t xml:space="preserve">Best-fit</x:t>
        </x:is>
      </x:c>
      <x:c r="R19" s="5" t="inlineStr">
        <x:is>
          <x:t xml:space="preserve">HIPAA does not expressly mandate an IT asset inventory, but OCR guidance says a comprehensive technology asset inventory and ePHI data-flow diagrams are valuable tools for an accurate and thorough risk analysis.</x:t>
        </x:is>
      </x:c>
      <x:c r="S19" s="5" t="inlineStr">
        <x:is>
          <x:t xml:space="preserve">Mapped as supporting evidence for risk analysis rather than as a standalone named HIPAA inventory control.</x:t>
        </x:is>
      </x:c>
      <x:c r="T19" s="5" t="n"/>
    </x:row>
    <x:row r="20" ht="30" customHeight="1">
      <x:c r="A20" s="5" t="inlineStr">
        <x:is>
          <x:t xml:space="preserve">HITRUST e1.csv</x:t>
        </x:is>
      </x:c>
      <x:c r="B20" s="5" t="inlineStr">
        <x:is>
          <x:t xml:space="preserve">ER-83</x:t>
        </x:is>
      </x:c>
      <x:c r="C20" s="5" t="inlineStr">
        <x:is>
          <x:t xml:space="preserve">Configuration</x:t>
        </x:is>
      </x:c>
      <x:c r="D20" s="5" t="inlineStr">
        <x:is>
          <x:t xml:space="preserve">Network Diagram and Segmentation</x:t>
        </x:is>
      </x:c>
      <x:c r="E20" s="5" t="inlineStr">
        <x:is>
          <x:t xml:space="preserve">REQ-36-HIPAA</x:t>
        </x:is>
      </x:c>
      <x:c r="F20" s="5" t="inlineStr">
        <x:is>
          <x:t xml:space="preserve">0504.09m1Organizational.13, 0805.01m1Organizational.12</x:t>
        </x:is>
      </x:c>
      <x:c r="G20" s="5" t="inlineStr">
        <x:is>
          <x:t xml:space="preserve">0504.09m1 Organizational.13, 0805.01m1 Organizational.12</x:t>
        </x:is>
      </x:c>
      <x:c r="H20" s="5" t="n">
        <x:v>2</x:v>
      </x:c>
      <x:c r="I20" s="5" t="inlineStr">
        <x:is>
          <x:t xml:space="preserve">45 C.F.R. § 164.312(a)(1)</x:t>
        </x:is>
      </x:c>
      <x:c r="J20" s="5" t="inlineStr">
        <x:is>
          <x:t xml:space="preserve">Access Control</x:t>
        </x:is>
      </x:c>
      <x:c r="K20" s="5" t="inlineStr">
        <x:is>
          <x:t xml:space="preserve">Implement technical policies and procedures for electronic information systems that maintain ePHI to allow access only to persons or software programs with authorized access rights.</x:t>
        </x:is>
      </x:c>
      <x:c r="L20" s="5" t="inlineStr">
        <x:is>
          <x:t xml:space="preserve">Standard</x:t>
        </x:is>
      </x:c>
      <x:c r="M20" s="5" t="inlineStr">
        <x:is>
          <x:t xml:space="preserve">Technical Safeguards</x:t>
        </x:is>
      </x:c>
      <x:c r="N20" s="28" t="inlineStr">
        <x:is>
          <x:t xml:space="preserve">https://www.ecfr.gov/current/title-45/subtitle-A/subchapter-C/part-164/section-164.312</x:t>
        </x:is>
      </x:c>
      <x:c r="O20" s="28" t="inlineStr">
        <x:is>
          <x:t xml:space="preserve">https://www.hhs.gov/hipaa/for-professionals/compliance-enforcement/audit/protocol-edited/index.html</x:t>
        </x:is>
      </x:c>
      <x:c r="P20" s="5" t="inlineStr">
        <x:is>
          <x:t xml:space="preserve">1:Many</x:t>
        </x:is>
      </x:c>
      <x:c r="Q20" s="5" t="inlineStr">
        <x:is>
          <x:t xml:space="preserve">Best-fit</x:t>
        </x:is>
      </x:c>
      <x:c r="R20" s="5" t="inlineStr">
        <x:is>
          <x:t xml:space="preserve">HIPAA does not explicitly name network segmentation, but OCR guidance and enforcement materials cite segmentation as a way to implement access control between systems.</x:t>
        </x:is>
      </x:c>
      <x:c r="S20" s="5" t="inlineStr">
        <x:is>
          <x:t xml:space="preserve">Mapped as an access-control implementation example rather than a standalone named HIPAA implementation specification.</x:t>
        </x:is>
      </x:c>
      <x:c r="T20" s="5" t="n"/>
    </x:row>
    <x:row r="21" ht="30" customHeight="1">
      <x:c r="A21" s="5" t="inlineStr">
        <x:is>
          <x:t xml:space="preserve">HITRUST e1.csv</x:t>
        </x:is>
      </x:c>
      <x:c r="B21" s="5" t="inlineStr">
        <x:is>
          <x:t xml:space="preserve">ER-67</x:t>
        </x:is>
      </x:c>
      <x:c r="C21" s="5" t="inlineStr">
        <x:is>
          <x:t xml:space="preserve">Configuration</x:t>
        </x:is>
      </x:c>
      <x:c r="D21" s="5" t="inlineStr">
        <x:is>
          <x:t xml:space="preserve">Password Vault and Shared Accounts</x:t>
        </x:is>
      </x:c>
      <x:c r="E21" s="5" t="inlineStr">
        <x:is>
          <x:t xml:space="preserve">REQ-28-HIPAA</x:t>
        </x:is>
      </x:c>
      <x:c r="F21" s="5" t="inlineStr">
        <x:is>
          <x:t xml:space="preserve">1123.01q1System.2</x:t>
        </x:is>
      </x:c>
      <x:c r="G21" s="5" t="inlineStr">
        <x:is>
          <x:t xml:space="preserve">1123.01q1 System.2</x:t>
        </x:is>
      </x:c>
      <x:c r="H21" s="5" t="n">
        <x:v>1</x:v>
      </x:c>
      <x:c r="I21" s="5" t="inlineStr">
        <x:is>
          <x:t xml:space="preserve">45 C.F.R. § 164.312(a)(2)(i)</x:t>
        </x:is>
      </x:c>
      <x:c r="J21" s="5" t="inlineStr">
        <x:is>
          <x:t xml:space="preserve">Access Control — Unique User Identification</x:t>
        </x:is>
      </x:c>
      <x:c r="K21" s="5" t="inlineStr">
        <x:is>
          <x:t xml:space="preserve">Assign a unique name and/or number for identifying and tracking user identity.</x:t>
        </x:is>
      </x:c>
      <x:c r="L21" s="5" t="inlineStr">
        <x:is>
          <x:t xml:space="preserve">Required implementation specification</x:t>
        </x:is>
      </x:c>
      <x:c r="M21" s="5" t="inlineStr">
        <x:is>
          <x:t xml:space="preserve">Technical Safeguards</x:t>
        </x:is>
      </x:c>
      <x:c r="N21" s="28" t="inlineStr">
        <x:is>
          <x:t xml:space="preserve">https://www.ecfr.gov/current/title-45/subtitle-A/subchapter-C/part-164/section-164.312</x:t>
        </x:is>
      </x:c>
      <x:c r="O21" s="28" t="inlineStr">
        <x:is>
          <x:t xml:space="preserve">https://www.hhs.gov/hipaa/for-professionals/compliance-enforcement/audit/protocol-edited/index.html</x:t>
        </x:is>
      </x:c>
      <x:c r="P21" s="5" t="inlineStr">
        <x:is>
          <x:t xml:space="preserve">Many:1</x:t>
        </x:is>
      </x:c>
      <x:c r="Q21" s="5" t="inlineStr">
        <x:is>
          <x:t xml:space="preserve">Composite</x:t>
        </x:is>
      </x:c>
      <x:c r="R21" s="5" t="inlineStr">
        <x:is>
          <x:t xml:space="preserve">Password-vault/shared-account and privileged-access evidence supports unique attribution of user activity and management of privileged rights.</x:t>
        </x:is>
      </x:c>
      <x:c r="S21" s="5" t="inlineStr">
        <x:is>
          <x:t xml:space="preserve">Shared or generic-account controls are best matched to unique user identification, with access-right administration as a secondary basis.</x:t>
        </x:is>
      </x:c>
      <x:c r="T21" s="5" t="n"/>
    </x:row>
    <x:row r="22" ht="30" customHeight="1">
      <x:c r="A22" s="5" t="inlineStr">
        <x:is>
          <x:t xml:space="preserve">HITRUST e1.csv</x:t>
        </x:is>
      </x:c>
      <x:c r="B22" s="5" t="inlineStr">
        <x:is>
          <x:t xml:space="preserve">ER-67</x:t>
        </x:is>
      </x:c>
      <x:c r="C22" s="5" t="inlineStr">
        <x:is>
          <x:t xml:space="preserve">Configuration</x:t>
        </x:is>
      </x:c>
      <x:c r="D22" s="5" t="inlineStr">
        <x:is>
          <x:t xml:space="preserve">Password Vault and Shared Accounts</x:t>
        </x:is>
      </x:c>
      <x:c r="E22" s="5" t="inlineStr">
        <x:is>
          <x:t xml:space="preserve">REQ-28-HIPAA</x:t>
        </x:is>
      </x:c>
      <x:c r="F22" s="5" t="inlineStr">
        <x:is>
          <x:t xml:space="preserve">1123.01q1System.2</x:t>
        </x:is>
      </x:c>
      <x:c r="G22" s="5" t="inlineStr">
        <x:is>
          <x:t xml:space="preserve">1123.01q1 System.2</x:t>
        </x:is>
      </x:c>
      <x:c r="H22" s="5" t="n">
        <x:v>1</x:v>
      </x:c>
      <x:c r="I22" s="5" t="inlineStr">
        <x:is>
          <x:t xml:space="preserve">45 C.F.R. § 164.308(a)(4)(ii)(C)</x:t>
        </x:is>
      </x:c>
      <x:c r="J22" s="5" t="inlineStr">
        <x:is>
          <x:t xml:space="preserve">Information Access Management — Access Establishment and Modification</x:t>
        </x:is>
      </x:c>
      <x:c r="K22" s="5" t="inlineStr">
        <x:is>
          <x:t xml:space="preserve">Implement policies and procedures to establish, document, review, and modify a user’s right of access to a workstation, transaction, program, or process.</x:t>
        </x:is>
      </x:c>
      <x:c r="L22" s="5" t="inlineStr">
        <x:is>
          <x:t xml:space="preserve">Addressable implementation specification</x:t>
        </x:is>
      </x:c>
      <x:c r="M22" s="5" t="inlineStr">
        <x:is>
          <x:t xml:space="preserve">Administrative Safeguards</x:t>
        </x:is>
      </x:c>
      <x:c r="N22" s="28" t="inlineStr">
        <x:is>
          <x:t xml:space="preserve">https://www.ecfr.gov/current/title-45/subtitle-A/subchapter-C/part-164/section-164.308</x:t>
        </x:is>
      </x:c>
      <x:c r="O22" s="28" t="inlineStr">
        <x:is>
          <x:t xml:space="preserve">https://www.hhs.gov/hipaa/for-professionals/compliance-enforcement/audit/protocol-edited/index.html</x:t>
        </x:is>
      </x:c>
      <x:c r="P22" s="5" t="inlineStr">
        <x:is>
          <x:t xml:space="preserve">Many:1</x:t>
        </x:is>
      </x:c>
      <x:c r="Q22" s="5" t="inlineStr">
        <x:is>
          <x:t xml:space="preserve">Composite</x:t>
        </x:is>
      </x:c>
      <x:c r="R22" s="5" t="inlineStr">
        <x:is>
          <x:t xml:space="preserve">Password-vault/shared-account and privileged-access evidence supports unique attribution of user activity and management of privileged rights.</x:t>
        </x:is>
      </x:c>
      <x:c r="S22" s="5" t="inlineStr">
        <x:is>
          <x:t xml:space="preserve">Shared or generic-account controls are best matched to unique user identification, with access-right administration as a secondary basis.</x:t>
        </x:is>
      </x:c>
      <x:c r="T22" s="5" t="n"/>
    </x:row>
    <x:row r="23" ht="30" customHeight="1">
      <x:c r="A23" s="5" t="inlineStr">
        <x:is>
          <x:t xml:space="preserve">HITRUST e1.csv</x:t>
        </x:is>
      </x:c>
      <x:c r="B23" s="5" t="inlineStr">
        <x:is>
          <x:t xml:space="preserve">ER-67</x:t>
        </x:is>
      </x:c>
      <x:c r="C23" s="5" t="inlineStr">
        <x:is>
          <x:t xml:space="preserve">Configuration</x:t>
        </x:is>
      </x:c>
      <x:c r="D23" s="5" t="inlineStr">
        <x:is>
          <x:t xml:space="preserve">Password Vault and Shared Accounts</x:t>
        </x:is>
      </x:c>
      <x:c r="E23" s="5" t="inlineStr">
        <x:is>
          <x:t xml:space="preserve">REQ-31-HIPAA</x:t>
        </x:is>
      </x:c>
      <x:c r="F23" s="5" t="inlineStr">
        <x:is>
          <x:t xml:space="preserve">1123.01q1System.2</x:t>
        </x:is>
      </x:c>
      <x:c r="G23" s="5" t="inlineStr">
        <x:is>
          <x:t xml:space="preserve">1123.01q1 System.2</x:t>
        </x:is>
      </x:c>
      <x:c r="H23" s="5" t="n">
        <x:v>1</x:v>
      </x:c>
      <x:c r="I23" s="5" t="inlineStr">
        <x:is>
          <x:t xml:space="preserve">45 C.F.R. § 164.308(a)(3)(ii)(C)</x:t>
        </x:is>
      </x:c>
      <x:c r="J23" s="5" t="inlineStr">
        <x:is>
          <x:t xml:space="preserve">Workforce Security — Termination Procedures</x:t>
        </x:is>
      </x:c>
      <x:c r="K23" s="5" t="inlineStr">
        <x:is>
          <x:t xml:space="preserve">Implement procedures for terminating a workforce member’s access to ePHI when employment ends or when access should otherwise be removed.</x:t>
        </x:is>
      </x:c>
      <x:c r="L23" s="5" t="inlineStr">
        <x:is>
          <x:t xml:space="preserve">Addressable implementation specification</x:t>
        </x:is>
      </x:c>
      <x:c r="M23" s="5" t="inlineStr">
        <x:is>
          <x:t xml:space="preserve">Administrative Safeguards</x:t>
        </x:is>
      </x:c>
      <x:c r="N23" s="28" t="inlineStr">
        <x:is>
          <x:t xml:space="preserve">https://www.ecfr.gov/current/title-45/subtitle-A/subchapter-C/part-164/section-164.308</x:t>
        </x:is>
      </x:c>
      <x:c r="O23" s="28" t="inlineStr">
        <x:is>
          <x:t xml:space="preserve">https://www.hhs.gov/hipaa/for-professionals/security/guidance/cybersecurity-newsletter-summer-2019/index.html</x:t>
        </x:is>
      </x:c>
      <x:c r="P23" s="5" t="inlineStr">
        <x:is>
          <x:t xml:space="preserve">Many:1</x:t>
        </x:is>
      </x:c>
      <x:c r="Q23" s="5" t="inlineStr">
        <x:is>
          <x:t xml:space="preserve">Composite</x:t>
        </x:is>
      </x:c>
      <x:c r="R23" s="5" t="inlineStr">
        <x:is>
          <x:t xml:space="preserve">Shared-account and privileged-access listings support timely removal of departing users and accountability for access tied to individuals.</x:t>
        </x:is>
      </x:c>
      <x:c r="S23" s="5" t="inlineStr">
        <x:is>
          <x:t xml:space="preserve">Best read as supporting evidence that terminated users are removed from shared/privileged access paths.</x:t>
        </x:is>
      </x:c>
      <x:c r="T23" s="5" t="n"/>
    </x:row>
    <x:row r="24" ht="30" customHeight="1">
      <x:c r="A24" s="5" t="inlineStr">
        <x:is>
          <x:t xml:space="preserve">HITRUST e1.csv</x:t>
        </x:is>
      </x:c>
      <x:c r="B24" s="5" t="inlineStr">
        <x:is>
          <x:t xml:space="preserve">ER-67</x:t>
        </x:is>
      </x:c>
      <x:c r="C24" s="5" t="inlineStr">
        <x:is>
          <x:t xml:space="preserve">Configuration</x:t>
        </x:is>
      </x:c>
      <x:c r="D24" s="5" t="inlineStr">
        <x:is>
          <x:t xml:space="preserve">Password Vault and Shared Accounts</x:t>
        </x:is>
      </x:c>
      <x:c r="E24" s="5" t="inlineStr">
        <x:is>
          <x:t xml:space="preserve">REQ-31-HIPAA</x:t>
        </x:is>
      </x:c>
      <x:c r="F24" s="5" t="inlineStr">
        <x:is>
          <x:t xml:space="preserve">1123.01q1System.2</x:t>
        </x:is>
      </x:c>
      <x:c r="G24" s="5" t="inlineStr">
        <x:is>
          <x:t xml:space="preserve">1123.01q1 System.2</x:t>
        </x:is>
      </x:c>
      <x:c r="H24" s="5" t="n">
        <x:v>1</x:v>
      </x:c>
      <x:c r="I24" s="5" t="inlineStr">
        <x:is>
          <x:t xml:space="preserve">45 C.F.R. § 164.312(a)(2)(i)</x:t>
        </x:is>
      </x:c>
      <x:c r="J24" s="5" t="inlineStr">
        <x:is>
          <x:t xml:space="preserve">Access Control — Unique User Identification</x:t>
        </x:is>
      </x:c>
      <x:c r="K24" s="5" t="inlineStr">
        <x:is>
          <x:t xml:space="preserve">Assign a unique name and/or number for identifying and tracking user identity.</x:t>
        </x:is>
      </x:c>
      <x:c r="L24" s="5" t="inlineStr">
        <x:is>
          <x:t xml:space="preserve">Required implementation specification</x:t>
        </x:is>
      </x:c>
      <x:c r="M24" s="5" t="inlineStr">
        <x:is>
          <x:t xml:space="preserve">Technical Safeguards</x:t>
        </x:is>
      </x:c>
      <x:c r="N24" s="28" t="inlineStr">
        <x:is>
          <x:t xml:space="preserve">https://www.ecfr.gov/current/title-45/subtitle-A/subchapter-C/part-164/section-164.312</x:t>
        </x:is>
      </x:c>
      <x:c r="O24" s="28" t="inlineStr">
        <x:is>
          <x:t xml:space="preserve">https://www.hhs.gov/hipaa/for-professionals/compliance-enforcement/audit/protocol-edited/index.html</x:t>
        </x:is>
      </x:c>
      <x:c r="P24" s="5" t="inlineStr">
        <x:is>
          <x:t xml:space="preserve">Many:1</x:t>
        </x:is>
      </x:c>
      <x:c r="Q24" s="5" t="inlineStr">
        <x:is>
          <x:t xml:space="preserve">Composite</x:t>
        </x:is>
      </x:c>
      <x:c r="R24" s="5" t="inlineStr">
        <x:is>
          <x:t xml:space="preserve">Shared-account and privileged-access listings support timely removal of departing users and accountability for access tied to individuals.</x:t>
        </x:is>
      </x:c>
      <x:c r="S24" s="5" t="inlineStr">
        <x:is>
          <x:t xml:space="preserve">Best read as supporting evidence that terminated users are removed from shared/privileged access paths.</x:t>
        </x:is>
      </x:c>
      <x:c r="T24" s="5" t="n"/>
    </x:row>
    <x:row r="25" ht="30" customHeight="1">
      <x:c r="A25" s="5" t="inlineStr">
        <x:is>
          <x:t xml:space="preserve">HITRUST e1.csv</x:t>
        </x:is>
      </x:c>
      <x:c r="B25" s="5" t="inlineStr">
        <x:is>
          <x:t xml:space="preserve">ER-25</x:t>
        </x:is>
      </x:c>
      <x:c r="C25" s="5" t="inlineStr">
        <x:is>
          <x:t xml:space="preserve">Configuration</x:t>
        </x:is>
      </x:c>
      <x:c r="D25" s="5" t="inlineStr">
        <x:is>
          <x:t xml:space="preserve">Passwords for All In-Scope Production Systems</x:t>
        </x:is>
      </x:c>
      <x:c r="E25" s="5" t="inlineStr">
        <x:is>
          <x:t xml:space="preserve">REQ-26-HIPAA</x:t>
        </x:is>
      </x:c>
      <x:c r="F25" s="5" t="inlineStr">
        <x:is>
          <x:t xml:space="preserve">10.01d1System.10</x:t>
        </x:is>
      </x:c>
      <x:c r="G25" s="5" t="inlineStr">
        <x:is>
          <x:t xml:space="preserve">10.01d1 System.10</x:t>
        </x:is>
      </x:c>
      <x:c r="H25" s="5" t="n">
        <x:v>1</x:v>
      </x:c>
      <x:c r="I25" s="5" t="inlineStr">
        <x:is>
          <x:t xml:space="preserve">45 C.F.R. § 164.308(a)(5)(ii)(D)</x:t>
        </x:is>
      </x:c>
      <x:c r="J25" s="5" t="inlineStr">
        <x:is>
          <x:t xml:space="preserve">Security Awareness and Training — Password Management</x:t>
        </x:is>
      </x:c>
      <x:c r="K25" s="5" t="inlineStr">
        <x:is>
          <x:t xml:space="preserve">Implement procedures for creating, changing, and safeguarding passwords.</x:t>
        </x:is>
      </x:c>
      <x:c r="L25" s="5" t="inlineStr">
        <x:is>
          <x:t xml:space="preserve">Addressable implementation specification</x:t>
        </x:is>
      </x:c>
      <x:c r="M25" s="5" t="inlineStr">
        <x:is>
          <x:t xml:space="preserve">Administrative Safeguards</x:t>
        </x:is>
      </x:c>
      <x:c r="N25" s="28" t="inlineStr">
        <x:is>
          <x:t xml:space="preserve">https://www.ecfr.gov/current/title-45/subtitle-A/subchapter-C/part-164/section-164.308</x:t>
        </x:is>
      </x:c>
      <x:c r="O25" s="28" t="inlineStr">
        <x:is>
          <x:t xml:space="preserve">https://www.hhs.gov/sites/default/files/ocr/privacy/hipaa/administrative/securityrule/adminsafeguards.pdf</x:t>
        </x:is>
      </x:c>
      <x:c r="P25" s="5" t="inlineStr">
        <x:is>
          <x:t xml:space="preserve">1:1</x:t>
        </x:is>
      </x:c>
      <x:c r="Q25" s="5" t="inlineStr">
        <x:is>
          <x:t xml:space="preserve">Composite</x:t>
        </x:is>
      </x:c>
      <x:c r="R25" s="5" t="inlineStr">
        <x:is>
          <x:t xml:space="preserve">Password configuration evidence most directly aligns to password-management requirements and the broader access-control standard.</x:t>
        </x:is>
      </x:c>
      <x:c r="S25" s="5" t="inlineStr">
        <x:is>
          <x:t xml:space="preserve">This row is password-configuration evidence; MFA is not the primary evidence artifact here.</x:t>
        </x:is>
      </x:c>
      <x:c r="T25" s="5" t="n"/>
    </x:row>
    <x:row r="26" ht="30" customHeight="1">
      <x:c r="A26" s="5" t="inlineStr">
        <x:is>
          <x:t xml:space="preserve">HITRUST e1.csv</x:t>
        </x:is>
      </x:c>
      <x:c r="B26" s="5" t="inlineStr">
        <x:is>
          <x:t xml:space="preserve">ER-25</x:t>
        </x:is>
      </x:c>
      <x:c r="C26" s="5" t="inlineStr">
        <x:is>
          <x:t xml:space="preserve">Configuration</x:t>
        </x:is>
      </x:c>
      <x:c r="D26" s="5" t="inlineStr">
        <x:is>
          <x:t xml:space="preserve">Passwords for All In-Scope Production Systems</x:t>
        </x:is>
      </x:c>
      <x:c r="E26" s="5" t="inlineStr">
        <x:is>
          <x:t xml:space="preserve">REQ-26-HIPAA</x:t>
        </x:is>
      </x:c>
      <x:c r="F26" s="5" t="inlineStr">
        <x:is>
          <x:t xml:space="preserve">10.01d1System.10</x:t>
        </x:is>
      </x:c>
      <x:c r="G26" s="5" t="inlineStr">
        <x:is>
          <x:t xml:space="preserve">10.01d1 System.10</x:t>
        </x:is>
      </x:c>
      <x:c r="H26" s="5" t="n">
        <x:v>1</x:v>
      </x:c>
      <x:c r="I26" s="5" t="inlineStr">
        <x:is>
          <x:t xml:space="preserve">45 C.F.R. § 164.312(a)(1)</x:t>
        </x:is>
      </x:c>
      <x:c r="J26" s="5" t="inlineStr">
        <x:is>
          <x:t xml:space="preserve">Access Control</x:t>
        </x:is>
      </x:c>
      <x:c r="K26" s="5" t="inlineStr">
        <x:is>
          <x:t xml:space="preserve">Implement technical policies and procedures for electronic information systems that maintain ePHI to allow access only to persons or software programs with authorized access rights.</x:t>
        </x:is>
      </x:c>
      <x:c r="L26" s="5" t="inlineStr">
        <x:is>
          <x:t xml:space="preserve">Standard</x:t>
        </x:is>
      </x:c>
      <x:c r="M26" s="5" t="inlineStr">
        <x:is>
          <x:t xml:space="preserve">Technical Safeguards</x:t>
        </x:is>
      </x:c>
      <x:c r="N26" s="28" t="inlineStr">
        <x:is>
          <x:t xml:space="preserve">https://www.ecfr.gov/current/title-45/subtitle-A/subchapter-C/part-164/section-164.312</x:t>
        </x:is>
      </x:c>
      <x:c r="O26" s="28" t="inlineStr">
        <x:is>
          <x:t xml:space="preserve">https://www.hhs.gov/hipaa/for-professionals/compliance-enforcement/audit/protocol-edited/index.html</x:t>
        </x:is>
      </x:c>
      <x:c r="P26" s="5" t="inlineStr">
        <x:is>
          <x:t xml:space="preserve">1:1</x:t>
        </x:is>
      </x:c>
      <x:c r="Q26" s="5" t="inlineStr">
        <x:is>
          <x:t xml:space="preserve">Composite</x:t>
        </x:is>
      </x:c>
      <x:c r="R26" s="5" t="inlineStr">
        <x:is>
          <x:t xml:space="preserve">Password configuration evidence most directly aligns to password-management requirements and the broader access-control standard.</x:t>
        </x:is>
      </x:c>
      <x:c r="S26" s="5" t="inlineStr">
        <x:is>
          <x:t xml:space="preserve">This row is password-configuration evidence; MFA is not the primary evidence artifact here.</x:t>
        </x:is>
      </x:c>
      <x:c r="T26" s="5" t="n"/>
    </x:row>
    <x:row r="27" ht="30" customHeight="1">
      <x:c r="A27" s="5" t="inlineStr">
        <x:is>
          <x:t xml:space="preserve">HIPAA Security.csv</x:t>
        </x:is>
      </x:c>
      <x:c r="B27" s="5" t="inlineStr">
        <x:is>
          <x:t xml:space="preserve">ER-271</x:t>
        </x:is>
      </x:c>
      <x:c r="C27" s="5" t="inlineStr">
        <x:is>
          <x:t xml:space="preserve">Operational</x:t>
        </x:is>
      </x:c>
      <x:c r="D27" s="5" t="inlineStr">
        <x:is>
          <x:t xml:space="preserve">Asset Custody Log</x:t>
        </x:is>
      </x:c>
      <x:c r="E27" s="5" t="inlineStr">
        <x:is>
          <x:t xml:space="preserve">REQ-109-HIPAA</x:t>
        </x:is>
      </x:c>
      <x:c r="F27" s="5" t="inlineStr">
        <x:is>
          <x:t xml:space="preserve">0701.07a1Organizational.8, 0704.07a1Organizational.8</x:t>
        </x:is>
      </x:c>
      <x:c r="G27" s="5" t="inlineStr">
        <x:is>
          <x:t xml:space="preserve">0701.07a1 Organizational.8, 0704.07a1 Organizational.8</x:t>
        </x:is>
      </x:c>
      <x:c r="H27" s="5" t="n">
        <x:v>2</x:v>
      </x:c>
      <x:c r="I27" s="5" t="inlineStr">
        <x:is>
          <x:t xml:space="preserve">45 C.F.R. § 164.310(d)(2)(iii)</x:t>
        </x:is>
      </x:c>
      <x:c r="J27" s="5" t="inlineStr">
        <x:is>
          <x:t xml:space="preserve">Device and Media Controls — Accountability</x:t>
        </x:is>
      </x:c>
      <x:c r="K27" s="5" t="inlineStr">
        <x:is>
          <x:t xml:space="preserve">Maintain a record of the movements of hardware and electronic media and the person responsible for them.</x:t>
        </x:is>
      </x:c>
      <x:c r="L27" s="5" t="inlineStr">
        <x:is>
          <x:t xml:space="preserve">Addressable implementation specification</x:t>
        </x:is>
      </x:c>
      <x:c r="M27" s="5" t="inlineStr">
        <x:is>
          <x:t xml:space="preserve">Physical Safeguards</x:t>
        </x:is>
      </x:c>
      <x:c r="N27" s="28" t="inlineStr">
        <x:is>
          <x:t xml:space="preserve">https://www.ecfr.gov/current/title-45/subtitle-A/subchapter-C/part-164/section-164.310</x:t>
        </x:is>
      </x:c>
      <x:c r="O27" s="28" t="inlineStr">
        <x:is>
          <x:t xml:space="preserve">https://www.hhs.gov/sites/default/files/ocr/privacy/hipaa/administrative/combined/hipaa-simplification-201303.pdf</x:t>
        </x:is>
      </x:c>
      <x:c r="P27" s="5" t="inlineStr">
        <x:is>
          <x:t xml:space="preserve">1:Many</x:t>
        </x:is>
      </x:c>
      <x:c r="Q27" s="5" t="inlineStr">
        <x:is>
          <x:t xml:space="preserve">Direct</x:t>
        </x:is>
      </x:c>
      <x:c r="R27" s="5" t="inlineStr">
        <x:is>
          <x:t xml:space="preserve">Asset custody logs align directly to maintaining a record of the movements of hardware/electronic media and the person responsible.</x:t>
        </x:is>
      </x:c>
      <x:c r="S27" s="5" t="inlineStr">
        <x:is>
          <x:t xml:space="preserve">Used for custody/chain-of-responsibility evidence.</x:t>
        </x:is>
      </x:c>
      <x:c r="T27" s="5" t="n"/>
    </x:row>
    <x:row r="28" ht="30" customHeight="1">
      <x:c r="A28" s="5" t="inlineStr">
        <x:is>
          <x:t xml:space="preserve">HITRUST e1.csv</x:t>
        </x:is>
      </x:c>
      <x:c r="B28" s="5" t="inlineStr">
        <x:is>
          <x:t xml:space="preserve">ER-123</x:t>
        </x:is>
      </x:c>
      <x:c r="C28" s="5" t="inlineStr">
        <x:is>
          <x:t xml:space="preserve">Operational</x:t>
        </x:is>
      </x:c>
      <x:c r="D28" s="5" t="inlineStr">
        <x:is>
          <x:t xml:space="preserve">Completed Production Data Backup Test</x:t>
        </x:is>
      </x:c>
      <x:c r="E28" s="5" t="inlineStr">
        <x:is>
          <x:t xml:space="preserve">REQ-61-HIPAA</x:t>
        </x:is>
      </x:c>
      <x:c r="F28" s="5" t="inlineStr">
        <x:is>
          <x:t xml:space="preserve">1616.09l1Organizational.16</x:t>
        </x:is>
      </x:c>
      <x:c r="G28" s="5" t="inlineStr">
        <x:is>
          <x:t xml:space="preserve">1616.09l1 Organizational.16</x:t>
        </x:is>
      </x:c>
      <x:c r="H28" s="5" t="n">
        <x:v>1</x:v>
      </x:c>
      <x:c r="I28" s="5" t="inlineStr">
        <x:is>
          <x:t xml:space="preserve">45 C.F.R. § 164.308(a)(7)(ii)(D)</x:t>
        </x:is>
      </x:c>
      <x:c r="J28" s="5" t="inlineStr">
        <x:is>
          <x:t xml:space="preserve">Contingency Plan — Applications and Data Criticality Analysis</x:t>
        </x:is>
      </x:c>
      <x:c r="K28" s="5" t="inlineStr">
        <x:is>
          <x:t xml:space="preserve">Assess the relative criticality of specific applications and data in support of contingency planning.</x:t>
        </x:is>
      </x:c>
      <x:c r="L28" s="5" t="inlineStr">
        <x:is>
          <x:t xml:space="preserve">Addressable implementation specification</x:t>
        </x:is>
      </x:c>
      <x:c r="M28" s="5" t="inlineStr">
        <x:is>
          <x:t xml:space="preserve">Administrative Safeguards</x:t>
        </x:is>
      </x:c>
      <x:c r="N28" s="28" t="inlineStr">
        <x:is>
          <x:t xml:space="preserve">https://www.ecfr.gov/current/title-45/subtitle-A/subchapter-C/part-164/section-164.308</x:t>
        </x:is>
      </x:c>
      <x:c r="O28" s="28" t="inlineStr">
        <x:is>
          <x:t xml:space="preserve">https://www.hhs.gov/hipaa/for-professionals/compliance-enforcement/audit/protocol-edited/index.html</x:t>
        </x:is>
      </x:c>
      <x:c r="P28" s="5" t="inlineStr">
        <x:is>
          <x:t xml:space="preserve">1:1</x:t>
        </x:is>
      </x:c>
      <x:c r="Q28" s="5" t="inlineStr">
        <x:is>
          <x:t xml:space="preserve">Direct</x:t>
        </x:is>
      </x:c>
      <x:c r="R28" s="5" t="inlineStr">
        <x:is>
          <x:t xml:space="preserve">A completed backup test aligns directly to periodic testing/revision of contingency plans.</x:t>
        </x:is>
      </x:c>
      <x:c r="S28" s="5" t="inlineStr">
        <x:is>
          <x:t xml:space="preserve">Used for explicit backup-test evidence.</x:t>
        </x:is>
      </x:c>
      <x:c r="T28" s="5" t="n"/>
    </x:row>
    <x:row r="29" ht="30" customHeight="1">
      <x:c r="A29" s="5" t="inlineStr">
        <x:is>
          <x:t xml:space="preserve">HITRUST e1.csv</x:t>
        </x:is>
      </x:c>
      <x:c r="B29" s="5" t="inlineStr">
        <x:is>
          <x:t xml:space="preserve">ER-56</x:t>
        </x:is>
      </x:c>
      <x:c r="C29" s="5" t="inlineStr">
        <x:is>
          <x:t xml:space="preserve">Operational</x:t>
        </x:is>
      </x:c>
      <x:c r="D29" s="5" t="inlineStr">
        <x:is>
          <x:t xml:space="preserve">Information Security Policy Repository</x:t>
        </x:is>
      </x:c>
      <x:c r="E29" s="5" t="inlineStr">
        <x:is>
          <x:t xml:space="preserve">REQ-1-HIPAA</x:t>
        </x:is>
      </x:c>
      <x:c r="F29" s="5" t="inlineStr">
        <x:is>
          <x:t xml:space="preserve">0113.04a1Organizational.2</x:t>
        </x:is>
      </x:c>
      <x:c r="G29" s="5" t="inlineStr">
        <x:is>
          <x:t xml:space="preserve">0113.04a1 Organizational.2</x:t>
        </x:is>
      </x:c>
      <x:c r="H29" s="5" t="n">
        <x:v>1</x:v>
      </x:c>
      <x:c r="I29" s="5" t="inlineStr">
        <x:is>
          <x:t xml:space="preserve">45 C.F.R. § 164.316(a)</x:t>
        </x:is>
      </x:c>
      <x:c r="J29" s="5" t="inlineStr">
        <x:is>
          <x:t xml:space="preserve">Policies and Procedures</x:t>
        </x:is>
      </x:c>
      <x:c r="K29" s="5" t="inlineStr">
        <x:is>
          <x:t xml:space="preserve">Implement reasonable and appropriate policies and procedures to comply with the Security Rule standards, implementation specifications, and other requirements.</x:t>
        </x:is>
      </x:c>
      <x:c r="L29" s="5" t="inlineStr">
        <x:is>
          <x:t xml:space="preserve">Standard</x:t>
        </x:is>
      </x:c>
      <x:c r="M29" s="5" t="inlineStr">
        <x:is>
          <x:t xml:space="preserve">Policies / Documentation</x:t>
        </x:is>
      </x:c>
      <x:c r="N29" s="28" t="inlineStr">
        <x:is>
          <x:t xml:space="preserve">https://www.ecfr.gov/current/title-45/subtitle-A/subchapter-C/part-164/section-164.316</x:t>
        </x:is>
      </x:c>
      <x:c r="O29" s="28" t="inlineStr">
        <x:is>
          <x:t xml:space="preserve">https://www.hhs.gov/sites/default/files/ocr/privacy/hipaa/administrative/securityrule/pprequirements.pdf</x:t>
        </x:is>
      </x:c>
      <x:c r="P29" s="5" t="inlineStr">
        <x:is>
          <x:t xml:space="preserve">Many:1</x:t>
        </x:is>
      </x:c>
      <x:c r="Q29" s="5" t="inlineStr">
        <x:is>
          <x:t xml:space="preserve">Best-fit (broad policy control)</x:t>
        </x:is>
      </x:c>
      <x:c r="R29" s="5" t="inlineStr">
        <x:is>
          <x:t xml:space="preserve">Internal control/action item is a general information-security policy repository rather than a single named HIPAA implementation specification; mapped to the Security Rule's policies/procedures and documentation requirements.</x:t>
        </x:is>
      </x:c>
      <x:c r="S29" s="5" t="inlineStr">
        <x:is>
          <x:t xml:space="preserve">Used as the umbrella HIPAA citation for documented security policies. This is broader than any single safeguard requirement.</x:t>
        </x:is>
      </x:c>
      <x:c r="T29" s="5" t="n"/>
    </x:row>
    <x:row r="30" ht="30" customHeight="1">
      <x:c r="A30" s="5" t="inlineStr">
        <x:is>
          <x:t xml:space="preserve">HITRUST e1.csv</x:t>
        </x:is>
      </x:c>
      <x:c r="B30" s="5" t="inlineStr">
        <x:is>
          <x:t xml:space="preserve">ER-56</x:t>
        </x:is>
      </x:c>
      <x:c r="C30" s="5" t="inlineStr">
        <x:is>
          <x:t xml:space="preserve">Operational</x:t>
        </x:is>
      </x:c>
      <x:c r="D30" s="5" t="inlineStr">
        <x:is>
          <x:t xml:space="preserve">Information Security Policy Repository</x:t>
        </x:is>
      </x:c>
      <x:c r="E30" s="5" t="inlineStr">
        <x:is>
          <x:t xml:space="preserve">REQ-1-HIPAA</x:t>
        </x:is>
      </x:c>
      <x:c r="F30" s="5" t="inlineStr">
        <x:is>
          <x:t xml:space="preserve">0113.04a1Organizational.2</x:t>
        </x:is>
      </x:c>
      <x:c r="G30" s="5" t="inlineStr">
        <x:is>
          <x:t xml:space="preserve">0113.04a1 Organizational.2</x:t>
        </x:is>
      </x:c>
      <x:c r="H30" s="5" t="n">
        <x:v>1</x:v>
      </x:c>
      <x:c r="I30" s="5" t="inlineStr">
        <x:is>
          <x:t xml:space="preserve">45 C.F.R. § 164.316(b)(1)</x:t>
        </x:is>
      </x:c>
      <x:c r="J30" s="5" t="inlineStr">
        <x:is>
          <x:t xml:space="preserve">Documentation</x:t>
        </x:is>
      </x:c>
      <x:c r="K30" s="5" t="inlineStr">
        <x:is>
          <x:t xml:space="preserve">Maintain written or electronic policies and procedures implemented to comply with the Security Rule and written or electronic records of required actions, activities, and assessments.</x:t>
        </x:is>
      </x:c>
      <x:c r="L30" s="5" t="inlineStr">
        <x:is>
          <x:t xml:space="preserve">Standard</x:t>
        </x:is>
      </x:c>
      <x:c r="M30" s="5" t="inlineStr">
        <x:is>
          <x:t xml:space="preserve">Policies / Documentation</x:t>
        </x:is>
      </x:c>
      <x:c r="N30" s="28" t="inlineStr">
        <x:is>
          <x:t xml:space="preserve">https://www.ecfr.gov/current/title-45/subtitle-A/subchapter-C/part-164/section-164.316</x:t>
        </x:is>
      </x:c>
      <x:c r="O30" s="28" t="inlineStr">
        <x:is>
          <x:t xml:space="preserve">https://www.hhs.gov/sites/default/files/ocr/privacy/hipaa/administrative/securityrule/pprequirements.pdf</x:t>
        </x:is>
      </x:c>
      <x:c r="P30" s="5" t="inlineStr">
        <x:is>
          <x:t xml:space="preserve">Many:1</x:t>
        </x:is>
      </x:c>
      <x:c r="Q30" s="5" t="inlineStr">
        <x:is>
          <x:t xml:space="preserve">Best-fit (broad policy control)</x:t>
        </x:is>
      </x:c>
      <x:c r="R30" s="5" t="inlineStr">
        <x:is>
          <x:t xml:space="preserve">Internal control/action item is a general information-security policy repository rather than a single named HIPAA implementation specification; mapped to the Security Rule's policies/procedures and documentation requirements.</x:t>
        </x:is>
      </x:c>
      <x:c r="S30" s="5" t="inlineStr">
        <x:is>
          <x:t xml:space="preserve">Used as the umbrella HIPAA citation for documented security policies. This is broader than any single safeguard requirement.</x:t>
        </x:is>
      </x:c>
      <x:c r="T30" s="5" t="n"/>
    </x:row>
    <x:row r="31" ht="30" customHeight="1">
      <x:c r="A31" s="5" t="inlineStr">
        <x:is>
          <x:t xml:space="preserve">HITRUST e1.csv</x:t>
        </x:is>
      </x:c>
      <x:c r="B31" s="5" t="inlineStr">
        <x:is>
          <x:t xml:space="preserve">ER-56</x:t>
        </x:is>
      </x:c>
      <x:c r="C31" s="5" t="inlineStr">
        <x:is>
          <x:t xml:space="preserve">Operational</x:t>
        </x:is>
      </x:c>
      <x:c r="D31" s="5" t="inlineStr">
        <x:is>
          <x:t xml:space="preserve">Information Security Policy Repository</x:t>
        </x:is>
      </x:c>
      <x:c r="E31" s="5" t="inlineStr">
        <x:is>
          <x:t xml:space="preserve">REQ-12-HIPAA</x:t>
        </x:is>
      </x:c>
      <x:c r="F31" s="5" t="inlineStr">
        <x:is>
          <x:t xml:space="preserve">0113.04a1Organizational.2</x:t>
        </x:is>
      </x:c>
      <x:c r="G31" s="5" t="inlineStr">
        <x:is>
          <x:t xml:space="preserve">0113.04a1 Organizational.2</x:t>
        </x:is>
      </x:c>
      <x:c r="H31" s="5" t="n">
        <x:v>1</x:v>
      </x:c>
      <x:c r="I31" s="5" t="inlineStr">
        <x:is>
          <x:t xml:space="preserve">45 C.F.R. § 164.308(a)(5)</x:t>
        </x:is>
      </x:c>
      <x:c r="J31" s="5" t="inlineStr">
        <x:is>
          <x:t xml:space="preserve">Security Awareness and Training</x:t>
        </x:is>
      </x:c>
      <x:c r="K31" s="5" t="inlineStr">
        <x:is>
          <x:t xml:space="preserve">Implement a security awareness and training program for all members of the workforce, including management.</x:t>
        </x:is>
      </x:c>
      <x:c r="L31" s="5" t="inlineStr">
        <x:is>
          <x:t xml:space="preserve">Standard</x:t>
        </x:is>
      </x:c>
      <x:c r="M31" s="5" t="inlineStr">
        <x:is>
          <x:t xml:space="preserve">Administrative Safeguards</x:t>
        </x:is>
      </x:c>
      <x:c r="N31" s="28" t="inlineStr">
        <x:is>
          <x:t xml:space="preserve">https://www.ecfr.gov/current/title-45/subtitle-A/subchapter-C/part-164/section-164.308</x:t>
        </x:is>
      </x:c>
      <x:c r="O31" s="28" t="inlineStr">
        <x:is>
          <x:t xml:space="preserve">https://www.hhs.gov/sites/default/files/ocr/privacy/hipaa/administrative/securityrule/adminsafeguards.pdf</x:t>
        </x:is>
      </x:c>
      <x:c r="P31" s="5" t="inlineStr">
        <x:is>
          <x:t xml:space="preserve">Many:1</x:t>
        </x:is>
      </x:c>
      <x:c r="Q31" s="5" t="inlineStr">
        <x:is>
          <x:t xml:space="preserve">Direct</x:t>
        </x:is>
      </x:c>
      <x:c r="R31" s="5" t="inlineStr">
        <x:is>
          <x:t xml:space="preserve">Action item and control context align to workforce security-awareness training for new hires.</x:t>
        </x:is>
      </x:c>
      <x:c r="S31" s="5" t="inlineStr">
        <x:is>
          <x:t xml:space="preserve">Mapped at the standard level because the spreadsheet does not break new-hire training into the more granular addressable sub-specifications.</x:t>
        </x:is>
      </x:c>
      <x:c r="T31" s="5" t="n"/>
    </x:row>
    <x:row r="32" ht="30" customHeight="1">
      <x:c r="A32" s="5" t="inlineStr">
        <x:is>
          <x:t xml:space="preserve">HITRUST e1.csv</x:t>
        </x:is>
      </x:c>
      <x:c r="B32" s="5" t="inlineStr">
        <x:is>
          <x:t xml:space="preserve">ER-56</x:t>
        </x:is>
      </x:c>
      <x:c r="C32" s="5" t="inlineStr">
        <x:is>
          <x:t xml:space="preserve">Operational</x:t>
        </x:is>
      </x:c>
      <x:c r="D32" s="5" t="inlineStr">
        <x:is>
          <x:t xml:space="preserve">Information Security Policy Repository</x:t>
        </x:is>
      </x:c>
      <x:c r="E32" s="5" t="inlineStr">
        <x:is>
          <x:t xml:space="preserve">REQ-13-HIPAA</x:t>
        </x:is>
      </x:c>
      <x:c r="F32" s="5" t="inlineStr">
        <x:is>
          <x:t xml:space="preserve">0113.04a1Organizational.2</x:t>
        </x:is>
      </x:c>
      <x:c r="G32" s="5" t="inlineStr">
        <x:is>
          <x:t xml:space="preserve">0113.04a1 Organizational.2</x:t>
        </x:is>
      </x:c>
      <x:c r="H32" s="5" t="n">
        <x:v>1</x:v>
      </x:c>
      <x:c r="I32" s="5" t="inlineStr">
        <x:is>
          <x:t xml:space="preserve">45 C.F.R. § 164.308(a)(5)</x:t>
        </x:is>
      </x:c>
      <x:c r="J32" s="5" t="inlineStr">
        <x:is>
          <x:t xml:space="preserve">Security Awareness and Training</x:t>
        </x:is>
      </x:c>
      <x:c r="K32" s="5" t="inlineStr">
        <x:is>
          <x:t xml:space="preserve">Implement a security awareness and training program for all members of the workforce, including management.</x:t>
        </x:is>
      </x:c>
      <x:c r="L32" s="5" t="inlineStr">
        <x:is>
          <x:t xml:space="preserve">Standard</x:t>
        </x:is>
      </x:c>
      <x:c r="M32" s="5" t="inlineStr">
        <x:is>
          <x:t xml:space="preserve">Administrative Safeguards</x:t>
        </x:is>
      </x:c>
      <x:c r="N32" s="28" t="inlineStr">
        <x:is>
          <x:t xml:space="preserve">https://www.ecfr.gov/current/title-45/subtitle-A/subchapter-C/part-164/section-164.308</x:t>
        </x:is>
      </x:c>
      <x:c r="O32" s="28" t="inlineStr">
        <x:is>
          <x:t xml:space="preserve">https://www.hhs.gov/sites/default/files/ocr/privacy/hipaa/administrative/securityrule/adminsafeguards.pdf</x:t>
        </x:is>
      </x:c>
      <x:c r="P32" s="5" t="inlineStr">
        <x:is>
          <x:t xml:space="preserve">Many:1</x:t>
        </x:is>
      </x:c>
      <x:c r="Q32" s="5" t="inlineStr">
        <x:is>
          <x:t xml:space="preserve">Direct</x:t>
        </x:is>
      </x:c>
      <x:c r="R32" s="5" t="inlineStr">
        <x:is>
          <x:t xml:space="preserve">Action item and control context align to ongoing/current-employee security-awareness training.</x:t>
        </x:is>
      </x:c>
      <x:c r="S32" s="5" t="inlineStr">
        <x:is>
          <x:t xml:space="preserve">Mapped at the standard level because the spreadsheet expresses periodic training broadly, not only reminders or phishing-specific sub-controls.</x:t>
        </x:is>
      </x:c>
      <x:c r="T32" s="5" t="n"/>
    </x:row>
    <x:row r="33" ht="30" customHeight="1">
      <x:c r="A33" s="5" t="inlineStr">
        <x:is>
          <x:t xml:space="preserve">HITRUST e1.csv</x:t>
        </x:is>
      </x:c>
      <x:c r="B33" s="5" t="inlineStr">
        <x:is>
          <x:t xml:space="preserve">ER-105</x:t>
        </x:is>
      </x:c>
      <x:c r="C33" s="5" t="inlineStr">
        <x:is>
          <x:t xml:space="preserve">Operational</x:t>
        </x:is>
      </x:c>
      <x:c r="D33" s="5" t="inlineStr">
        <x:is>
          <x:t xml:space="preserve">Risk Assessment</x:t>
        </x:is>
      </x:c>
      <x:c r="E33" s="5" t="inlineStr">
        <x:is>
          <x:t xml:space="preserve">REQ-17-HIPAA</x:t>
        </x:is>
      </x:c>
      <x:c r="F33" s="5" t="inlineStr">
        <x:is>
          <x:t xml:space="preserve">1704.03b1Organizational.12</x:t>
        </x:is>
      </x:c>
      <x:c r="G33" s="5" t="inlineStr">
        <x:is>
          <x:t xml:space="preserve">1704.03b1 Organizational.12</x:t>
        </x:is>
      </x:c>
      <x:c r="H33" s="5" t="n">
        <x:v>1</x:v>
      </x:c>
      <x:c r="I33" s="5" t="inlineStr">
        <x:is>
          <x:t xml:space="preserve">45 C.F.R. § 164.308(a)(1)(ii)(A)</x:t>
        </x:is>
      </x:c>
      <x:c r="J33" s="5" t="inlineStr">
        <x:is>
          <x:t xml:space="preserve">Security Management Process — Risk Analysis</x:t>
        </x:is>
      </x:c>
      <x:c r="K33" s="5" t="inlineStr">
        <x:is>
          <x:t xml:space="preserve">Conduct an accurate and thorough assessment of the potential risks and vulnerabilities to the confidentiality, integrity, and availability of ePHI.</x:t>
        </x:is>
      </x:c>
      <x:c r="L33" s="5" t="inlineStr">
        <x:is>
          <x:t xml:space="preserve">Required implementation specification</x:t>
        </x:is>
      </x:c>
      <x:c r="M33" s="5" t="inlineStr">
        <x:is>
          <x:t xml:space="preserve">Administrative Safeguards</x:t>
        </x:is>
      </x:c>
      <x:c r="N33" s="28" t="inlineStr">
        <x:is>
          <x:t xml:space="preserve">https://www.ecfr.gov/current/title-45/subtitle-A/subchapter-C/part-164/section-164.308</x:t>
        </x:is>
      </x:c>
      <x:c r="O33" s="28" t="inlineStr">
        <x:is>
          <x:t xml:space="preserve">https://www.hhs.gov/hipaa/for-professionals/security/guidance/guidance-risk-analysis/index.html</x:t>
        </x:is>
      </x:c>
      <x:c r="P33" s="5" t="inlineStr">
        <x:is>
          <x:t xml:space="preserve">Many:1</x:t>
        </x:is>
      </x:c>
      <x:c r="Q33" s="5" t="inlineStr">
        <x:is>
          <x:t xml:space="preserve">Direct</x:t>
        </x:is>
      </x:c>
      <x:c r="R33" s="5" t="inlineStr">
        <x:is>
          <x:t xml:space="preserve">Control context aligns to identifying risks and vulnerabilities to ePHI.</x:t>
        </x:is>
      </x:c>
      <x:c r="S33" s="5" t="inlineStr">
        <x:is>
          <x:t xml:space="preserve">Risk analysis is the most direct HIPAA citation for assessment-oriented rows.</x:t>
        </x:is>
      </x:c>
      <x:c r="T33" s="5" t="n"/>
    </x:row>
    <x:row r="34" ht="30" customHeight="1">
      <x:c r="A34" s="5" t="inlineStr">
        <x:is>
          <x:t xml:space="preserve">HITRUST e1.csv</x:t>
        </x:is>
      </x:c>
      <x:c r="B34" s="5" t="inlineStr">
        <x:is>
          <x:t xml:space="preserve">ER-105</x:t>
        </x:is>
      </x:c>
      <x:c r="C34" s="5" t="inlineStr">
        <x:is>
          <x:t xml:space="preserve">Operational</x:t>
        </x:is>
      </x:c>
      <x:c r="D34" s="5" t="inlineStr">
        <x:is>
          <x:t xml:space="preserve">Risk Assessment</x:t>
        </x:is>
      </x:c>
      <x:c r="E34" s="5" t="inlineStr">
        <x:is>
          <x:t xml:space="preserve">REQ-20-HIPAA</x:t>
        </x:is>
      </x:c>
      <x:c r="F34" s="5" t="inlineStr">
        <x:is>
          <x:t xml:space="preserve">1704.03b1Organizational.12</x:t>
        </x:is>
      </x:c>
      <x:c r="G34" s="5" t="inlineStr">
        <x:is>
          <x:t xml:space="preserve">1704.03b1 Organizational.12</x:t>
        </x:is>
      </x:c>
      <x:c r="H34" s="5" t="n">
        <x:v>1</x:v>
      </x:c>
      <x:c r="I34" s="5" t="inlineStr">
        <x:is>
          <x:t xml:space="preserve">45 C.F.R. § 164.308(a)(1)(ii)(B)</x:t>
        </x:is>
      </x:c>
      <x:c r="J34" s="5" t="inlineStr">
        <x:is>
          <x:t xml:space="preserve">Security Management Process — Risk Management</x:t>
        </x:is>
      </x:c>
      <x:c r="K34" s="5" t="inlineStr">
        <x:is>
          <x:t xml:space="preserve">Implement security measures sufficient to reduce identified risks and vulnerabilities to a reasonable and appropriate level.</x:t>
        </x:is>
      </x:c>
      <x:c r="L34" s="5" t="inlineStr">
        <x:is>
          <x:t xml:space="preserve">Required implementation specification</x:t>
        </x:is>
      </x:c>
      <x:c r="M34" s="5" t="inlineStr">
        <x:is>
          <x:t xml:space="preserve">Administrative Safeguards</x:t>
        </x:is>
      </x:c>
      <x:c r="N34" s="28" t="inlineStr">
        <x:is>
          <x:t xml:space="preserve">https://www.ecfr.gov/current/title-45/subtitle-A/subchapter-C/part-164/section-164.308</x:t>
        </x:is>
      </x:c>
      <x:c r="O34" s="28" t="inlineStr">
        <x:is>
          <x:t xml:space="preserve">https://www.hhs.gov/hipaa/for-professionals/security/guidance/guidance-risk-analysis/index.html</x:t>
        </x:is>
      </x:c>
      <x:c r="P34" s="5" t="inlineStr">
        <x:is>
          <x:t xml:space="preserve">Many:1</x:t>
        </x:is>
      </x:c>
      <x:c r="Q34" s="5" t="inlineStr">
        <x:is>
          <x:t xml:space="preserve">Direct</x:t>
        </x:is>
      </x:c>
      <x:c r="R34" s="5" t="inlineStr">
        <x:is>
          <x:t xml:space="preserve">Control context aligns to reducing identified risks and vulnerabilities to a reasonable and appropriate level.</x:t>
        </x:is>
      </x:c>
      <x:c r="S34" s="5" t="inlineStr">
        <x:is>
          <x:t xml:space="preserve">Used for policy and operational rows focused on treatment/mitigation of identified risks.</x:t>
        </x:is>
      </x:c>
      <x:c r="T34" s="5" t="n"/>
    </x:row>
    <x:row r="35" ht="30" customHeight="1">
      <x:c r="A35" s="5" t="inlineStr">
        <x:is>
          <x:t xml:space="preserve">HITRUST e1.csv</x:t>
        </x:is>
      </x:c>
      <x:c r="B35" s="5" t="inlineStr">
        <x:is>
          <x:t xml:space="preserve">ER-105</x:t>
        </x:is>
      </x:c>
      <x:c r="C35" s="5" t="inlineStr">
        <x:is>
          <x:t xml:space="preserve">Operational</x:t>
        </x:is>
      </x:c>
      <x:c r="D35" s="5" t="inlineStr">
        <x:is>
          <x:t xml:space="preserve">Risk Assessment</x:t>
        </x:is>
      </x:c>
      <x:c r="E35" s="5" t="inlineStr">
        <x:is>
          <x:t xml:space="preserve">REQ-110-HIPAA</x:t>
        </x:is>
      </x:c>
      <x:c r="F35" s="5" t="inlineStr">
        <x:is>
          <x:t xml:space="preserve">1704.03b1Organizational.12</x:t>
        </x:is>
      </x:c>
      <x:c r="G35" s="5" t="inlineStr">
        <x:is>
          <x:t xml:space="preserve">1704.03b1 Organizational.12</x:t>
        </x:is>
      </x:c>
      <x:c r="H35" s="5" t="n">
        <x:v>1</x:v>
      </x:c>
      <x:c r="I35" s="5" t="inlineStr">
        <x:is>
          <x:t xml:space="preserve">45 C.F.R. § 164.308(a)(1)(ii)(A)</x:t>
        </x:is>
      </x:c>
      <x:c r="J35" s="5" t="inlineStr">
        <x:is>
          <x:t xml:space="preserve">Security Management Process — Risk Analysis</x:t>
        </x:is>
      </x:c>
      <x:c r="K35" s="5" t="inlineStr">
        <x:is>
          <x:t xml:space="preserve">Conduct an accurate and thorough assessment of the potential risks and vulnerabilities to the confidentiality, integrity, and availability of ePHI.</x:t>
        </x:is>
      </x:c>
      <x:c r="L35" s="5" t="inlineStr">
        <x:is>
          <x:t xml:space="preserve">Required implementation specification</x:t>
        </x:is>
      </x:c>
      <x:c r="M35" s="5" t="inlineStr">
        <x:is>
          <x:t xml:space="preserve">Administrative Safeguards</x:t>
        </x:is>
      </x:c>
      <x:c r="N35" s="28" t="inlineStr">
        <x:is>
          <x:t xml:space="preserve">https://www.ecfr.gov/current/title-45/subtitle-A/subchapter-C/part-164/section-164.308</x:t>
        </x:is>
      </x:c>
      <x:c r="O35" s="28" t="inlineStr">
        <x:is>
          <x:t xml:space="preserve">https://www.hhs.gov/hipaa/for-professionals/security/guidance/guidance-risk-analysis/index.html</x:t>
        </x:is>
      </x:c>
      <x:c r="P35" s="5" t="inlineStr">
        <x:is>
          <x:t xml:space="preserve">Many:1</x:t>
        </x:is>
      </x:c>
      <x:c r="Q35" s="5" t="inlineStr">
        <x:is>
          <x:t xml:space="preserve">Best-fit</x:t>
        </x:is>
      </x:c>
      <x:c r="R35" s="5" t="inlineStr">
        <x:is>
          <x:t xml:space="preserve">The source spreadsheet only exposes an internal control ID on the Risk Assessment action item, so the closest authoritative HIPAA citation is Risk Analysis.</x:t>
        </x:is>
      </x:c>
      <x:c r="S35" s="5" t="inlineStr">
        <x:is>
          <x:t xml:space="preserve">Matched by action-item semantics because the internal control itself is not labeled with an official HIPAA section.</x:t>
        </x:is>
      </x:c>
      <x:c r="T35" s="5" t="n"/>
    </x:row>
    <x:row r="36" ht="30" customHeight="1">
      <x:c r="A36" s="5" t="inlineStr">
        <x:is>
          <x:t xml:space="preserve">HITRUST e1.csv</x:t>
        </x:is>
      </x:c>
      <x:c r="B36" s="5" t="inlineStr">
        <x:is>
          <x:t xml:space="preserve">ER-86</x:t>
        </x:is>
      </x:c>
      <x:c r="C36" s="5" t="inlineStr">
        <x:is>
          <x:t xml:space="preserve">Policy</x:t>
        </x:is>
      </x:c>
      <x:c r="D36" s="5" t="inlineStr">
        <x:is>
          <x:t xml:space="preserve">Access Control</x:t>
        </x:is>
      </x:c>
      <x:c r="E36" s="5" t="inlineStr">
        <x:is>
          <x:t xml:space="preserve">REQ-29-HIPAA</x:t>
        </x:is>
      </x:c>
      <x:c r="F36" s="5" t="inlineStr">
        <x:is>
          <x:t xml:space="preserve">11.01e1System.2</x:t>
        </x:is>
      </x:c>
      <x:c r="G36" s="5" t="inlineStr">
        <x:is>
          <x:t xml:space="preserve">11.01e1 System.2</x:t>
        </x:is>
      </x:c>
      <x:c r="H36" s="5" t="n">
        <x:v>1</x:v>
      </x:c>
      <x:c r="I36" s="5" t="inlineStr">
        <x:is>
          <x:t xml:space="preserve">45 C.F.R. § 164.308(a)(4)(ii)(C)</x:t>
        </x:is>
      </x:c>
      <x:c r="J36" s="5" t="inlineStr">
        <x:is>
          <x:t xml:space="preserve">Information Access Management — Access Establishment and Modification</x:t>
        </x:is>
      </x:c>
      <x:c r="K36" s="5" t="inlineStr">
        <x:is>
          <x:t xml:space="preserve">Implement policies and procedures to establish, document, review, and modify a user’s right of access to a workstation, transaction, program, or process.</x:t>
        </x:is>
      </x:c>
      <x:c r="L36" s="5" t="inlineStr">
        <x:is>
          <x:t xml:space="preserve">Addressable implementation specification</x:t>
        </x:is>
      </x:c>
      <x:c r="M36" s="5" t="inlineStr">
        <x:is>
          <x:t xml:space="preserve">Administrative Safeguards</x:t>
        </x:is>
      </x:c>
      <x:c r="N36" s="28" t="inlineStr">
        <x:is>
          <x:t xml:space="preserve">https://www.ecfr.gov/current/title-45/subtitle-A/subchapter-C/part-164/section-164.308</x:t>
        </x:is>
      </x:c>
      <x:c r="O36" s="28" t="inlineStr">
        <x:is>
          <x:t xml:space="preserve">https://www.hhs.gov/hipaa/for-professionals/compliance-enforcement/audit/protocol-edited/index.html</x:t>
        </x:is>
      </x:c>
      <x:c r="P36" s="5" t="inlineStr">
        <x:is>
          <x:t xml:space="preserve">Many:1</x:t>
        </x:is>
      </x:c>
      <x:c r="Q36" s="5" t="inlineStr">
        <x:is>
          <x:t xml:space="preserve">Direct</x:t>
        </x:is>
      </x:c>
      <x:c r="R36" s="5" t="inlineStr">
        <x:is>
          <x:t xml:space="preserve">Access-review documentation aligns directly to the requirement to establish, document, review, and modify user rights of access.</x:t>
        </x:is>
      </x:c>
      <x:c r="S36" s="5" t="inlineStr">
        <x:is>
          <x:t xml:space="preserve">Used for both access-review evidence and broader policy statements that emphasize periodic review/modification.</x:t>
        </x:is>
      </x:c>
      <x:c r="T36" s="5" t="inlineStr">
        <x:is>
          <x:t xml:space="preserve">45 CFR § 164.308(a)(4)(i) -&gt; 45 C.F.R. § 164.308(a)(4): Standard-level citation used in enhanced sheets because the underlying Thoropass control is general information-access management, not a health-care-clearinghouse-only function.</x:t>
        </x:is>
      </x:c>
    </x:row>
    <x:row r="37" ht="30" customHeight="1">
      <x:c r="A37" s="5" t="inlineStr">
        <x:is>
          <x:t xml:space="preserve">HITRUST e1.csv</x:t>
        </x:is>
      </x:c>
      <x:c r="B37" s="5" t="inlineStr">
        <x:is>
          <x:t xml:space="preserve">ER-86</x:t>
        </x:is>
      </x:c>
      <x:c r="C37" s="5" t="inlineStr">
        <x:is>
          <x:t xml:space="preserve">Policy</x:t>
        </x:is>
      </x:c>
      <x:c r="D37" s="5" t="inlineStr">
        <x:is>
          <x:t xml:space="preserve">Access Control</x:t>
        </x:is>
      </x:c>
      <x:c r="E37" s="5" t="inlineStr">
        <x:is>
          <x:t xml:space="preserve">REQ-24-HIPAA</x:t>
        </x:is>
      </x:c>
      <x:c r="F37" s="5" t="inlineStr">
        <x:is>
          <x:t xml:space="preserve">11.01e1System.2</x:t>
        </x:is>
      </x:c>
      <x:c r="G37" s="5" t="inlineStr">
        <x:is>
          <x:t xml:space="preserve">11.01e1 System.2</x:t>
        </x:is>
      </x:c>
      <x:c r="H37" s="5" t="n">
        <x:v>1</x:v>
      </x:c>
      <x:c r="I37" s="5" t="inlineStr">
        <x:is>
          <x:t xml:space="preserve">45 C.F.R. § 164.312(a)(1)</x:t>
        </x:is>
      </x:c>
      <x:c r="J37" s="5" t="inlineStr">
        <x:is>
          <x:t xml:space="preserve">Access Control</x:t>
        </x:is>
      </x:c>
      <x:c r="K37" s="5" t="inlineStr">
        <x:is>
          <x:t xml:space="preserve">Implement technical policies and procedures for electronic information systems that maintain ePHI to allow access only to persons or software programs with authorized access rights.</x:t>
        </x:is>
      </x:c>
      <x:c r="L37" s="5" t="inlineStr">
        <x:is>
          <x:t xml:space="preserve">Standard</x:t>
        </x:is>
      </x:c>
      <x:c r="M37" s="5" t="inlineStr">
        <x:is>
          <x:t xml:space="preserve">Technical Safeguards</x:t>
        </x:is>
      </x:c>
      <x:c r="N37" s="28" t="inlineStr">
        <x:is>
          <x:t xml:space="preserve">https://www.ecfr.gov/current/title-45/subtitle-A/subchapter-C/part-164/section-164.312</x:t>
        </x:is>
      </x:c>
      <x:c r="O37" s="28" t="inlineStr">
        <x:is>
          <x:t xml:space="preserve">https://www.hhs.gov/hipaa/for-professionals/compliance-enforcement/audit/protocol-edited/index.html</x:t>
        </x:is>
      </x:c>
      <x:c r="P37" s="5" t="inlineStr">
        <x:is>
          <x:t xml:space="preserve">Many:1</x:t>
        </x:is>
      </x:c>
      <x:c r="Q37" s="5" t="inlineStr">
        <x:is>
          <x:t xml:space="preserve">Composite</x:t>
        </x:is>
      </x:c>
      <x:c r="R37" s="5" t="inlineStr">
        <x:is>
          <x:t xml:space="preserve">Broad access-control policy control spans both the technical access-control standard and the administrative information-access-management standard.</x:t>
        </x:is>
      </x:c>
      <x:c r="S37" s="5" t="inlineStr">
        <x:is>
          <x:t xml:space="preserve">Used when the spreadsheet row is a general access-control policy without a narrower authorization/review/termination artifact.</x:t>
        </x:is>
      </x:c>
      <x:c r="T37" s="5" t="inlineStr">
        <x:is>
          <x:t xml:space="preserve">45 CFR § 164.308(a)(4)(i) -&gt; 45 C.F.R. § 164.308(a)(4): Standard-level citation used in enhanced sheets because the underlying Thoropass control is general information-access management, not a health-care-clearinghouse-only function.</x:t>
        </x:is>
      </x:c>
    </x:row>
    <x:row r="38" ht="30" customHeight="1">
      <x:c r="A38" s="5" t="inlineStr">
        <x:is>
          <x:t xml:space="preserve">HITRUST e1.csv</x:t>
        </x:is>
      </x:c>
      <x:c r="B38" s="5" t="inlineStr">
        <x:is>
          <x:t xml:space="preserve">ER-86</x:t>
        </x:is>
      </x:c>
      <x:c r="C38" s="5" t="inlineStr">
        <x:is>
          <x:t xml:space="preserve">Policy</x:t>
        </x:is>
      </x:c>
      <x:c r="D38" s="5" t="inlineStr">
        <x:is>
          <x:t xml:space="preserve">Access Control</x:t>
        </x:is>
      </x:c>
      <x:c r="E38" s="5" t="inlineStr">
        <x:is>
          <x:t xml:space="preserve">REQ-24-HIPAA</x:t>
        </x:is>
      </x:c>
      <x:c r="F38" s="5" t="inlineStr">
        <x:is>
          <x:t xml:space="preserve">11.01e1System.2</x:t>
        </x:is>
      </x:c>
      <x:c r="G38" s="5" t="inlineStr">
        <x:is>
          <x:t xml:space="preserve">11.01e1 System.2</x:t>
        </x:is>
      </x:c>
      <x:c r="H38" s="5" t="n">
        <x:v>1</x:v>
      </x:c>
      <x:c r="I38" s="5" t="inlineStr">
        <x:is>
          <x:t xml:space="preserve">45 C.F.R. § 164.308(a)(4)</x:t>
        </x:is>
      </x:c>
      <x:c r="J38" s="5" t="inlineStr">
        <x:is>
          <x:t xml:space="preserve">Information Access Management</x:t>
        </x:is>
      </x:c>
      <x:c r="K38" s="5" t="inlineStr">
        <x:is>
          <x:t xml:space="preserve">Implement policies and procedures for authorizing access to ePHI that are consistent with the applicable requirements of the HIPAA Privacy Rule.</x:t>
        </x:is>
      </x:c>
      <x:c r="L38" s="5" t="inlineStr">
        <x:is>
          <x:t xml:space="preserve">Standard</x:t>
        </x:is>
      </x:c>
      <x:c r="M38" s="5" t="inlineStr">
        <x:is>
          <x:t xml:space="preserve">Administrative Safeguards</x:t>
        </x:is>
      </x:c>
      <x:c r="N38" s="28" t="inlineStr">
        <x:is>
          <x:t xml:space="preserve">https://www.ecfr.gov/current/title-45/subtitle-A/subchapter-C/part-164/section-164.308</x:t>
        </x:is>
      </x:c>
      <x:c r="O38" s="28" t="inlineStr">
        <x:is>
          <x:t xml:space="preserve">https://www.hhs.gov/hipaa/for-professionals/compliance-enforcement/audit/protocol-edited/index.html</x:t>
        </x:is>
      </x:c>
      <x:c r="P38" s="5" t="inlineStr">
        <x:is>
          <x:t xml:space="preserve">Many:1</x:t>
        </x:is>
      </x:c>
      <x:c r="Q38" s="5" t="inlineStr">
        <x:is>
          <x:t xml:space="preserve">Composite</x:t>
        </x:is>
      </x:c>
      <x:c r="R38" s="5" t="inlineStr">
        <x:is>
          <x:t xml:space="preserve">Broad access-control policy control spans both the technical access-control standard and the administrative information-access-management standard.</x:t>
        </x:is>
      </x:c>
      <x:c r="S38" s="5" t="inlineStr">
        <x:is>
          <x:t xml:space="preserve">Used when the spreadsheet row is a general access-control policy without a narrower authorization/review/termination artifact.</x:t>
        </x:is>
      </x:c>
      <x:c r="T38" s="5" t="inlineStr">
        <x:is>
          <x:t xml:space="preserve">45 CFR § 164.308(a)(4)(i) -&gt; 45 C.F.R. § 164.308(a)(4): Standard-level citation used in enhanced sheets because the underlying Thoropass control is general information-access management, not a health-care-clearinghouse-only function.</x:t>
        </x:is>
      </x:c>
    </x:row>
    <x:row r="39" ht="30" customHeight="1">
      <x:c r="A39" s="5" t="inlineStr">
        <x:is>
          <x:t xml:space="preserve">HITRUST e1.csv</x:t>
        </x:is>
      </x:c>
      <x:c r="B39" s="5" t="inlineStr">
        <x:is>
          <x:t xml:space="preserve">ER-86</x:t>
        </x:is>
      </x:c>
      <x:c r="C39" s="5" t="inlineStr">
        <x:is>
          <x:t xml:space="preserve">Policy</x:t>
        </x:is>
      </x:c>
      <x:c r="D39" s="5" t="inlineStr">
        <x:is>
          <x:t xml:space="preserve">Access Control</x:t>
        </x:is>
      </x:c>
      <x:c r="E39" s="5" t="inlineStr">
        <x:is>
          <x:t xml:space="preserve">REQ-30-HIPAA</x:t>
        </x:is>
      </x:c>
      <x:c r="F39" s="5" t="inlineStr">
        <x:is>
          <x:t xml:space="preserve">11.01e1System.2</x:t>
        </x:is>
      </x:c>
      <x:c r="G39" s="5" t="inlineStr">
        <x:is>
          <x:t xml:space="preserve">11.01e1 System.2</x:t>
        </x:is>
      </x:c>
      <x:c r="H39" s="5" t="n">
        <x:v>1</x:v>
      </x:c>
      <x:c r="I39" s="5" t="inlineStr">
        <x:is>
          <x:t xml:space="preserve">45 C.F.R. § 164.308(a)(4)(ii)(B)</x:t>
        </x:is>
      </x:c>
      <x:c r="J39" s="5" t="inlineStr">
        <x:is>
          <x:t xml:space="preserve">Information Access Management — Access Authorization</x:t>
        </x:is>
      </x:c>
      <x:c r="K39" s="5" t="inlineStr">
        <x:is>
          <x:t xml:space="preserve">Implement policies and procedures for granting access to ePHI through appropriate mechanisms such as workstations, transactions, programs, or processes.</x:t>
        </x:is>
      </x:c>
      <x:c r="L39" s="5" t="inlineStr">
        <x:is>
          <x:t xml:space="preserve">Addressable implementation specification</x:t>
        </x:is>
      </x:c>
      <x:c r="M39" s="5" t="inlineStr">
        <x:is>
          <x:t xml:space="preserve">Administrative Safeguards</x:t>
        </x:is>
      </x:c>
      <x:c r="N39" s="28" t="inlineStr">
        <x:is>
          <x:t xml:space="preserve">https://www.ecfr.gov/current/title-45/subtitle-A/subchapter-C/part-164/section-164.308</x:t>
        </x:is>
      </x:c>
      <x:c r="O39" s="28" t="inlineStr">
        <x:is>
          <x:t xml:space="preserve">https://www.hhs.gov/hipaa/for-professionals/compliance-enforcement/audit/protocol-edited/index.html</x:t>
        </x:is>
      </x:c>
      <x:c r="P39" s="5" t="inlineStr">
        <x:is>
          <x:t xml:space="preserve">Many:1</x:t>
        </x:is>
      </x:c>
      <x:c r="Q39" s="5" t="inlineStr">
        <x:is>
          <x:t xml:space="preserve">Direct</x:t>
        </x:is>
      </x:c>
      <x:c r="R39" s="5" t="inlineStr">
        <x:is>
          <x:t xml:space="preserve">New-hire access request and approval evidence aligns directly to access authorization.</x:t>
        </x:is>
      </x:c>
      <x:c r="S39" s="5" t="inlineStr">
        <x:is>
          <x:t xml:space="preserve">Used for access-request forms/templates and access-control rows that center on approvals.</x:t>
        </x:is>
      </x:c>
      <x:c r="T39" s="5" t="inlineStr">
        <x:is>
          <x:t xml:space="preserve">45 CFR § 164.308(a)(4)(i) -&gt; 45 C.F.R. § 164.308(a)(4): Standard-level citation used in enhanced sheets because the underlying Thoropass control is general information-access management, not a health-care-clearinghouse-only function.</x:t>
        </x:is>
      </x:c>
    </x:row>
    <x:row r="40" ht="30" customHeight="1">
      <x:c r="A40" s="5" t="inlineStr">
        <x:is>
          <x:t xml:space="preserve">HITRUST e1.csv</x:t>
        </x:is>
      </x:c>
      <x:c r="B40" s="5" t="inlineStr">
        <x:is>
          <x:t xml:space="preserve">ER-86</x:t>
        </x:is>
      </x:c>
      <x:c r="C40" s="5" t="inlineStr">
        <x:is>
          <x:t xml:space="preserve">Policy</x:t>
        </x:is>
      </x:c>
      <x:c r="D40" s="5" t="inlineStr">
        <x:is>
          <x:t xml:space="preserve">Access Control</x:t>
        </x:is>
      </x:c>
      <x:c r="E40" s="5" t="inlineStr">
        <x:is>
          <x:t xml:space="preserve">REQ-31-HIPAA</x:t>
        </x:is>
      </x:c>
      <x:c r="F40" s="5" t="inlineStr">
        <x:is>
          <x:t xml:space="preserve">11.01e1System.2</x:t>
        </x:is>
      </x:c>
      <x:c r="G40" s="5" t="inlineStr">
        <x:is>
          <x:t xml:space="preserve">11.01e1 System.2</x:t>
        </x:is>
      </x:c>
      <x:c r="H40" s="5" t="n">
        <x:v>1</x:v>
      </x:c>
      <x:c r="I40" s="5" t="inlineStr">
        <x:is>
          <x:t xml:space="preserve">45 C.F.R. § 164.308(a)(3)(ii)(C)</x:t>
        </x:is>
      </x:c>
      <x:c r="J40" s="5" t="inlineStr">
        <x:is>
          <x:t xml:space="preserve">Workforce Security — Termination Procedures</x:t>
        </x:is>
      </x:c>
      <x:c r="K40" s="5" t="inlineStr">
        <x:is>
          <x:t xml:space="preserve">Implement procedures for terminating a workforce member’s access to ePHI when employment ends or when access should otherwise be removed.</x:t>
        </x:is>
      </x:c>
      <x:c r="L40" s="5" t="inlineStr">
        <x:is>
          <x:t xml:space="preserve">Addressable implementation specification</x:t>
        </x:is>
      </x:c>
      <x:c r="M40" s="5" t="inlineStr">
        <x:is>
          <x:t xml:space="preserve">Administrative Safeguards</x:t>
        </x:is>
      </x:c>
      <x:c r="N40" s="28" t="inlineStr">
        <x:is>
          <x:t xml:space="preserve">https://www.ecfr.gov/current/title-45/subtitle-A/subchapter-C/part-164/section-164.308</x:t>
        </x:is>
      </x:c>
      <x:c r="O40" s="28" t="inlineStr">
        <x:is>
          <x:t xml:space="preserve">https://www.hhs.gov/hipaa/for-professionals/security/guidance/cybersecurity-newsletter-summer-2019/index.html</x:t>
        </x:is>
      </x:c>
      <x:c r="P40" s="5" t="inlineStr">
        <x:is>
          <x:t xml:space="preserve">Many:1</x:t>
        </x:is>
      </x:c>
      <x:c r="Q40" s="5" t="inlineStr">
        <x:is>
          <x:t xml:space="preserve">Composite</x:t>
        </x:is>
      </x:c>
      <x:c r="R40" s="5" t="inlineStr">
        <x:is>
          <x:t xml:space="preserve">The same internal control appears within a general access-control policy row; termination remains the most likely HIPAA basis, with access-right modification as supporting context.</x:t>
        </x:is>
      </x:c>
      <x:c r="S40" s="5" t="inlineStr">
        <x:is>
          <x:t xml:space="preserve">Mapped conservatively because the internal control ID spans both termination evidence and access-control policy language.</x:t>
        </x:is>
      </x:c>
      <x:c r="T40" s="5" t="inlineStr">
        <x:is>
          <x:t xml:space="preserve">45 CFR § 164.308(a)(4)(i) -&gt; 45 C.F.R. § 164.308(a)(4): Standard-level citation used in enhanced sheets because the underlying Thoropass control is general information-access management, not a health-care-clearinghouse-only function.</x:t>
        </x:is>
      </x:c>
    </x:row>
    <x:row r="41" ht="30" customHeight="1">
      <x:c r="A41" s="5" t="inlineStr">
        <x:is>
          <x:t xml:space="preserve">HITRUST e1.csv</x:t>
        </x:is>
      </x:c>
      <x:c r="B41" s="5" t="inlineStr">
        <x:is>
          <x:t xml:space="preserve">ER-86</x:t>
        </x:is>
      </x:c>
      <x:c r="C41" s="5" t="inlineStr">
        <x:is>
          <x:t xml:space="preserve">Policy</x:t>
        </x:is>
      </x:c>
      <x:c r="D41" s="5" t="inlineStr">
        <x:is>
          <x:t xml:space="preserve">Access Control</x:t>
        </x:is>
      </x:c>
      <x:c r="E41" s="5" t="inlineStr">
        <x:is>
          <x:t xml:space="preserve">REQ-31-HIPAA</x:t>
        </x:is>
      </x:c>
      <x:c r="F41" s="5" t="inlineStr">
        <x:is>
          <x:t xml:space="preserve">11.01e1System.2</x:t>
        </x:is>
      </x:c>
      <x:c r="G41" s="5" t="inlineStr">
        <x:is>
          <x:t xml:space="preserve">11.01e1 System.2</x:t>
        </x:is>
      </x:c>
      <x:c r="H41" s="5" t="n">
        <x:v>1</x:v>
      </x:c>
      <x:c r="I41" s="5" t="inlineStr">
        <x:is>
          <x:t xml:space="preserve">45 C.F.R. § 164.308(a)(4)(ii)(C)</x:t>
        </x:is>
      </x:c>
      <x:c r="J41" s="5" t="inlineStr">
        <x:is>
          <x:t xml:space="preserve">Information Access Management — Access Establishment and Modification</x:t>
        </x:is>
      </x:c>
      <x:c r="K41" s="5" t="inlineStr">
        <x:is>
          <x:t xml:space="preserve">Implement policies and procedures to establish, document, review, and modify a user’s right of access to a workstation, transaction, program, or process.</x:t>
        </x:is>
      </x:c>
      <x:c r="L41" s="5" t="inlineStr">
        <x:is>
          <x:t xml:space="preserve">Addressable implementation specification</x:t>
        </x:is>
      </x:c>
      <x:c r="M41" s="5" t="inlineStr">
        <x:is>
          <x:t xml:space="preserve">Administrative Safeguards</x:t>
        </x:is>
      </x:c>
      <x:c r="N41" s="28" t="inlineStr">
        <x:is>
          <x:t xml:space="preserve">https://www.ecfr.gov/current/title-45/subtitle-A/subchapter-C/part-164/section-164.308</x:t>
        </x:is>
      </x:c>
      <x:c r="O41" s="28" t="inlineStr">
        <x:is>
          <x:t xml:space="preserve">https://www.hhs.gov/hipaa/for-professionals/compliance-enforcement/audit/protocol-edited/index.html</x:t>
        </x:is>
      </x:c>
      <x:c r="P41" s="5" t="inlineStr">
        <x:is>
          <x:t xml:space="preserve">Many:1</x:t>
        </x:is>
      </x:c>
      <x:c r="Q41" s="5" t="inlineStr">
        <x:is>
          <x:t xml:space="preserve">Composite</x:t>
        </x:is>
      </x:c>
      <x:c r="R41" s="5" t="inlineStr">
        <x:is>
          <x:t xml:space="preserve">The same internal control appears within a general access-control policy row; termination remains the most likely HIPAA basis, with access-right modification as supporting context.</x:t>
        </x:is>
      </x:c>
      <x:c r="S41" s="5" t="inlineStr">
        <x:is>
          <x:t xml:space="preserve">Mapped conservatively because the internal control ID spans both termination evidence and access-control policy language.</x:t>
        </x:is>
      </x:c>
      <x:c r="T41" s="5" t="inlineStr">
        <x:is>
          <x:t xml:space="preserve">45 CFR § 164.308(a)(4)(i) -&gt; 45 C.F.R. § 164.308(a)(4): Standard-level citation used in enhanced sheets because the underlying Thoropass control is general information-access management, not a health-care-clearinghouse-only function.</x:t>
        </x:is>
      </x:c>
    </x:row>
    <x:row r="42" ht="30" customHeight="1">
      <x:c r="A42" s="5" t="inlineStr">
        <x:is>
          <x:t xml:space="preserve">HITRUST e1.csv</x:t>
        </x:is>
      </x:c>
      <x:c r="B42" s="5" t="inlineStr">
        <x:is>
          <x:t xml:space="preserve">ER-115</x:t>
        </x:is>
      </x:c>
      <x:c r="C42" s="5" t="inlineStr">
        <x:is>
          <x:t xml:space="preserve">Policy</x:t>
        </x:is>
      </x:c>
      <x:c r="D42" s="5" t="inlineStr">
        <x:is>
          <x:t xml:space="preserve">Backups</x:t>
        </x:is>
      </x:c>
      <x:c r="E42" s="5" t="inlineStr">
        <x:is>
          <x:t xml:space="preserve">REQ-61-HIPAA</x:t>
        </x:is>
      </x:c>
      <x:c r="F42" s="5" t="inlineStr">
        <x:is>
          <x:t xml:space="preserve">1616.09l1Organizational.16</x:t>
        </x:is>
      </x:c>
      <x:c r="G42" s="5" t="inlineStr">
        <x:is>
          <x:t xml:space="preserve">1616.09l1 Organizational.16</x:t>
        </x:is>
      </x:c>
      <x:c r="H42" s="5" t="n">
        <x:v>1</x:v>
      </x:c>
      <x:c r="I42" s="5" t="inlineStr">
        <x:is>
          <x:t xml:space="preserve">45 C.F.R. § 164.308(a)(7)(ii)(A)</x:t>
        </x:is>
      </x:c>
      <x:c r="J42" s="5" t="inlineStr">
        <x:is>
          <x:t xml:space="preserve">Contingency Plan — Data Backup Plan</x:t>
        </x:is>
      </x:c>
      <x:c r="K42" s="5" t="inlineStr">
        <x:is>
          <x:t xml:space="preserve">Establish and implement procedures to create and maintain retrievable exact copies of ePHI.</x:t>
        </x:is>
      </x:c>
      <x:c r="L42" s="5" t="inlineStr">
        <x:is>
          <x:t xml:space="preserve">Required implementation specification</x:t>
        </x:is>
      </x:c>
      <x:c r="M42" s="5" t="inlineStr">
        <x:is>
          <x:t xml:space="preserve">Administrative Safeguards</x:t>
        </x:is>
      </x:c>
      <x:c r="N42" s="28" t="inlineStr">
        <x:is>
          <x:t xml:space="preserve">https://www.ecfr.gov/current/title-45/subtitle-A/subchapter-C/part-164/section-164.308</x:t>
        </x:is>
      </x:c>
      <x:c r="O42" s="28" t="inlineStr">
        <x:is>
          <x:t xml:space="preserve">https://www.hhs.gov/hipaa/for-professionals/security/guidance/cybersecurity/ransomware-fact-sheet/index.html</x:t>
        </x:is>
      </x:c>
      <x:c r="P42" s="5" t="inlineStr">
        <x:is>
          <x:t xml:space="preserve">Many:1</x:t>
        </x:is>
      </x:c>
      <x:c r="Q42" s="5" t="inlineStr">
        <x:is>
          <x:t xml:space="preserve">Composite</x:t>
        </x:is>
      </x:c>
      <x:c r="R42" s="5" t="inlineStr">
        <x:is>
          <x:t xml:space="preserve">This internal control appears on general backup-policy rows and explicit backup-test rows, so both backup-plan and test/revision citations are included.</x:t>
        </x:is>
      </x:c>
      <x:c r="S42" s="5" t="inlineStr">
        <x:is>
          <x:t xml:space="preserve">Broader than a single implementation specification because the source spreadsheet uses the same control across planning and testing evidence.</x:t>
        </x:is>
      </x:c>
      <x:c r="T42" s="5" t="n"/>
    </x:row>
    <x:row r="43" ht="30" customHeight="1">
      <x:c r="A43" s="5" t="inlineStr">
        <x:is>
          <x:t xml:space="preserve">HITRUST e1.csv</x:t>
        </x:is>
      </x:c>
      <x:c r="B43" s="5" t="inlineStr">
        <x:is>
          <x:t xml:space="preserve">ER-115</x:t>
        </x:is>
      </x:c>
      <x:c r="C43" s="5" t="inlineStr">
        <x:is>
          <x:t xml:space="preserve">Policy</x:t>
        </x:is>
      </x:c>
      <x:c r="D43" s="5" t="inlineStr">
        <x:is>
          <x:t xml:space="preserve">Backups</x:t>
        </x:is>
      </x:c>
      <x:c r="E43" s="5" t="inlineStr">
        <x:is>
          <x:t xml:space="preserve">REQ-61-HIPAA</x:t>
        </x:is>
      </x:c>
      <x:c r="F43" s="5" t="inlineStr">
        <x:is>
          <x:t xml:space="preserve">1616.09l1Organizational.16</x:t>
        </x:is>
      </x:c>
      <x:c r="G43" s="5" t="inlineStr">
        <x:is>
          <x:t xml:space="preserve">1616.09l1 Organizational.16</x:t>
        </x:is>
      </x:c>
      <x:c r="H43" s="5" t="n">
        <x:v>1</x:v>
      </x:c>
      <x:c r="I43" s="5" t="inlineStr">
        <x:is>
          <x:t xml:space="preserve">45 C.F.R. § 164.308(a)(7)(ii)(D)</x:t>
        </x:is>
      </x:c>
      <x:c r="J43" s="5" t="inlineStr">
        <x:is>
          <x:t xml:space="preserve">Contingency Plan — Applications and Data Criticality Analysis</x:t>
        </x:is>
      </x:c>
      <x:c r="K43" s="5" t="inlineStr">
        <x:is>
          <x:t xml:space="preserve">Assess the relative criticality of specific applications and data in support of contingency planning.</x:t>
        </x:is>
      </x:c>
      <x:c r="L43" s="5" t="inlineStr">
        <x:is>
          <x:t xml:space="preserve">Addressable implementation specification</x:t>
        </x:is>
      </x:c>
      <x:c r="M43" s="5" t="inlineStr">
        <x:is>
          <x:t xml:space="preserve">Administrative Safeguards</x:t>
        </x:is>
      </x:c>
      <x:c r="N43" s="28" t="inlineStr">
        <x:is>
          <x:t xml:space="preserve">https://www.ecfr.gov/current/title-45/subtitle-A/subchapter-C/part-164/section-164.308</x:t>
        </x:is>
      </x:c>
      <x:c r="O43" s="28" t="inlineStr">
        <x:is>
          <x:t xml:space="preserve">https://www.hhs.gov/hipaa/for-professionals/compliance-enforcement/audit/protocol-edited/index.html</x:t>
        </x:is>
      </x:c>
      <x:c r="P43" s="5" t="inlineStr">
        <x:is>
          <x:t xml:space="preserve">Many:1</x:t>
        </x:is>
      </x:c>
      <x:c r="Q43" s="5" t="inlineStr">
        <x:is>
          <x:t xml:space="preserve">Composite</x:t>
        </x:is>
      </x:c>
      <x:c r="R43" s="5" t="inlineStr">
        <x:is>
          <x:t xml:space="preserve">This internal control appears on general backup-policy rows and explicit backup-test rows, so both backup-plan and test/revision citations are included.</x:t>
        </x:is>
      </x:c>
      <x:c r="S43" s="5" t="inlineStr">
        <x:is>
          <x:t xml:space="preserve">Broader than a single implementation specification because the source spreadsheet uses the same control across planning and testing evidence.</x:t>
        </x:is>
      </x:c>
      <x:c r="T43" s="5" t="n"/>
    </x:row>
    <x:row r="44" ht="30" customHeight="1">
      <x:c r="A44" s="5" t="inlineStr">
        <x:is>
          <x:t xml:space="preserve">HITRUST e1.csv</x:t>
        </x:is>
      </x:c>
      <x:c r="B44" s="5" t="inlineStr">
        <x:is>
          <x:t xml:space="preserve">ER-115</x:t>
        </x:is>
      </x:c>
      <x:c r="C44" s="5" t="inlineStr">
        <x:is>
          <x:t xml:space="preserve">Policy</x:t>
        </x:is>
      </x:c>
      <x:c r="D44" s="5" t="inlineStr">
        <x:is>
          <x:t xml:space="preserve">Backups</x:t>
        </x:is>
      </x:c>
      <x:c r="E44" s="5" t="inlineStr">
        <x:is>
          <x:t xml:space="preserve">REQ-60-HIPAA</x:t>
        </x:is>
      </x:c>
      <x:c r="F44" s="5" t="inlineStr">
        <x:is>
          <x:t xml:space="preserve">1616.09l1Organizational.16</x:t>
        </x:is>
      </x:c>
      <x:c r="G44" s="5" t="inlineStr">
        <x:is>
          <x:t xml:space="preserve">1616.09l1 Organizational.16</x:t>
        </x:is>
      </x:c>
      <x:c r="H44" s="5" t="n">
        <x:v>1</x:v>
      </x:c>
      <x:c r="I44" s="5" t="inlineStr">
        <x:is>
          <x:t xml:space="preserve">45 C.F.R. § 164.308(a)(7)(ii)(A)</x:t>
        </x:is>
      </x:c>
      <x:c r="J44" s="5" t="inlineStr">
        <x:is>
          <x:t xml:space="preserve">Contingency Plan — Data Backup Plan</x:t>
        </x:is>
      </x:c>
      <x:c r="K44" s="5" t="inlineStr">
        <x:is>
          <x:t xml:space="preserve">Establish and implement procedures to create and maintain retrievable exact copies of ePHI.</x:t>
        </x:is>
      </x:c>
      <x:c r="L44" s="5" t="inlineStr">
        <x:is>
          <x:t xml:space="preserve">Required implementation specification</x:t>
        </x:is>
      </x:c>
      <x:c r="M44" s="5" t="inlineStr">
        <x:is>
          <x:t xml:space="preserve">Administrative Safeguards</x:t>
        </x:is>
      </x:c>
      <x:c r="N44" s="28" t="inlineStr">
        <x:is>
          <x:t xml:space="preserve">https://www.ecfr.gov/current/title-45/subtitle-A/subchapter-C/part-164/section-164.308</x:t>
        </x:is>
      </x:c>
      <x:c r="O44" s="28" t="inlineStr">
        <x:is>
          <x:t xml:space="preserve">https://www.hhs.gov/hipaa/for-professionals/security/guidance/cybersecurity/ransomware-fact-sheet/index.html</x:t>
        </x:is>
      </x:c>
      <x:c r="P44" s="5" t="inlineStr">
        <x:is>
          <x:t xml:space="preserve">Many:1</x:t>
        </x:is>
      </x:c>
      <x:c r="Q44" s="5" t="inlineStr">
        <x:is>
          <x:t xml:space="preserve">Direct</x:t>
        </x:is>
      </x:c>
      <x:c r="R44" s="5" t="inlineStr">
        <x:is>
          <x:t xml:space="preserve">Backup policy aligns directly to creation and maintenance of retrievable exact copies of ePHI.</x:t>
        </x:is>
      </x:c>
      <x:c r="S44" s="5" t="inlineStr">
        <x:is>
          <x:t xml:space="preserve">Used for backup-policy rows.</x:t>
        </x:is>
      </x:c>
      <x:c r="T44" s="5" t="n"/>
    </x:row>
    <x:row r="45" ht="30" customHeight="1">
      <x:c r="A45" s="5" t="inlineStr">
        <x:is>
          <x:t xml:space="preserve">HITRUST e1.csv</x:t>
        </x:is>
      </x:c>
      <x:c r="B45" s="5" t="inlineStr">
        <x:is>
          <x:t xml:space="preserve">ER-61</x:t>
        </x:is>
      </x:c>
      <x:c r="C45" s="5" t="inlineStr">
        <x:is>
          <x:t xml:space="preserve">Policy</x:t>
        </x:is>
      </x:c>
      <x:c r="D45" s="5" t="inlineStr">
        <x:is>
          <x:t xml:space="preserve">Change Management</x:t>
        </x:is>
      </x:c>
      <x:c r="E45" s="5" t="inlineStr">
        <x:is>
          <x:t xml:space="preserve">REQ-53-HIPAA</x:t>
        </x:is>
      </x:c>
      <x:c r="F45" s="5" t="inlineStr">
        <x:is>
          <x:t xml:space="preserve">06.09b1System.2, 1769.09i1System.12</x:t>
        </x:is>
      </x:c>
      <x:c r="G45" s="5" t="inlineStr">
        <x:is>
          <x:t xml:space="preserve">06.09b1 System.2, 1769.09i1 System.12</x:t>
        </x:is>
      </x:c>
      <x:c r="H45" s="5" t="n">
        <x:v>2</x:v>
      </x:c>
      <x:c r="I45" s="5" t="inlineStr">
        <x:is>
          <x:t xml:space="preserve">45 C.F.R. § 164.308(a)(8)</x:t>
        </x:is>
      </x:c>
      <x:c r="J45" s="5" t="inlineStr">
        <x:is>
          <x:t xml:space="preserve">Evaluation</x:t>
        </x:is>
      </x:c>
      <x:c r="K45" s="5" t="inlineStr">
        <x:is>
          <x:t xml:space="preserve">Perform periodic technical and nontechnical evaluations, and repeat them in response to environmental or operational changes affecting the security of ePHI.</x:t>
        </x:is>
      </x:c>
      <x:c r="L45" s="5" t="inlineStr">
        <x:is>
          <x:t xml:space="preserve">Required standard</x:t>
        </x:is>
      </x:c>
      <x:c r="M45" s="5" t="inlineStr">
        <x:is>
          <x:t xml:space="preserve">Administrative Safeguards</x:t>
        </x:is>
      </x:c>
      <x:c r="N45" s="28" t="inlineStr">
        <x:is>
          <x:t xml:space="preserve">https://www.ecfr.gov/current/title-45/subtitle-A/subchapter-C/part-164/section-164.308</x:t>
        </x:is>
      </x:c>
      <x:c r="O45" s="28" t="inlineStr">
        <x:is>
          <x:t xml:space="preserve">https://www.hhs.gov/ocr/privacy/hipaa/administrative/securityrule/index.html</x:t>
        </x:is>
      </x:c>
      <x:c r="P45" s="5" t="inlineStr">
        <x:is>
          <x:t xml:space="preserve">1:Many</x:t>
        </x:is>
      </x:c>
      <x:c r="Q45" s="5" t="inlineStr">
        <x:is>
          <x:t xml:space="preserve">Best-fit composite</x:t>
        </x:is>
      </x:c>
      <x:c r="R45" s="5" t="inlineStr">
        <x:is>
          <x:t xml:space="preserve">HIPAA does not expressly name change management, but OCR guidance links environmental/operational changes to ongoing evaluation, maintenance, and updating of security documentation.</x:t>
        </x:is>
      </x:c>
      <x:c r="S45" s="5" t="inlineStr">
        <x:is>
          <x:t xml:space="preserve">Used for the change-management policy row as the closest HIPAA analogue.</x:t>
        </x:is>
      </x:c>
      <x:c r="T45" s="5" t="n"/>
    </x:row>
    <x:row r="46" ht="30" customHeight="1">
      <x:c r="A46" s="5" t="inlineStr">
        <x:is>
          <x:t xml:space="preserve">HITRUST e1.csv</x:t>
        </x:is>
      </x:c>
      <x:c r="B46" s="5" t="inlineStr">
        <x:is>
          <x:t xml:space="preserve">ER-61</x:t>
        </x:is>
      </x:c>
      <x:c r="C46" s="5" t="inlineStr">
        <x:is>
          <x:t xml:space="preserve">Policy</x:t>
        </x:is>
      </x:c>
      <x:c r="D46" s="5" t="inlineStr">
        <x:is>
          <x:t xml:space="preserve">Change Management</x:t>
        </x:is>
      </x:c>
      <x:c r="E46" s="5" t="inlineStr">
        <x:is>
          <x:t xml:space="preserve">REQ-53-HIPAA</x:t>
        </x:is>
      </x:c>
      <x:c r="F46" s="5" t="inlineStr">
        <x:is>
          <x:t xml:space="preserve">06.09b1System.2, 1769.09i1System.12</x:t>
        </x:is>
      </x:c>
      <x:c r="G46" s="5" t="inlineStr">
        <x:is>
          <x:t xml:space="preserve">06.09b1 System.2, 1769.09i1 System.12</x:t>
        </x:is>
      </x:c>
      <x:c r="H46" s="5" t="n">
        <x:v>2</x:v>
      </x:c>
      <x:c r="I46" s="5" t="inlineStr">
        <x:is>
          <x:t xml:space="preserve">45 C.F.R. § 164.306(e)</x:t>
        </x:is>
      </x:c>
      <x:c r="J46" s="5" t="inlineStr">
        <x:is>
          <x:t xml:space="preserve">Maintenance</x:t>
        </x:is>
      </x:c>
      <x:c r="K46" s="5" t="inlineStr">
        <x:is>
          <x:t xml:space="preserve">Review and modify security measures as needed to continue providing reasonable and appropriate protection of ePHI, and update related documentation.</x:t>
        </x:is>
      </x:c>
      <x:c r="L46" s="5" t="inlineStr">
        <x:is>
          <x:t xml:space="preserve">Standard maintenance requirement</x:t>
        </x:is>
      </x:c>
      <x:c r="M46" s="5" t="inlineStr">
        <x:is>
          <x:t xml:space="preserve">General Rules</x:t>
        </x:is>
      </x:c>
      <x:c r="N46" s="28" t="inlineStr">
        <x:is>
          <x:t xml:space="preserve">https://www.ecfr.gov/current/title-45/subtitle-A/subchapter-C/part-164/section-164.306</x:t>
        </x:is>
      </x:c>
      <x:c r="O46" s="28" t="inlineStr">
        <x:is>
          <x:t xml:space="preserve">https://www.hhs.gov/sites/default/files/ocr/privacy/hipaa/administrative/combined/hipaa-simplification-201303.pdf</x:t>
        </x:is>
      </x:c>
      <x:c r="P46" s="5" t="inlineStr">
        <x:is>
          <x:t xml:space="preserve">1:Many</x:t>
        </x:is>
      </x:c>
      <x:c r="Q46" s="5" t="inlineStr">
        <x:is>
          <x:t xml:space="preserve">Best-fit composite</x:t>
        </x:is>
      </x:c>
      <x:c r="R46" s="5" t="inlineStr">
        <x:is>
          <x:t xml:space="preserve">HIPAA does not expressly name change management, but OCR guidance links environmental/operational changes to ongoing evaluation, maintenance, and updating of security documentation.</x:t>
        </x:is>
      </x:c>
      <x:c r="S46" s="5" t="inlineStr">
        <x:is>
          <x:t xml:space="preserve">Used for the change-management policy row as the closest HIPAA analogue.</x:t>
        </x:is>
      </x:c>
      <x:c r="T46" s="5" t="n"/>
    </x:row>
    <x:row r="47" ht="30" customHeight="1">
      <x:c r="A47" s="5" t="inlineStr">
        <x:is>
          <x:t xml:space="preserve">HITRUST e1.csv</x:t>
        </x:is>
      </x:c>
      <x:c r="B47" s="5" t="inlineStr">
        <x:is>
          <x:t xml:space="preserve">ER-61</x:t>
        </x:is>
      </x:c>
      <x:c r="C47" s="5" t="inlineStr">
        <x:is>
          <x:t xml:space="preserve">Policy</x:t>
        </x:is>
      </x:c>
      <x:c r="D47" s="5" t="inlineStr">
        <x:is>
          <x:t xml:space="preserve">Change Management</x:t>
        </x:is>
      </x:c>
      <x:c r="E47" s="5" t="inlineStr">
        <x:is>
          <x:t xml:space="preserve">REQ-53-HIPAA</x:t>
        </x:is>
      </x:c>
      <x:c r="F47" s="5" t="inlineStr">
        <x:is>
          <x:t xml:space="preserve">06.09b1System.2, 1769.09i1System.12</x:t>
        </x:is>
      </x:c>
      <x:c r="G47" s="5" t="inlineStr">
        <x:is>
          <x:t xml:space="preserve">06.09b1 System.2, 1769.09i1 System.12</x:t>
        </x:is>
      </x:c>
      <x:c r="H47" s="5" t="n">
        <x:v>2</x:v>
      </x:c>
      <x:c r="I47" s="5" t="inlineStr">
        <x:is>
          <x:t xml:space="preserve">45 C.F.R. § 164.316(b)(2)(iii)</x:t>
        </x:is>
      </x:c>
      <x:c r="J47" s="5" t="inlineStr">
        <x:is>
          <x:t xml:space="preserve">Documentation — Updates</x:t>
        </x:is>
      </x:c>
      <x:c r="K47" s="5" t="inlineStr">
        <x:is>
          <x:t xml:space="preserve">Review documentation periodically and update it as needed in response to environmental or operational changes affecting the security of ePHI.</x:t>
        </x:is>
      </x:c>
      <x:c r="L47" s="5" t="inlineStr">
        <x:is>
          <x:t xml:space="preserve">Required implementation specification</x:t>
        </x:is>
      </x:c>
      <x:c r="M47" s="5" t="inlineStr">
        <x:is>
          <x:t xml:space="preserve">Policies / Documentation</x:t>
        </x:is>
      </x:c>
      <x:c r="N47" s="28" t="inlineStr">
        <x:is>
          <x:t xml:space="preserve">https://www.ecfr.gov/current/title-45/subtitle-A/subchapter-C/part-164/section-164.316</x:t>
        </x:is>
      </x:c>
      <x:c r="O47" s="28" t="inlineStr">
        <x:is>
          <x:t xml:space="preserve">https://www.hhs.gov/sites/default/files/ocr/privacy/hipaa/administrative/combined/hipaa-simplification-201303.pdf</x:t>
        </x:is>
      </x:c>
      <x:c r="P47" s="5" t="inlineStr">
        <x:is>
          <x:t xml:space="preserve">1:Many</x:t>
        </x:is>
      </x:c>
      <x:c r="Q47" s="5" t="inlineStr">
        <x:is>
          <x:t xml:space="preserve">Best-fit composite</x:t>
        </x:is>
      </x:c>
      <x:c r="R47" s="5" t="inlineStr">
        <x:is>
          <x:t xml:space="preserve">HIPAA does not expressly name change management, but OCR guidance links environmental/operational changes to ongoing evaluation, maintenance, and updating of security documentation.</x:t>
        </x:is>
      </x:c>
      <x:c r="S47" s="5" t="inlineStr">
        <x:is>
          <x:t xml:space="preserve">Used for the change-management policy row as the closest HIPAA analogue.</x:t>
        </x:is>
      </x:c>
      <x:c r="T47" s="5" t="n"/>
    </x:row>
    <x:row r="48" ht="30" customHeight="1">
      <x:c r="A48" s="5" t="inlineStr">
        <x:is>
          <x:t xml:space="preserve">HITRUST e1.csv</x:t>
        </x:is>
      </x:c>
      <x:c r="B48" s="5" t="inlineStr">
        <x:is>
          <x:t xml:space="preserve">ER-108</x:t>
        </x:is>
      </x:c>
      <x:c r="C48" s="5" t="inlineStr">
        <x:is>
          <x:t xml:space="preserve">Policy</x:t>
        </x:is>
      </x:c>
      <x:c r="D48" s="5" t="inlineStr">
        <x:is>
          <x:t xml:space="preserve">Data Classification, Retention and Disposal</x:t>
        </x:is>
      </x:c>
      <x:c r="E48" s="5" t="inlineStr">
        <x:is>
          <x:t xml:space="preserve">REQ-32-HIPAA</x:t>
        </x:is>
      </x:c>
      <x:c r="F48" s="5" t="inlineStr">
        <x:is>
          <x:t xml:space="preserve">0305.09q1Organizational.12, 1239.09aa1System.4, 1616.09l1Organizational.16, 1767.07d1Organizational.2, 19142.06c1Organizational.8</x:t>
        </x:is>
      </x:c>
      <x:c r="G48" s="5" t="inlineStr">
        <x:is>
          <x:t xml:space="preserve">0305.09q1 Organizational.12, 1239.09aa1 System.4, 1616.09l1 Organizational.16, 1767.07d1 Organizational.2, 19142.06c1 Organizational.8</x:t>
        </x:is>
      </x:c>
      <x:c r="H48" s="5" t="n">
        <x:v>5</x:v>
      </x:c>
      <x:c r="I48" s="5" t="inlineStr">
        <x:is>
          <x:t xml:space="preserve">45 C.F.R. § 164.310(d)(2)(i)</x:t>
        </x:is>
      </x:c>
      <x:c r="J48" s="5" t="inlineStr">
        <x:is>
          <x:t xml:space="preserve">Device and Media Controls — Disposal</x:t>
        </x:is>
      </x:c>
      <x:c r="K48" s="5" t="inlineStr">
        <x:is>
          <x:t xml:space="preserve">Implement policies and procedures to address the final disposition of ePHI and the hardware or electronic media on which it is stored.</x:t>
        </x:is>
      </x:c>
      <x:c r="L48" s="5" t="inlineStr">
        <x:is>
          <x:t xml:space="preserve">Required implementation specification</x:t>
        </x:is>
      </x:c>
      <x:c r="M48" s="5" t="inlineStr">
        <x:is>
          <x:t xml:space="preserve">Physical Safeguards</x:t>
        </x:is>
      </x:c>
      <x:c r="N48" s="28" t="inlineStr">
        <x:is>
          <x:t xml:space="preserve">https://www.ecfr.gov/current/title-45/subtitle-A/subchapter-C/part-164/section-164.310</x:t>
        </x:is>
      </x:c>
      <x:c r="O48" s="28" t="inlineStr">
        <x:is>
          <x:t xml:space="preserve">https://www.hhs.gov/hipaa/for-professionals/faq/575/what-does-hipaa-require-of-covered-entities-when-they-dispose-information/index.html</x:t>
        </x:is>
      </x:c>
      <x:c r="P48" s="5" t="inlineStr">
        <x:is>
          <x:t xml:space="preserve">Many:Many</x:t>
        </x:is>
      </x:c>
      <x:c r="Q48" s="5" t="inlineStr">
        <x:is>
          <x:t xml:space="preserve">Best-fit</x:t>
        </x:is>
      </x:c>
      <x:c r="R48" s="5" t="inlineStr">
        <x:is>
          <x:t xml:space="preserve">The direct HIPAA overlap in this action item is final disposition/disposal; HIPAA does not explicitly name data classification or retention as standalone Security Rule specifications.</x:t>
        </x:is>
      </x:c>
      <x:c r="S48" s="5" t="inlineStr">
        <x:is>
          <x:t xml:space="preserve">Only the disposal portion of the action item maps directly to an express HIPAA implementation specification.</x:t>
        </x:is>
      </x:c>
      <x:c r="T48" s="5" t="n"/>
    </x:row>
    <x:row r="49" ht="30" customHeight="1">
      <x:c r="A49" s="5" t="inlineStr">
        <x:is>
          <x:t xml:space="preserve">HITRUST e1.csv</x:t>
        </x:is>
      </x:c>
      <x:c r="B49" s="5" t="inlineStr">
        <x:is>
          <x:t xml:space="preserve">ER-108</x:t>
        </x:is>
      </x:c>
      <x:c r="C49" s="5" t="inlineStr">
        <x:is>
          <x:t xml:space="preserve">Policy</x:t>
        </x:is>
      </x:c>
      <x:c r="D49" s="5" t="inlineStr">
        <x:is>
          <x:t xml:space="preserve">Data Classification, Retention and Disposal</x:t>
        </x:is>
      </x:c>
      <x:c r="E49" s="5" t="inlineStr">
        <x:is>
          <x:t xml:space="preserve">REQ-67-HIPAA</x:t>
        </x:is>
      </x:c>
      <x:c r="F49" s="5" t="inlineStr">
        <x:is>
          <x:t xml:space="preserve">0305.09q1Organizational.12, 1239.09aa1System.4, 1616.09l1Organizational.16, 1767.07d1Organizational.2, 19142.06c1Organizational.8</x:t>
        </x:is>
      </x:c>
      <x:c r="G49" s="5" t="inlineStr">
        <x:is>
          <x:t xml:space="preserve">0305.09q1 Organizational.12, 1239.09aa1 System.4, 1616.09l1 Organizational.16, 1767.07d1 Organizational.2, 19142.06c1 Organizational.8</x:t>
        </x:is>
      </x:c>
      <x:c r="H49" s="5" t="n">
        <x:v>5</x:v>
      </x:c>
      <x:c r="I49" s="5" t="inlineStr">
        <x:is>
          <x:t xml:space="preserve">45 C.F.R. § 164.310(d)(2)(i)</x:t>
        </x:is>
      </x:c>
      <x:c r="J49" s="5" t="inlineStr">
        <x:is>
          <x:t xml:space="preserve">Device and Media Controls — Disposal</x:t>
        </x:is>
      </x:c>
      <x:c r="K49" s="5" t="inlineStr">
        <x:is>
          <x:t xml:space="preserve">Implement policies and procedures to address the final disposition of ePHI and the hardware or electronic media on which it is stored.</x:t>
        </x:is>
      </x:c>
      <x:c r="L49" s="5" t="inlineStr">
        <x:is>
          <x:t xml:space="preserve">Required implementation specification</x:t>
        </x:is>
      </x:c>
      <x:c r="M49" s="5" t="inlineStr">
        <x:is>
          <x:t xml:space="preserve">Physical Safeguards</x:t>
        </x:is>
      </x:c>
      <x:c r="N49" s="28" t="inlineStr">
        <x:is>
          <x:t xml:space="preserve">https://www.ecfr.gov/current/title-45/subtitle-A/subchapter-C/part-164/section-164.310</x:t>
        </x:is>
      </x:c>
      <x:c r="O49" s="28" t="inlineStr">
        <x:is>
          <x:t xml:space="preserve">https://www.hhs.gov/hipaa/for-professionals/faq/575/what-does-hipaa-require-of-covered-entities-when-they-dispose-information/index.html</x:t>
        </x:is>
      </x:c>
      <x:c r="P49" s="5" t="inlineStr">
        <x:is>
          <x:t xml:space="preserve">Many:Many</x:t>
        </x:is>
      </x:c>
      <x:c r="Q49" s="5" t="inlineStr">
        <x:is>
          <x:t xml:space="preserve">Best-fit</x:t>
        </x:is>
      </x:c>
      <x:c r="R49" s="5" t="inlineStr">
        <x:is>
          <x:t xml:space="preserve">In this overlap set, the control appears through a data-retention/disposal action item, so disposal is the closest direct HIPAA citation.</x:t>
        </x:is>
      </x:c>
      <x:c r="S49" s="5" t="inlineStr">
        <x:is>
          <x:t xml:space="preserve">This same internal control also appears on customer-contract rows elsewhere in the uploaded spreadsheets, but that contractual context is not the shared action item here.</x:t>
        </x:is>
      </x:c>
      <x:c r="T49" s="5" t="n"/>
    </x:row>
    <x:row r="50" ht="30" customHeight="1">
      <x:c r="A50" s="5" t="inlineStr">
        <x:is>
          <x:t xml:space="preserve">HITRUST e1.csv</x:t>
        </x:is>
      </x:c>
      <x:c r="B50" s="5" t="inlineStr">
        <x:is>
          <x:t xml:space="preserve">ER-108</x:t>
        </x:is>
      </x:c>
      <x:c r="C50" s="5" t="inlineStr">
        <x:is>
          <x:t xml:space="preserve">Policy</x:t>
        </x:is>
      </x:c>
      <x:c r="D50" s="5" t="inlineStr">
        <x:is>
          <x:t xml:space="preserve">Data Classification, Retention and Disposal</x:t>
        </x:is>
      </x:c>
      <x:c r="E50" s="5" t="inlineStr">
        <x:is>
          <x:t xml:space="preserve">REQ-66-HIPAA</x:t>
        </x:is>
      </x:c>
      <x:c r="F50" s="5" t="inlineStr">
        <x:is>
          <x:t xml:space="preserve">0305.09q1Organizational.12, 1239.09aa1System.4, 1616.09l1Organizational.16, 1767.07d1Organizational.2, 19142.06c1Organizational.8</x:t>
        </x:is>
      </x:c>
      <x:c r="G50" s="5" t="inlineStr">
        <x:is>
          <x:t xml:space="preserve">0305.09q1 Organizational.12, 1239.09aa1 System.4, 1616.09l1 Organizational.16, 1767.07d1 Organizational.2, 19142.06c1 Organizational.8</x:t>
        </x:is>
      </x:c>
      <x:c r="H50" s="5" t="n">
        <x:v>5</x:v>
      </x:c>
      <x:c r="I50" s="5" t="inlineStr">
        <x:is>
          <x:t xml:space="preserve">45 C.F.R. § 164.310(d)(2)(ii)</x:t>
        </x:is>
      </x:c>
      <x:c r="J50" s="5" t="inlineStr">
        <x:is>
          <x:t xml:space="preserve">Device and Media Controls — Media Re-use</x:t>
        </x:is>
      </x:c>
      <x:c r="K50" s="5" t="inlineStr">
        <x:is>
          <x:t xml:space="preserve">Implement procedures for removing ePHI from electronic media before the media are made available for re-use.</x:t>
        </x:is>
      </x:c>
      <x:c r="L50" s="5" t="inlineStr">
        <x:is>
          <x:t xml:space="preserve">Required implementation specification</x:t>
        </x:is>
      </x:c>
      <x:c r="M50" s="5" t="inlineStr">
        <x:is>
          <x:t xml:space="preserve">Physical Safeguards</x:t>
        </x:is>
      </x:c>
      <x:c r="N50" s="28" t="inlineStr">
        <x:is>
          <x:t xml:space="preserve">https://www.ecfr.gov/current/title-45/subtitle-A/subchapter-C/part-164/section-164.310</x:t>
        </x:is>
      </x:c>
      <x:c r="O50" s="28" t="inlineStr">
        <x:is>
          <x:t xml:space="preserve">https://www.hhs.gov/hipaa/for-professionals/faq/575/what-does-hipaa-require-of-covered-entities-when-they-dispose-information/index.html</x:t>
        </x:is>
      </x:c>
      <x:c r="P50" s="5" t="inlineStr">
        <x:is>
          <x:t xml:space="preserve">Many:Many</x:t>
        </x:is>
      </x:c>
      <x:c r="Q50" s="5" t="inlineStr">
        <x:is>
          <x:t xml:space="preserve">Best-fit</x:t>
        </x:is>
      </x:c>
      <x:c r="R50" s="5" t="inlineStr">
        <x:is>
          <x:t xml:space="preserve">Within the data-retention/disposal action item, this internal control is best matched to sanitization/reuse of media; HIPAA does not separately name classification or retention.</x:t>
        </x:is>
      </x:c>
      <x:c r="S50" s="5" t="inlineStr">
        <x:is>
          <x:t xml:space="preserve">Only the media-reuse/sanitization aspect maps directly to an express HIPAA specification.</x:t>
        </x:is>
      </x:c>
      <x:c r="T50" s="5" t="n"/>
    </x:row>
    <x:row r="51" ht="30" customHeight="1">
      <x:c r="A51" s="5" t="inlineStr">
        <x:is>
          <x:t xml:space="preserve">HITRUST e1.csv</x:t>
        </x:is>
      </x:c>
      <x:c r="B51" s="5" t="inlineStr">
        <x:is>
          <x:t xml:space="preserve">ER-55</x:t>
        </x:is>
      </x:c>
      <x:c r="C51" s="5" t="inlineStr">
        <x:is>
          <x:t xml:space="preserve">Policy</x:t>
        </x:is>
      </x:c>
      <x:c r="D51" s="5" t="inlineStr">
        <x:is>
          <x:t xml:space="preserve">Incident Response</x:t>
        </x:is>
      </x:c>
      <x:c r="E51" s="5" t="inlineStr">
        <x:is>
          <x:t xml:space="preserve">REQ-48-HIPAA</x:t>
        </x:is>
      </x:c>
      <x:c r="F51" s="5" t="inlineStr">
        <x:is>
          <x:t xml:space="preserve">1561.11c1Organizational.4, 1589.11c1Organizational.5</x:t>
        </x:is>
      </x:c>
      <x:c r="G51" s="5" t="inlineStr">
        <x:is>
          <x:t xml:space="preserve">1561.11c1 Organizational.4, 1589.11c1 Organizational.5</x:t>
        </x:is>
      </x:c>
      <x:c r="H51" s="5" t="n">
        <x:v>2</x:v>
      </x:c>
      <x:c r="I51" s="5" t="inlineStr">
        <x:is>
          <x:t xml:space="preserve">45 C.F.R. § 164.308(a)(6)(i)</x:t>
        </x:is>
      </x:c>
      <x:c r="J51" s="5" t="inlineStr">
        <x:is>
          <x:t xml:space="preserve">Security Incident Procedures</x:t>
        </x:is>
      </x:c>
      <x:c r="K51" s="5" t="inlineStr">
        <x:is>
          <x:t xml:space="preserve">Implement policies and procedures to address security incidents.</x:t>
        </x:is>
      </x:c>
      <x:c r="L51" s="5" t="inlineStr">
        <x:is>
          <x:t xml:space="preserve">Standard</x:t>
        </x:is>
      </x:c>
      <x:c r="M51" s="5" t="inlineStr">
        <x:is>
          <x:t xml:space="preserve">Administrative Safeguards</x:t>
        </x:is>
      </x:c>
      <x:c r="N51" s="28" t="inlineStr">
        <x:is>
          <x:t xml:space="preserve">https://www.ecfr.gov/current/title-45/subtitle-A/subchapter-C/part-164/section-164.308</x:t>
        </x:is>
      </x:c>
      <x:c r="O51" s="28" t="inlineStr">
        <x:is>
          <x:t xml:space="preserve">https://www.hhs.gov/hipaa/for-professionals/faq/2002/what-does-the-security-rule-require-a-covered-entity-to-do-to-comply/index.html</x:t>
        </x:is>
      </x:c>
      <x:c r="P51" s="5" t="inlineStr">
        <x:is>
          <x:t xml:space="preserve">Many:Many</x:t>
        </x:is>
      </x:c>
      <x:c r="Q51" s="5" t="inlineStr">
        <x:is>
          <x:t xml:space="preserve">Direct</x:t>
        </x:is>
      </x:c>
      <x:c r="R51" s="5" t="inlineStr">
        <x:is>
          <x:t xml:space="preserve">Incident-response policy aligns directly to the Security Incident Procedures standard.</x:t>
        </x:is>
      </x:c>
      <x:c r="S51" s="5" t="inlineStr">
        <x:is>
          <x:t xml:space="preserve">Used for policy-level incident-response rows.</x:t>
        </x:is>
      </x:c>
      <x:c r="T51" s="5" t="n"/>
    </x:row>
    <x:row r="52" ht="30" customHeight="1">
      <x:c r="A52" s="5" t="inlineStr">
        <x:is>
          <x:t xml:space="preserve">HITRUST e1.csv</x:t>
        </x:is>
      </x:c>
      <x:c r="B52" s="5" t="inlineStr">
        <x:is>
          <x:t xml:space="preserve">ER-55</x:t>
        </x:is>
      </x:c>
      <x:c r="C52" s="5" t="inlineStr">
        <x:is>
          <x:t xml:space="preserve">Policy</x:t>
        </x:is>
      </x:c>
      <x:c r="D52" s="5" t="inlineStr">
        <x:is>
          <x:t xml:space="preserve">Incident Response</x:t>
        </x:is>
      </x:c>
      <x:c r="E52" s="5" t="inlineStr">
        <x:is>
          <x:t xml:space="preserve">REQ-49-HIPAA</x:t>
        </x:is>
      </x:c>
      <x:c r="F52" s="5" t="inlineStr">
        <x:is>
          <x:t xml:space="preserve">1561.11c1Organizational.4, 1589.11c1Organizational.5</x:t>
        </x:is>
      </x:c>
      <x:c r="G52" s="5" t="inlineStr">
        <x:is>
          <x:t xml:space="preserve">1561.11c1 Organizational.4, 1589.11c1 Organizational.5</x:t>
        </x:is>
      </x:c>
      <x:c r="H52" s="5" t="n">
        <x:v>2</x:v>
      </x:c>
      <x:c r="I52" s="5" t="inlineStr">
        <x:is>
          <x:t xml:space="preserve">45 C.F.R. § 164.308(a)(6)(ii)</x:t>
        </x:is>
      </x:c>
      <x:c r="J52" s="5" t="inlineStr">
        <x:is>
          <x:t xml:space="preserve">Security Incident Procedures — Response and Reporting</x:t>
        </x:is>
      </x:c>
      <x:c r="K52" s="5" t="inlineStr">
        <x:is>
          <x:t xml:space="preserve">Identify and respond to suspected or known security incidents, mitigate harmful effects to the extent practicable, and document incidents and outcomes.</x:t>
        </x:is>
      </x:c>
      <x:c r="L52" s="5" t="inlineStr">
        <x:is>
          <x:t xml:space="preserve">Required implementation specification</x:t>
        </x:is>
      </x:c>
      <x:c r="M52" s="5" t="inlineStr">
        <x:is>
          <x:t xml:space="preserve">Administrative Safeguards</x:t>
        </x:is>
      </x:c>
      <x:c r="N52" s="28" t="inlineStr">
        <x:is>
          <x:t xml:space="preserve">https://www.ecfr.gov/current/title-45/subtitle-A/subchapter-C/part-164/section-164.308</x:t>
        </x:is>
      </x:c>
      <x:c r="O52" s="28" t="inlineStr">
        <x:is>
          <x:t xml:space="preserve">https://www.hhs.gov/hipaa/for-professionals/faq/2002/what-does-the-security-rule-require-a-covered-entity-to-do-to-comply/index.html</x:t>
        </x:is>
      </x:c>
      <x:c r="P52" s="5" t="inlineStr">
        <x:is>
          <x:t xml:space="preserve">Many:Many</x:t>
        </x:is>
      </x:c>
      <x:c r="Q52" s="5" t="inlineStr">
        <x:is>
          <x:t xml:space="preserve">Direct</x:t>
        </x:is>
      </x:c>
      <x:c r="R52" s="5" t="inlineStr">
        <x:is>
          <x:t xml:space="preserve">This internal control best aligns to the response/reporting implementation specification under incident procedures.</x:t>
        </x:is>
      </x:c>
      <x:c r="S52" s="5" t="inlineStr">
        <x:is>
          <x:t xml:space="preserve">Used where the spreadsheet distinguishes the response/reporting component of incident handling.</x:t>
        </x:is>
      </x:c>
      <x:c r="T52" s="5" t="n"/>
    </x:row>
    <x:row r="53" ht="30" customHeight="1">
      <x:c r="A53" s="5" t="inlineStr">
        <x:is>
          <x:t xml:space="preserve">HITRUST e1.csv</x:t>
        </x:is>
      </x:c>
      <x:c r="B53" s="5" t="inlineStr">
        <x:is>
          <x:t xml:space="preserve">ER-57</x:t>
        </x:is>
      </x:c>
      <x:c r="C53" s="5" t="inlineStr">
        <x:is>
          <x:t xml:space="preserve">Policy</x:t>
        </x:is>
      </x:c>
      <x:c r="D53" s="5" t="inlineStr">
        <x:is>
          <x:t xml:space="preserve">Information Security</x:t>
        </x:is>
      </x:c>
      <x:c r="E53" s="5" t="inlineStr">
        <x:is>
          <x:t xml:space="preserve">REQ-1-HIPAA</x:t>
        </x:is>
      </x:c>
      <x:c r="F53" s="5" t="inlineStr">
        <x:is>
          <x:t xml:space="preserve">0113.04a1Organizational.2</x:t>
        </x:is>
      </x:c>
      <x:c r="G53" s="5" t="inlineStr">
        <x:is>
          <x:t xml:space="preserve">0113.04a1 Organizational.2</x:t>
        </x:is>
      </x:c>
      <x:c r="H53" s="5" t="n">
        <x:v>1</x:v>
      </x:c>
      <x:c r="I53" s="5" t="inlineStr">
        <x:is>
          <x:t xml:space="preserve">45 C.F.R. § 164.316(a)</x:t>
        </x:is>
      </x:c>
      <x:c r="J53" s="5" t="inlineStr">
        <x:is>
          <x:t xml:space="preserve">Policies and Procedures</x:t>
        </x:is>
      </x:c>
      <x:c r="K53" s="5" t="inlineStr">
        <x:is>
          <x:t xml:space="preserve">Implement reasonable and appropriate policies and procedures to comply with the Security Rule standards, implementation specifications, and other requirements.</x:t>
        </x:is>
      </x:c>
      <x:c r="L53" s="5" t="inlineStr">
        <x:is>
          <x:t xml:space="preserve">Standard</x:t>
        </x:is>
      </x:c>
      <x:c r="M53" s="5" t="inlineStr">
        <x:is>
          <x:t xml:space="preserve">Policies / Documentation</x:t>
        </x:is>
      </x:c>
      <x:c r="N53" s="28" t="inlineStr">
        <x:is>
          <x:t xml:space="preserve">https://www.ecfr.gov/current/title-45/subtitle-A/subchapter-C/part-164/section-164.316</x:t>
        </x:is>
      </x:c>
      <x:c r="O53" s="28" t="inlineStr">
        <x:is>
          <x:t xml:space="preserve">https://www.hhs.gov/sites/default/files/ocr/privacy/hipaa/administrative/securityrule/pprequirements.pdf</x:t>
        </x:is>
      </x:c>
      <x:c r="P53" s="5" t="inlineStr">
        <x:is>
          <x:t xml:space="preserve">Many:1</x:t>
        </x:is>
      </x:c>
      <x:c r="Q53" s="5" t="inlineStr">
        <x:is>
          <x:t xml:space="preserve">Best-fit (broad policy control)</x:t>
        </x:is>
      </x:c>
      <x:c r="R53" s="5" t="inlineStr">
        <x:is>
          <x:t xml:space="preserve">Internal control/action item is a general information-security policy repository rather than a single named HIPAA implementation specification; mapped to the Security Rule's policies/procedures and documentation requirements.</x:t>
        </x:is>
      </x:c>
      <x:c r="S53" s="5" t="inlineStr">
        <x:is>
          <x:t xml:space="preserve">Used as the umbrella HIPAA citation for documented security policies. This is broader than any single safeguard requirement.</x:t>
        </x:is>
      </x:c>
      <x:c r="T53" s="5" t="n"/>
    </x:row>
    <x:row r="54" ht="30" customHeight="1">
      <x:c r="A54" s="5" t="inlineStr">
        <x:is>
          <x:t xml:space="preserve">HITRUST e1.csv</x:t>
        </x:is>
      </x:c>
      <x:c r="B54" s="5" t="inlineStr">
        <x:is>
          <x:t xml:space="preserve">ER-57</x:t>
        </x:is>
      </x:c>
      <x:c r="C54" s="5" t="inlineStr">
        <x:is>
          <x:t xml:space="preserve">Policy</x:t>
        </x:is>
      </x:c>
      <x:c r="D54" s="5" t="inlineStr">
        <x:is>
          <x:t xml:space="preserve">Information Security</x:t>
        </x:is>
      </x:c>
      <x:c r="E54" s="5" t="inlineStr">
        <x:is>
          <x:t xml:space="preserve">REQ-1-HIPAA</x:t>
        </x:is>
      </x:c>
      <x:c r="F54" s="5" t="inlineStr">
        <x:is>
          <x:t xml:space="preserve">0113.04a1Organizational.2</x:t>
        </x:is>
      </x:c>
      <x:c r="G54" s="5" t="inlineStr">
        <x:is>
          <x:t xml:space="preserve">0113.04a1 Organizational.2</x:t>
        </x:is>
      </x:c>
      <x:c r="H54" s="5" t="n">
        <x:v>1</x:v>
      </x:c>
      <x:c r="I54" s="5" t="inlineStr">
        <x:is>
          <x:t xml:space="preserve">45 C.F.R. § 164.316(b)(1)</x:t>
        </x:is>
      </x:c>
      <x:c r="J54" s="5" t="inlineStr">
        <x:is>
          <x:t xml:space="preserve">Documentation</x:t>
        </x:is>
      </x:c>
      <x:c r="K54" s="5" t="inlineStr">
        <x:is>
          <x:t xml:space="preserve">Maintain written or electronic policies and procedures implemented to comply with the Security Rule and written or electronic records of required actions, activities, and assessments.</x:t>
        </x:is>
      </x:c>
      <x:c r="L54" s="5" t="inlineStr">
        <x:is>
          <x:t xml:space="preserve">Standard</x:t>
        </x:is>
      </x:c>
      <x:c r="M54" s="5" t="inlineStr">
        <x:is>
          <x:t xml:space="preserve">Policies / Documentation</x:t>
        </x:is>
      </x:c>
      <x:c r="N54" s="28" t="inlineStr">
        <x:is>
          <x:t xml:space="preserve">https://www.ecfr.gov/current/title-45/subtitle-A/subchapter-C/part-164/section-164.316</x:t>
        </x:is>
      </x:c>
      <x:c r="O54" s="28" t="inlineStr">
        <x:is>
          <x:t xml:space="preserve">https://www.hhs.gov/sites/default/files/ocr/privacy/hipaa/administrative/securityrule/pprequirements.pdf</x:t>
        </x:is>
      </x:c>
      <x:c r="P54" s="5" t="inlineStr">
        <x:is>
          <x:t xml:space="preserve">Many:1</x:t>
        </x:is>
      </x:c>
      <x:c r="Q54" s="5" t="inlineStr">
        <x:is>
          <x:t xml:space="preserve">Best-fit (broad policy control)</x:t>
        </x:is>
      </x:c>
      <x:c r="R54" s="5" t="inlineStr">
        <x:is>
          <x:t xml:space="preserve">Internal control/action item is a general information-security policy repository rather than a single named HIPAA implementation specification; mapped to the Security Rule's policies/procedures and documentation requirements.</x:t>
        </x:is>
      </x:c>
      <x:c r="S54" s="5" t="inlineStr">
        <x:is>
          <x:t xml:space="preserve">Used as the umbrella HIPAA citation for documented security policies. This is broader than any single safeguard requirement.</x:t>
        </x:is>
      </x:c>
      <x:c r="T54" s="5" t="n"/>
    </x:row>
    <x:row r="55" ht="30" customHeight="1">
      <x:c r="A55" s="5" t="inlineStr">
        <x:is>
          <x:t xml:space="preserve">HITRUST e1.csv</x:t>
        </x:is>
      </x:c>
      <x:c r="B55" s="5" t="inlineStr">
        <x:is>
          <x:t xml:space="preserve">ER-57</x:t>
        </x:is>
      </x:c>
      <x:c r="C55" s="5" t="inlineStr">
        <x:is>
          <x:t xml:space="preserve">Policy</x:t>
        </x:is>
      </x:c>
      <x:c r="D55" s="5" t="inlineStr">
        <x:is>
          <x:t xml:space="preserve">Information Security</x:t>
        </x:is>
      </x:c>
      <x:c r="E55" s="5" t="inlineStr">
        <x:is>
          <x:t xml:space="preserve">REQ-12-HIPAA</x:t>
        </x:is>
      </x:c>
      <x:c r="F55" s="5" t="inlineStr">
        <x:is>
          <x:t xml:space="preserve">0113.04a1Organizational.2</x:t>
        </x:is>
      </x:c>
      <x:c r="G55" s="5" t="inlineStr">
        <x:is>
          <x:t xml:space="preserve">0113.04a1 Organizational.2</x:t>
        </x:is>
      </x:c>
      <x:c r="H55" s="5" t="n">
        <x:v>1</x:v>
      </x:c>
      <x:c r="I55" s="5" t="inlineStr">
        <x:is>
          <x:t xml:space="preserve">45 C.F.R. § 164.308(a)(5)</x:t>
        </x:is>
      </x:c>
      <x:c r="J55" s="5" t="inlineStr">
        <x:is>
          <x:t xml:space="preserve">Security Awareness and Training</x:t>
        </x:is>
      </x:c>
      <x:c r="K55" s="5" t="inlineStr">
        <x:is>
          <x:t xml:space="preserve">Implement a security awareness and training program for all members of the workforce, including management.</x:t>
        </x:is>
      </x:c>
      <x:c r="L55" s="5" t="inlineStr">
        <x:is>
          <x:t xml:space="preserve">Standard</x:t>
        </x:is>
      </x:c>
      <x:c r="M55" s="5" t="inlineStr">
        <x:is>
          <x:t xml:space="preserve">Administrative Safeguards</x:t>
        </x:is>
      </x:c>
      <x:c r="N55" s="28" t="inlineStr">
        <x:is>
          <x:t xml:space="preserve">https://www.ecfr.gov/current/title-45/subtitle-A/subchapter-C/part-164/section-164.308</x:t>
        </x:is>
      </x:c>
      <x:c r="O55" s="28" t="inlineStr">
        <x:is>
          <x:t xml:space="preserve">https://www.hhs.gov/sites/default/files/ocr/privacy/hipaa/administrative/securityrule/adminsafeguards.pdf</x:t>
        </x:is>
      </x:c>
      <x:c r="P55" s="5" t="inlineStr">
        <x:is>
          <x:t xml:space="preserve">Many:1</x:t>
        </x:is>
      </x:c>
      <x:c r="Q55" s="5" t="inlineStr">
        <x:is>
          <x:t xml:space="preserve">Direct</x:t>
        </x:is>
      </x:c>
      <x:c r="R55" s="5" t="inlineStr">
        <x:is>
          <x:t xml:space="preserve">Action item and control context align to workforce security-awareness training for new hires.</x:t>
        </x:is>
      </x:c>
      <x:c r="S55" s="5" t="inlineStr">
        <x:is>
          <x:t xml:space="preserve">Mapped at the standard level because the spreadsheet does not break new-hire training into the more granular addressable sub-specifications.</x:t>
        </x:is>
      </x:c>
      <x:c r="T55" s="5" t="n"/>
    </x:row>
    <x:row r="56" ht="30" customHeight="1">
      <x:c r="A56" s="5" t="inlineStr">
        <x:is>
          <x:t xml:space="preserve">HITRUST e1.csv</x:t>
        </x:is>
      </x:c>
      <x:c r="B56" s="5" t="inlineStr">
        <x:is>
          <x:t xml:space="preserve">ER-57</x:t>
        </x:is>
      </x:c>
      <x:c r="C56" s="5" t="inlineStr">
        <x:is>
          <x:t xml:space="preserve">Policy</x:t>
        </x:is>
      </x:c>
      <x:c r="D56" s="5" t="inlineStr">
        <x:is>
          <x:t xml:space="preserve">Information Security</x:t>
        </x:is>
      </x:c>
      <x:c r="E56" s="5" t="inlineStr">
        <x:is>
          <x:t xml:space="preserve">REQ-13-HIPAA</x:t>
        </x:is>
      </x:c>
      <x:c r="F56" s="5" t="inlineStr">
        <x:is>
          <x:t xml:space="preserve">0113.04a1Organizational.2</x:t>
        </x:is>
      </x:c>
      <x:c r="G56" s="5" t="inlineStr">
        <x:is>
          <x:t xml:space="preserve">0113.04a1 Organizational.2</x:t>
        </x:is>
      </x:c>
      <x:c r="H56" s="5" t="n">
        <x:v>1</x:v>
      </x:c>
      <x:c r="I56" s="5" t="inlineStr">
        <x:is>
          <x:t xml:space="preserve">45 C.F.R. § 164.308(a)(5)</x:t>
        </x:is>
      </x:c>
      <x:c r="J56" s="5" t="inlineStr">
        <x:is>
          <x:t xml:space="preserve">Security Awareness and Training</x:t>
        </x:is>
      </x:c>
      <x:c r="K56" s="5" t="inlineStr">
        <x:is>
          <x:t xml:space="preserve">Implement a security awareness and training program for all members of the workforce, including management.</x:t>
        </x:is>
      </x:c>
      <x:c r="L56" s="5" t="inlineStr">
        <x:is>
          <x:t xml:space="preserve">Standard</x:t>
        </x:is>
      </x:c>
      <x:c r="M56" s="5" t="inlineStr">
        <x:is>
          <x:t xml:space="preserve">Administrative Safeguards</x:t>
        </x:is>
      </x:c>
      <x:c r="N56" s="28" t="inlineStr">
        <x:is>
          <x:t xml:space="preserve">https://www.ecfr.gov/current/title-45/subtitle-A/subchapter-C/part-164/section-164.308</x:t>
        </x:is>
      </x:c>
      <x:c r="O56" s="28" t="inlineStr">
        <x:is>
          <x:t xml:space="preserve">https://www.hhs.gov/sites/default/files/ocr/privacy/hipaa/administrative/securityrule/adminsafeguards.pdf</x:t>
        </x:is>
      </x:c>
      <x:c r="P56" s="5" t="inlineStr">
        <x:is>
          <x:t xml:space="preserve">Many:1</x:t>
        </x:is>
      </x:c>
      <x:c r="Q56" s="5" t="inlineStr">
        <x:is>
          <x:t xml:space="preserve">Direct</x:t>
        </x:is>
      </x:c>
      <x:c r="R56" s="5" t="inlineStr">
        <x:is>
          <x:t xml:space="preserve">Action item and control context align to ongoing/current-employee security-awareness training.</x:t>
        </x:is>
      </x:c>
      <x:c r="S56" s="5" t="inlineStr">
        <x:is>
          <x:t xml:space="preserve">Mapped at the standard level because the spreadsheet expresses periodic training broadly, not only reminders or phishing-specific sub-controls.</x:t>
        </x:is>
      </x:c>
      <x:c r="T56" s="5" t="n"/>
    </x:row>
    <x:row r="57" ht="30" customHeight="1">
      <x:c r="A57" s="5" t="inlineStr">
        <x:is>
          <x:t xml:space="preserve">HITRUST e1.csv</x:t>
        </x:is>
      </x:c>
      <x:c r="B57" s="5" t="inlineStr">
        <x:is>
          <x:t xml:space="preserve">ER-24</x:t>
        </x:is>
      </x:c>
      <x:c r="C57" s="5" t="inlineStr">
        <x:is>
          <x:t xml:space="preserve">Policy</x:t>
        </x:is>
      </x:c>
      <x:c r="D57" s="5" t="inlineStr">
        <x:is>
          <x:t xml:space="preserve">Password and Multi-Factor Authentication</x:t>
        </x:is>
      </x:c>
      <x:c r="E57" s="5" t="inlineStr">
        <x:is>
          <x:t xml:space="preserve">REQ-26-HIPAA</x:t>
        </x:is>
      </x:c>
      <x:c r="F57" s="5" t="inlineStr">
        <x:is>
          <x:t xml:space="preserve">10.01d1System.10, 11.01p1System.5</x:t>
        </x:is>
      </x:c>
      <x:c r="G57" s="5" t="inlineStr">
        <x:is>
          <x:t xml:space="preserve">10.01d1 System.10, 11.01p1 System.5</x:t>
        </x:is>
      </x:c>
      <x:c r="H57" s="5" t="n">
        <x:v>2</x:v>
      </x:c>
      <x:c r="I57" s="5" t="inlineStr">
        <x:is>
          <x:t xml:space="preserve">45 C.F.R. § 164.308(a)(5)(ii)(D)</x:t>
        </x:is>
      </x:c>
      <x:c r="J57" s="5" t="inlineStr">
        <x:is>
          <x:t xml:space="preserve">Security Awareness and Training — Password Management</x:t>
        </x:is>
      </x:c>
      <x:c r="K57" s="5" t="inlineStr">
        <x:is>
          <x:t xml:space="preserve">Implement procedures for creating, changing, and safeguarding passwords.</x:t>
        </x:is>
      </x:c>
      <x:c r="L57" s="5" t="inlineStr">
        <x:is>
          <x:t xml:space="preserve">Addressable implementation specification</x:t>
        </x:is>
      </x:c>
      <x:c r="M57" s="5" t="inlineStr">
        <x:is>
          <x:t xml:space="preserve">Administrative Safeguards</x:t>
        </x:is>
      </x:c>
      <x:c r="N57" s="28" t="inlineStr">
        <x:is>
          <x:t xml:space="preserve">https://www.ecfr.gov/current/title-45/subtitle-A/subchapter-C/part-164/section-164.308</x:t>
        </x:is>
      </x:c>
      <x:c r="O57" s="28" t="inlineStr">
        <x:is>
          <x:t xml:space="preserve">https://www.hhs.gov/sites/default/files/ocr/privacy/hipaa/administrative/securityrule/adminsafeguards.pdf</x:t>
        </x:is>
      </x:c>
      <x:c r="P57" s="5" t="inlineStr">
        <x:is>
          <x:t xml:space="preserve">1:Many</x:t>
        </x:is>
      </x:c>
      <x:c r="Q57" s="5" t="inlineStr">
        <x:is>
          <x:t xml:space="preserve">Composite</x:t>
        </x:is>
      </x:c>
      <x:c r="R57" s="5" t="inlineStr">
        <x:is>
          <x:t xml:space="preserve">Action item explicitly combines password controls with MFA, so both password management and authentication verification are cited.</x:t>
        </x:is>
      </x:c>
      <x:c r="S57" s="5" t="inlineStr">
        <x:is>
          <x:t xml:space="preserve">Covers password creation/change/safeguarding and MFA-style authentication evidence.</x:t>
        </x:is>
      </x:c>
      <x:c r="T57" s="5" t="n"/>
    </x:row>
    <x:row r="58" ht="30" customHeight="1">
      <x:c r="A58" s="5" t="inlineStr">
        <x:is>
          <x:t xml:space="preserve">HITRUST e1.csv</x:t>
        </x:is>
      </x:c>
      <x:c r="B58" s="5" t="inlineStr">
        <x:is>
          <x:t xml:space="preserve">ER-24</x:t>
        </x:is>
      </x:c>
      <x:c r="C58" s="5" t="inlineStr">
        <x:is>
          <x:t xml:space="preserve">Policy</x:t>
        </x:is>
      </x:c>
      <x:c r="D58" s="5" t="inlineStr">
        <x:is>
          <x:t xml:space="preserve">Password and Multi-Factor Authentication</x:t>
        </x:is>
      </x:c>
      <x:c r="E58" s="5" t="inlineStr">
        <x:is>
          <x:t xml:space="preserve">REQ-26-HIPAA</x:t>
        </x:is>
      </x:c>
      <x:c r="F58" s="5" t="inlineStr">
        <x:is>
          <x:t xml:space="preserve">10.01d1System.10, 11.01p1System.5</x:t>
        </x:is>
      </x:c>
      <x:c r="G58" s="5" t="inlineStr">
        <x:is>
          <x:t xml:space="preserve">10.01d1 System.10, 11.01p1 System.5</x:t>
        </x:is>
      </x:c>
      <x:c r="H58" s="5" t="n">
        <x:v>2</x:v>
      </x:c>
      <x:c r="I58" s="5" t="inlineStr">
        <x:is>
          <x:t xml:space="preserve">45 C.F.R. § 164.312(d)</x:t>
        </x:is>
      </x:c>
      <x:c r="J58" s="5" t="inlineStr">
        <x:is>
          <x:t xml:space="preserve">Person or Entity Authentication</x:t>
        </x:is>
      </x:c>
      <x:c r="K58" s="5" t="inlineStr">
        <x:is>
          <x:t xml:space="preserve">Implement procedures to verify that a person or entity seeking access to ePHI is the one claimed.</x:t>
        </x:is>
      </x:c>
      <x:c r="L58" s="5" t="inlineStr">
        <x:is>
          <x:t xml:space="preserve">Required standard</x:t>
        </x:is>
      </x:c>
      <x:c r="M58" s="5" t="inlineStr">
        <x:is>
          <x:t xml:space="preserve">Technical Safeguards</x:t>
        </x:is>
      </x:c>
      <x:c r="N58" s="28" t="inlineStr">
        <x:is>
          <x:t xml:space="preserve">https://www.ecfr.gov/current/title-45/subtitle-A/subchapter-C/part-164/section-164.312</x:t>
        </x:is>
      </x:c>
      <x:c r="O58" s="28" t="inlineStr">
        <x:is>
          <x:t xml:space="preserve">https://www.hhs.gov/hipaa/for-professionals/compliance-enforcement/audit/protocol-edited/index.html</x:t>
        </x:is>
      </x:c>
      <x:c r="P58" s="5" t="inlineStr">
        <x:is>
          <x:t xml:space="preserve">1:Many</x:t>
        </x:is>
      </x:c>
      <x:c r="Q58" s="5" t="inlineStr">
        <x:is>
          <x:t xml:space="preserve">Composite</x:t>
        </x:is>
      </x:c>
      <x:c r="R58" s="5" t="inlineStr">
        <x:is>
          <x:t xml:space="preserve">Action item explicitly combines password controls with MFA, so both password management and authentication verification are cited.</x:t>
        </x:is>
      </x:c>
      <x:c r="S58" s="5" t="inlineStr">
        <x:is>
          <x:t xml:space="preserve">Covers password creation/change/safeguarding and MFA-style authentication evidence.</x:t>
        </x:is>
      </x:c>
      <x:c r="T58" s="5" t="n"/>
    </x:row>
    <x:row r="59" ht="30" customHeight="1">
      <x:c r="A59" s="5" t="inlineStr">
        <x:is>
          <x:t xml:space="preserve">HITRUST e1.csv</x:t>
        </x:is>
      </x:c>
      <x:c r="B59" s="5" t="inlineStr">
        <x:is>
          <x:t xml:space="preserve">ER-41</x:t>
        </x:is>
      </x:c>
      <x:c r="C59" s="5" t="inlineStr">
        <x:is>
          <x:t xml:space="preserve">Policy</x:t>
        </x:is>
      </x:c>
      <x:c r="D59" s="5" t="inlineStr">
        <x:is>
          <x:t xml:space="preserve">Risk Management</x:t>
        </x:is>
      </x:c>
      <x:c r="E59" s="5" t="inlineStr">
        <x:is>
          <x:t xml:space="preserve">REQ-17-HIPAA</x:t>
        </x:is>
      </x:c>
      <x:c r="F59" s="5" t="inlineStr">
        <x:is>
          <x:t xml:space="preserve">1701.03a1Organizational.12345678, 1704.03b1Organizational.12</x:t>
        </x:is>
      </x:c>
      <x:c r="G59" s="5" t="inlineStr">
        <x:is>
          <x:t xml:space="preserve">1701.03a1 Organizational.12345678, 1704.03b1 Organizational.12</x:t>
        </x:is>
      </x:c>
      <x:c r="H59" s="5" t="n">
        <x:v>2</x:v>
      </x:c>
      <x:c r="I59" s="5" t="inlineStr">
        <x:is>
          <x:t xml:space="preserve">45 C.F.R. § 164.308(a)(1)(ii)(A)</x:t>
        </x:is>
      </x:c>
      <x:c r="J59" s="5" t="inlineStr">
        <x:is>
          <x:t xml:space="preserve">Security Management Process — Risk Analysis</x:t>
        </x:is>
      </x:c>
      <x:c r="K59" s="5" t="inlineStr">
        <x:is>
          <x:t xml:space="preserve">Conduct an accurate and thorough assessment of the potential risks and vulnerabilities to the confidentiality, integrity, and availability of ePHI.</x:t>
        </x:is>
      </x:c>
      <x:c r="L59" s="5" t="inlineStr">
        <x:is>
          <x:t xml:space="preserve">Required implementation specification</x:t>
        </x:is>
      </x:c>
      <x:c r="M59" s="5" t="inlineStr">
        <x:is>
          <x:t xml:space="preserve">Administrative Safeguards</x:t>
        </x:is>
      </x:c>
      <x:c r="N59" s="28" t="inlineStr">
        <x:is>
          <x:t xml:space="preserve">https://www.ecfr.gov/current/title-45/subtitle-A/subchapter-C/part-164/section-164.308</x:t>
        </x:is>
      </x:c>
      <x:c r="O59" s="28" t="inlineStr">
        <x:is>
          <x:t xml:space="preserve">https://www.hhs.gov/hipaa/for-professionals/security/guidance/guidance-risk-analysis/index.html</x:t>
        </x:is>
      </x:c>
      <x:c r="P59" s="5" t="inlineStr">
        <x:is>
          <x:t xml:space="preserve">Many:Many</x:t>
        </x:is>
      </x:c>
      <x:c r="Q59" s="5" t="inlineStr">
        <x:is>
          <x:t xml:space="preserve">Direct</x:t>
        </x:is>
      </x:c>
      <x:c r="R59" s="5" t="inlineStr">
        <x:is>
          <x:t xml:space="preserve">Control context aligns to identifying risks and vulnerabilities to ePHI.</x:t>
        </x:is>
      </x:c>
      <x:c r="S59" s="5" t="inlineStr">
        <x:is>
          <x:t xml:space="preserve">Risk analysis is the most direct HIPAA citation for assessment-oriented rows.</x:t>
        </x:is>
      </x:c>
      <x:c r="T59" s="5" t="n"/>
    </x:row>
    <x:row r="60" ht="30" customHeight="1">
      <x:c r="A60" s="5" t="inlineStr">
        <x:is>
          <x:t xml:space="preserve">HITRUST e1.csv</x:t>
        </x:is>
      </x:c>
      <x:c r="B60" s="5" t="inlineStr">
        <x:is>
          <x:t xml:space="preserve">ER-41</x:t>
        </x:is>
      </x:c>
      <x:c r="C60" s="5" t="inlineStr">
        <x:is>
          <x:t xml:space="preserve">Policy</x:t>
        </x:is>
      </x:c>
      <x:c r="D60" s="5" t="inlineStr">
        <x:is>
          <x:t xml:space="preserve">Risk Management</x:t>
        </x:is>
      </x:c>
      <x:c r="E60" s="5" t="inlineStr">
        <x:is>
          <x:t xml:space="preserve">REQ-20-HIPAA</x:t>
        </x:is>
      </x:c>
      <x:c r="F60" s="5" t="inlineStr">
        <x:is>
          <x:t xml:space="preserve">1701.03a1Organizational.12345678, 1704.03b1Organizational.12</x:t>
        </x:is>
      </x:c>
      <x:c r="G60" s="5" t="inlineStr">
        <x:is>
          <x:t xml:space="preserve">1701.03a1 Organizational.12345678, 1704.03b1 Organizational.12</x:t>
        </x:is>
      </x:c>
      <x:c r="H60" s="5" t="n">
        <x:v>2</x:v>
      </x:c>
      <x:c r="I60" s="5" t="inlineStr">
        <x:is>
          <x:t xml:space="preserve">45 C.F.R. § 164.308(a)(1)(ii)(B)</x:t>
        </x:is>
      </x:c>
      <x:c r="J60" s="5" t="inlineStr">
        <x:is>
          <x:t xml:space="preserve">Security Management Process — Risk Management</x:t>
        </x:is>
      </x:c>
      <x:c r="K60" s="5" t="inlineStr">
        <x:is>
          <x:t xml:space="preserve">Implement security measures sufficient to reduce identified risks and vulnerabilities to a reasonable and appropriate level.</x:t>
        </x:is>
      </x:c>
      <x:c r="L60" s="5" t="inlineStr">
        <x:is>
          <x:t xml:space="preserve">Required implementation specification</x:t>
        </x:is>
      </x:c>
      <x:c r="M60" s="5" t="inlineStr">
        <x:is>
          <x:t xml:space="preserve">Administrative Safeguards</x:t>
        </x:is>
      </x:c>
      <x:c r="N60" s="28" t="inlineStr">
        <x:is>
          <x:t xml:space="preserve">https://www.ecfr.gov/current/title-45/subtitle-A/subchapter-C/part-164/section-164.308</x:t>
        </x:is>
      </x:c>
      <x:c r="O60" s="28" t="inlineStr">
        <x:is>
          <x:t xml:space="preserve">https://www.hhs.gov/hipaa/for-professionals/security/guidance/guidance-risk-analysis/index.html</x:t>
        </x:is>
      </x:c>
      <x:c r="P60" s="5" t="inlineStr">
        <x:is>
          <x:t xml:space="preserve">Many:Many</x:t>
        </x:is>
      </x:c>
      <x:c r="Q60" s="5" t="inlineStr">
        <x:is>
          <x:t xml:space="preserve">Direct</x:t>
        </x:is>
      </x:c>
      <x:c r="R60" s="5" t="inlineStr">
        <x:is>
          <x:t xml:space="preserve">Control context aligns to reducing identified risks and vulnerabilities to a reasonable and appropriate level.</x:t>
        </x:is>
      </x:c>
      <x:c r="S60" s="5" t="inlineStr">
        <x:is>
          <x:t xml:space="preserve">Used for policy and operational rows focused on treatment/mitigation of identified risks.</x:t>
        </x:is>
      </x:c>
      <x:c r="T60" s="5" t="n"/>
    </x:row>
    <x:row r="61" ht="30" customHeight="1">
      <x:c r="A61" s="5" t="inlineStr">
        <x:is>
          <x:t xml:space="preserve">HITRUST e1.csv</x:t>
        </x:is>
      </x:c>
      <x:c r="B61" s="5" t="inlineStr">
        <x:is>
          <x:t xml:space="preserve">ER-141</x:t>
        </x:is>
      </x:c>
      <x:c r="C61" s="5" t="inlineStr">
        <x:is>
          <x:t xml:space="preserve">Population</x:t>
        </x:is>
      </x:c>
      <x:c r="D61" s="5" t="inlineStr">
        <x:is>
          <x:t xml:space="preserve">All Incidents Identified During the Review Period [INSERT EXAM PERIOD]</x:t>
        </x:is>
      </x:c>
      <x:c r="E61" s="5" t="inlineStr">
        <x:is>
          <x:t xml:space="preserve">REQ-50-HIPAA</x:t>
        </x:is>
      </x:c>
      <x:c r="F61" s="5" t="inlineStr">
        <x:is>
          <x:t xml:space="preserve">1561.11c1Organizational.4</x:t>
        </x:is>
      </x:c>
      <x:c r="G61" s="5" t="inlineStr">
        <x:is>
          <x:t xml:space="preserve">1561.11c1 Organizational.4</x:t>
        </x:is>
      </x:c>
      <x:c r="H61" s="5" t="n">
        <x:v>1</x:v>
      </x:c>
      <x:c r="I61" s="5" t="inlineStr">
        <x:is>
          <x:t xml:space="preserve">45 C.F.R. § 164.308(a)(6)(ii)</x:t>
        </x:is>
      </x:c>
      <x:c r="J61" s="5" t="inlineStr">
        <x:is>
          <x:t xml:space="preserve">Security Incident Procedures — Response and Reporting</x:t>
        </x:is>
      </x:c>
      <x:c r="K61" s="5" t="inlineStr">
        <x:is>
          <x:t xml:space="preserve">Identify and respond to suspected or known security incidents, mitigate harmful effects to the extent practicable, and document incidents and outcomes.</x:t>
        </x:is>
      </x:c>
      <x:c r="L61" s="5" t="inlineStr">
        <x:is>
          <x:t xml:space="preserve">Required implementation specification</x:t>
        </x:is>
      </x:c>
      <x:c r="M61" s="5" t="inlineStr">
        <x:is>
          <x:t xml:space="preserve">Administrative Safeguards</x:t>
        </x:is>
      </x:c>
      <x:c r="N61" s="28" t="inlineStr">
        <x:is>
          <x:t xml:space="preserve">https://www.ecfr.gov/current/title-45/subtitle-A/subchapter-C/part-164/section-164.308</x:t>
        </x:is>
      </x:c>
      <x:c r="O61" s="28" t="inlineStr">
        <x:is>
          <x:t xml:space="preserve">https://www.hhs.gov/hipaa/for-professionals/faq/2002/what-does-the-security-rule-require-a-covered-entity-to-do-to-comply/index.html</x:t>
        </x:is>
      </x:c>
      <x:c r="P61" s="5" t="inlineStr">
        <x:is>
          <x:t xml:space="preserve">Many:1</x:t>
        </x:is>
      </x:c>
      <x:c r="Q61" s="5" t="inlineStr">
        <x:is>
          <x:t xml:space="preserve">Composite</x:t>
        </x:is>
      </x:c>
      <x:c r="R61" s="5" t="inlineStr">
        <x:is>
          <x:t xml:space="preserve">Incident tickets/population evidence show response/reporting activities and the required documentation of incidents and outcomes.</x:t>
        </x:is>
      </x:c>
      <x:c r="S61" s="5" t="inlineStr">
        <x:is>
          <x:t xml:space="preserve">Documentation is added because the evidence row is a ticket/log of incidents during the review period.</x:t>
        </x:is>
      </x:c>
      <x:c r="T61" s="5" t="n"/>
    </x:row>
    <x:row r="62" ht="30" customHeight="1">
      <x:c r="A62" s="5" t="inlineStr">
        <x:is>
          <x:t xml:space="preserve">HITRUST e1.csv</x:t>
        </x:is>
      </x:c>
      <x:c r="B62" s="5" t="inlineStr">
        <x:is>
          <x:t xml:space="preserve">ER-141</x:t>
        </x:is>
      </x:c>
      <x:c r="C62" s="5" t="inlineStr">
        <x:is>
          <x:t xml:space="preserve">Population</x:t>
        </x:is>
      </x:c>
      <x:c r="D62" s="5" t="inlineStr">
        <x:is>
          <x:t xml:space="preserve">All Incidents Identified During the Review Period [INSERT EXAM PERIOD]</x:t>
        </x:is>
      </x:c>
      <x:c r="E62" s="5" t="inlineStr">
        <x:is>
          <x:t xml:space="preserve">REQ-50-HIPAA</x:t>
        </x:is>
      </x:c>
      <x:c r="F62" s="5" t="inlineStr">
        <x:is>
          <x:t xml:space="preserve">1561.11c1Organizational.4</x:t>
        </x:is>
      </x:c>
      <x:c r="G62" s="5" t="inlineStr">
        <x:is>
          <x:t xml:space="preserve">1561.11c1 Organizational.4</x:t>
        </x:is>
      </x:c>
      <x:c r="H62" s="5" t="n">
        <x:v>1</x:v>
      </x:c>
      <x:c r="I62" s="5" t="inlineStr">
        <x:is>
          <x:t xml:space="preserve">45 C.F.R. § 164.316(b)(1)</x:t>
        </x:is>
      </x:c>
      <x:c r="J62" s="5" t="inlineStr">
        <x:is>
          <x:t xml:space="preserve">Documentation</x:t>
        </x:is>
      </x:c>
      <x:c r="K62" s="5" t="inlineStr">
        <x:is>
          <x:t xml:space="preserve">Maintain written or electronic policies and procedures implemented to comply with the Security Rule and written or electronic records of required actions, activities, and assessments.</x:t>
        </x:is>
      </x:c>
      <x:c r="L62" s="5" t="inlineStr">
        <x:is>
          <x:t xml:space="preserve">Standard</x:t>
        </x:is>
      </x:c>
      <x:c r="M62" s="5" t="inlineStr">
        <x:is>
          <x:t xml:space="preserve">Policies / Documentation</x:t>
        </x:is>
      </x:c>
      <x:c r="N62" s="28" t="inlineStr">
        <x:is>
          <x:t xml:space="preserve">https://www.ecfr.gov/current/title-45/subtitle-A/subchapter-C/part-164/section-164.316</x:t>
        </x:is>
      </x:c>
      <x:c r="O62" s="28" t="inlineStr">
        <x:is>
          <x:t xml:space="preserve">https://www.hhs.gov/sites/default/files/ocr/privacy/hipaa/administrative/securityrule/pprequirements.pdf</x:t>
        </x:is>
      </x:c>
      <x:c r="P62" s="5" t="inlineStr">
        <x:is>
          <x:t xml:space="preserve">Many:1</x:t>
        </x:is>
      </x:c>
      <x:c r="Q62" s="5" t="inlineStr">
        <x:is>
          <x:t xml:space="preserve">Composite</x:t>
        </x:is>
      </x:c>
      <x:c r="R62" s="5" t="inlineStr">
        <x:is>
          <x:t xml:space="preserve">Incident tickets/population evidence show response/reporting activities and the required documentation of incidents and outcomes.</x:t>
        </x:is>
      </x:c>
      <x:c r="S62" s="5" t="inlineStr">
        <x:is>
          <x:t xml:space="preserve">Documentation is added because the evidence row is a ticket/log of incidents during the review period.</x:t>
        </x:is>
      </x:c>
      <x:c r="T62" s="5" t="n"/>
    </x:row>
    <x:row r="63" ht="30" customHeight="1">
      <x:c r="A63" s="5" t="inlineStr">
        <x:is>
          <x:t xml:space="preserve">HITRUST e1.csv</x:t>
        </x:is>
      </x:c>
      <x:c r="B63" s="5" t="inlineStr">
        <x:is>
          <x:t xml:space="preserve">ER-141</x:t>
        </x:is>
      </x:c>
      <x:c r="C63" s="5" t="inlineStr">
        <x:is>
          <x:t xml:space="preserve">Population</x:t>
        </x:is>
      </x:c>
      <x:c r="D63" s="5" t="inlineStr">
        <x:is>
          <x:t xml:space="preserve">All Incidents Identified During the Review Period [INSERT EXAM PERIOD]</x:t>
        </x:is>
      </x:c>
      <x:c r="E63" s="5" t="inlineStr">
        <x:is>
          <x:t xml:space="preserve">REQ-995-HIPAA</x:t>
        </x:is>
      </x:c>
      <x:c r="F63" s="5" t="inlineStr">
        <x:is>
          <x:t xml:space="preserve">1561.11c1Organizational.4</x:t>
        </x:is>
      </x:c>
      <x:c r="G63" s="5" t="inlineStr">
        <x:is>
          <x:t xml:space="preserve">1561.11c1 Organizational.4</x:t>
        </x:is>
      </x:c>
      <x:c r="H63" s="5" t="n">
        <x:v>1</x:v>
      </x:c>
      <x:c r="I63" s="5" t="inlineStr">
        <x:is>
          <x:t xml:space="preserve">45 C.F.R. § 164.308(a)(6)(ii)</x:t>
        </x:is>
      </x:c>
      <x:c r="J63" s="5" t="inlineStr">
        <x:is>
          <x:t xml:space="preserve">Security Incident Procedures — Response and Reporting</x:t>
        </x:is>
      </x:c>
      <x:c r="K63" s="5" t="inlineStr">
        <x:is>
          <x:t xml:space="preserve">Identify and respond to suspected or known security incidents, mitigate harmful effects to the extent practicable, and document incidents and outcomes.</x:t>
        </x:is>
      </x:c>
      <x:c r="L63" s="5" t="inlineStr">
        <x:is>
          <x:t xml:space="preserve">Required implementation specification</x:t>
        </x:is>
      </x:c>
      <x:c r="M63" s="5" t="inlineStr">
        <x:is>
          <x:t xml:space="preserve">Administrative Safeguards</x:t>
        </x:is>
      </x:c>
      <x:c r="N63" s="28" t="inlineStr">
        <x:is>
          <x:t xml:space="preserve">https://www.ecfr.gov/current/title-45/subtitle-A/subchapter-C/part-164/section-164.308</x:t>
        </x:is>
      </x:c>
      <x:c r="O63" s="28" t="inlineStr">
        <x:is>
          <x:t xml:space="preserve">https://www.hhs.gov/hipaa/for-professionals/faq/2002/what-does-the-security-rule-require-a-covered-entity-to-do-to-comply/index.html</x:t>
        </x:is>
      </x:c>
      <x:c r="P63" s="5" t="inlineStr">
        <x:is>
          <x:t xml:space="preserve">Many:1</x:t>
        </x:is>
      </x:c>
      <x:c r="Q63" s="5" t="inlineStr">
        <x:is>
          <x:t xml:space="preserve">Best-fit composite</x:t>
        </x:is>
      </x:c>
      <x:c r="R63" s="5" t="inlineStr">
        <x:is>
          <x:t xml:space="preserve">Generic population/evidence control used to show incidents and outcomes during the review period.</x:t>
        </x:is>
      </x:c>
      <x:c r="S63" s="5" t="inlineStr">
        <x:is>
          <x:t xml:space="preserve">Internal control is generic; citation follows the specific evidence row context.</x:t>
        </x:is>
      </x:c>
      <x:c r="T63" s="5" t="n"/>
    </x:row>
    <x:row r="64" ht="30" customHeight="1">
      <x:c r="A64" s="5" t="inlineStr">
        <x:is>
          <x:t xml:space="preserve">HITRUST e1.csv</x:t>
        </x:is>
      </x:c>
      <x:c r="B64" s="5" t="inlineStr">
        <x:is>
          <x:t xml:space="preserve">ER-141</x:t>
        </x:is>
      </x:c>
      <x:c r="C64" s="5" t="inlineStr">
        <x:is>
          <x:t xml:space="preserve">Population</x:t>
        </x:is>
      </x:c>
      <x:c r="D64" s="5" t="inlineStr">
        <x:is>
          <x:t xml:space="preserve">All Incidents Identified During the Review Period [INSERT EXAM PERIOD]</x:t>
        </x:is>
      </x:c>
      <x:c r="E64" s="5" t="inlineStr">
        <x:is>
          <x:t xml:space="preserve">REQ-995-HIPAA</x:t>
        </x:is>
      </x:c>
      <x:c r="F64" s="5" t="inlineStr">
        <x:is>
          <x:t xml:space="preserve">1561.11c1Organizational.4</x:t>
        </x:is>
      </x:c>
      <x:c r="G64" s="5" t="inlineStr">
        <x:is>
          <x:t xml:space="preserve">1561.11c1 Organizational.4</x:t>
        </x:is>
      </x:c>
      <x:c r="H64" s="5" t="n">
        <x:v>1</x:v>
      </x:c>
      <x:c r="I64" s="5" t="inlineStr">
        <x:is>
          <x:t xml:space="preserve">45 C.F.R. § 164.316(b)(1)</x:t>
        </x:is>
      </x:c>
      <x:c r="J64" s="5" t="inlineStr">
        <x:is>
          <x:t xml:space="preserve">Documentation</x:t>
        </x:is>
      </x:c>
      <x:c r="K64" s="5" t="inlineStr">
        <x:is>
          <x:t xml:space="preserve">Maintain written or electronic policies and procedures implemented to comply with the Security Rule and written or electronic records of required actions, activities, and assessments.</x:t>
        </x:is>
      </x:c>
      <x:c r="L64" s="5" t="inlineStr">
        <x:is>
          <x:t xml:space="preserve">Standard</x:t>
        </x:is>
      </x:c>
      <x:c r="M64" s="5" t="inlineStr">
        <x:is>
          <x:t xml:space="preserve">Policies / Documentation</x:t>
        </x:is>
      </x:c>
      <x:c r="N64" s="28" t="inlineStr">
        <x:is>
          <x:t xml:space="preserve">https://www.ecfr.gov/current/title-45/subtitle-A/subchapter-C/part-164/section-164.316</x:t>
        </x:is>
      </x:c>
      <x:c r="O64" s="28" t="inlineStr">
        <x:is>
          <x:t xml:space="preserve">https://www.hhs.gov/sites/default/files/ocr/privacy/hipaa/administrative/securityrule/pprequirements.pdf</x:t>
        </x:is>
      </x:c>
      <x:c r="P64" s="5" t="inlineStr">
        <x:is>
          <x:t xml:space="preserve">Many:1</x:t>
        </x:is>
      </x:c>
      <x:c r="Q64" s="5" t="inlineStr">
        <x:is>
          <x:t xml:space="preserve">Best-fit composite</x:t>
        </x:is>
      </x:c>
      <x:c r="R64" s="5" t="inlineStr">
        <x:is>
          <x:t xml:space="preserve">Generic population/evidence control used to show incidents and outcomes during the review period.</x:t>
        </x:is>
      </x:c>
      <x:c r="S64" s="5" t="inlineStr">
        <x:is>
          <x:t xml:space="preserve">Internal control is generic; citation follows the specific evidence row context.</x:t>
        </x:is>
      </x:c>
      <x:c r="T64" s="5" t="n"/>
    </x:row>
    <x:row r="65" ht="30" customHeight="1">
      <x:c r="A65" s="5" t="inlineStr">
        <x:is>
          <x:t xml:space="preserve">HITRUST e1.csv</x:t>
        </x:is>
      </x:c>
      <x:c r="B65" s="5" t="inlineStr">
        <x:is>
          <x:t xml:space="preserve">ER-139</x:t>
        </x:is>
      </x:c>
      <x:c r="C65" s="5" t="inlineStr">
        <x:is>
          <x:t xml:space="preserve">Population</x:t>
        </x:is>
      </x:c>
      <x:c r="D65" s="5" t="inlineStr">
        <x:is>
          <x:t xml:space="preserve">All Software and Infrastructure Production Changes During the Review Period [INSERT EXAM PERIOD]</x:t>
        </x:is>
      </x:c>
      <x:c r="E65" s="5" t="inlineStr">
        <x:is>
          <x:t xml:space="preserve">REQ-55-HIPAA</x:t>
        </x:is>
      </x:c>
      <x:c r="F65" s="5" t="inlineStr">
        <x:is>
          <x:t xml:space="preserve">06.09b1System.2, 1704.03b1Organizational.12</x:t>
        </x:is>
      </x:c>
      <x:c r="G65" s="5" t="inlineStr">
        <x:is>
          <x:t xml:space="preserve">06.09b1 System.2, 1704.03b1 Organizational.12</x:t>
        </x:is>
      </x:c>
      <x:c r="H65" s="5" t="n">
        <x:v>2</x:v>
      </x:c>
      <x:c r="I65" s="5" t="inlineStr">
        <x:is>
          <x:t xml:space="preserve">45 C.F.R. § 164.308(a)(8)</x:t>
        </x:is>
      </x:c>
      <x:c r="J65" s="5" t="inlineStr">
        <x:is>
          <x:t xml:space="preserve">Evaluation</x:t>
        </x:is>
      </x:c>
      <x:c r="K65" s="5" t="inlineStr">
        <x:is>
          <x:t xml:space="preserve">Perform periodic technical and nontechnical evaluations, and repeat them in response to environmental or operational changes affecting the security of ePHI.</x:t>
        </x:is>
      </x:c>
      <x:c r="L65" s="5" t="inlineStr">
        <x:is>
          <x:t xml:space="preserve">Required standard</x:t>
        </x:is>
      </x:c>
      <x:c r="M65" s="5" t="inlineStr">
        <x:is>
          <x:t xml:space="preserve">Administrative Safeguards</x:t>
        </x:is>
      </x:c>
      <x:c r="N65" s="28" t="inlineStr">
        <x:is>
          <x:t xml:space="preserve">https://www.ecfr.gov/current/title-45/subtitle-A/subchapter-C/part-164/section-164.308</x:t>
        </x:is>
      </x:c>
      <x:c r="O65" s="28" t="inlineStr">
        <x:is>
          <x:t xml:space="preserve">https://www.hhs.gov/ocr/privacy/hipaa/administrative/securityrule/index.html</x:t>
        </x:is>
      </x:c>
      <x:c r="P65" s="5" t="inlineStr">
        <x:is>
          <x:t xml:space="preserve">Many:Many</x:t>
        </x:is>
      </x:c>
      <x:c r="Q65" s="5" t="inlineStr">
        <x:is>
          <x:t xml:space="preserve">Best-fit composite</x:t>
        </x:is>
      </x:c>
      <x:c r="R65" s="5" t="inlineStr">
        <x:is>
          <x:t xml:space="preserve">Production-change tickets/population evidence are not a named HIPAA specification, but they are strong evidence of evaluating and documenting operational changes affecting ePHI safeguards.</x:t>
        </x:is>
      </x:c>
      <x:c r="S65" s="5" t="inlineStr">
        <x:is>
          <x:t xml:space="preserve">Best-fit evidence mapping; HIPAA does not mandate a particular ticketing mechanism.</x:t>
        </x:is>
      </x:c>
      <x:c r="T65" s="5" t="n"/>
    </x:row>
    <x:row r="66" ht="30" customHeight="1">
      <x:c r="A66" s="5" t="inlineStr">
        <x:is>
          <x:t xml:space="preserve">HITRUST e1.csv</x:t>
        </x:is>
      </x:c>
      <x:c r="B66" s="5" t="inlineStr">
        <x:is>
          <x:t xml:space="preserve">ER-139</x:t>
        </x:is>
      </x:c>
      <x:c r="C66" s="5" t="inlineStr">
        <x:is>
          <x:t xml:space="preserve">Population</x:t>
        </x:is>
      </x:c>
      <x:c r="D66" s="5" t="inlineStr">
        <x:is>
          <x:t xml:space="preserve">All Software and Infrastructure Production Changes During the Review Period [INSERT EXAM PERIOD]</x:t>
        </x:is>
      </x:c>
      <x:c r="E66" s="5" t="inlineStr">
        <x:is>
          <x:t xml:space="preserve">REQ-55-HIPAA</x:t>
        </x:is>
      </x:c>
      <x:c r="F66" s="5" t="inlineStr">
        <x:is>
          <x:t xml:space="preserve">06.09b1System.2, 1704.03b1Organizational.12</x:t>
        </x:is>
      </x:c>
      <x:c r="G66" s="5" t="inlineStr">
        <x:is>
          <x:t xml:space="preserve">06.09b1 System.2, 1704.03b1 Organizational.12</x:t>
        </x:is>
      </x:c>
      <x:c r="H66" s="5" t="n">
        <x:v>2</x:v>
      </x:c>
      <x:c r="I66" s="5" t="inlineStr">
        <x:is>
          <x:t xml:space="preserve">45 C.F.R. § 164.316(b)(1)</x:t>
        </x:is>
      </x:c>
      <x:c r="J66" s="5" t="inlineStr">
        <x:is>
          <x:t xml:space="preserve">Documentation</x:t>
        </x:is>
      </x:c>
      <x:c r="K66" s="5" t="inlineStr">
        <x:is>
          <x:t xml:space="preserve">Maintain written or electronic policies and procedures implemented to comply with the Security Rule and written or electronic records of required actions, activities, and assessments.</x:t>
        </x:is>
      </x:c>
      <x:c r="L66" s="5" t="inlineStr">
        <x:is>
          <x:t xml:space="preserve">Standard</x:t>
        </x:is>
      </x:c>
      <x:c r="M66" s="5" t="inlineStr">
        <x:is>
          <x:t xml:space="preserve">Policies / Documentation</x:t>
        </x:is>
      </x:c>
      <x:c r="N66" s="28" t="inlineStr">
        <x:is>
          <x:t xml:space="preserve">https://www.ecfr.gov/current/title-45/subtitle-A/subchapter-C/part-164/section-164.316</x:t>
        </x:is>
      </x:c>
      <x:c r="O66" s="28" t="inlineStr">
        <x:is>
          <x:t xml:space="preserve">https://www.hhs.gov/sites/default/files/ocr/privacy/hipaa/administrative/securityrule/pprequirements.pdf</x:t>
        </x:is>
      </x:c>
      <x:c r="P66" s="5" t="inlineStr">
        <x:is>
          <x:t xml:space="preserve">Many:Many</x:t>
        </x:is>
      </x:c>
      <x:c r="Q66" s="5" t="inlineStr">
        <x:is>
          <x:t xml:space="preserve">Best-fit composite</x:t>
        </x:is>
      </x:c>
      <x:c r="R66" s="5" t="inlineStr">
        <x:is>
          <x:t xml:space="preserve">Production-change tickets/population evidence are not a named HIPAA specification, but they are strong evidence of evaluating and documenting operational changes affecting ePHI safeguards.</x:t>
        </x:is>
      </x:c>
      <x:c r="S66" s="5" t="inlineStr">
        <x:is>
          <x:t xml:space="preserve">Best-fit evidence mapping; HIPAA does not mandate a particular ticketing mechanism.</x:t>
        </x:is>
      </x:c>
      <x:c r="T66" s="5" t="n"/>
    </x:row>
    <x:row r="67" ht="30" customHeight="1">
      <x:c r="A67" s="5" t="inlineStr">
        <x:is>
          <x:t xml:space="preserve">HITRUST e1.csv</x:t>
        </x:is>
      </x:c>
      <x:c r="B67" s="5" t="inlineStr">
        <x:is>
          <x:t xml:space="preserve">ER-139</x:t>
        </x:is>
      </x:c>
      <x:c r="C67" s="5" t="inlineStr">
        <x:is>
          <x:t xml:space="preserve">Population</x:t>
        </x:is>
      </x:c>
      <x:c r="D67" s="5" t="inlineStr">
        <x:is>
          <x:t xml:space="preserve">All Software and Infrastructure Production Changes During the Review Period [INSERT EXAM PERIOD]</x:t>
        </x:is>
      </x:c>
      <x:c r="E67" s="5" t="inlineStr">
        <x:is>
          <x:t xml:space="preserve">REQ-995-HIPAA</x:t>
        </x:is>
      </x:c>
      <x:c r="F67" s="5" t="inlineStr">
        <x:is>
          <x:t xml:space="preserve">06.09b1System.2, 1704.03b1Organizational.12</x:t>
        </x:is>
      </x:c>
      <x:c r="G67" s="5" t="inlineStr">
        <x:is>
          <x:t xml:space="preserve">06.09b1 System.2, 1704.03b1 Organizational.12</x:t>
        </x:is>
      </x:c>
      <x:c r="H67" s="5" t="n">
        <x:v>2</x:v>
      </x:c>
      <x:c r="I67" s="5" t="inlineStr">
        <x:is>
          <x:t xml:space="preserve">45 C.F.R. § 164.308(a)(8)</x:t>
        </x:is>
      </x:c>
      <x:c r="J67" s="5" t="inlineStr">
        <x:is>
          <x:t xml:space="preserve">Evaluation</x:t>
        </x:is>
      </x:c>
      <x:c r="K67" s="5" t="inlineStr">
        <x:is>
          <x:t xml:space="preserve">Perform periodic technical and nontechnical evaluations, and repeat them in response to environmental or operational changes affecting the security of ePHI.</x:t>
        </x:is>
      </x:c>
      <x:c r="L67" s="5" t="inlineStr">
        <x:is>
          <x:t xml:space="preserve">Required standard</x:t>
        </x:is>
      </x:c>
      <x:c r="M67" s="5" t="inlineStr">
        <x:is>
          <x:t xml:space="preserve">Administrative Safeguards</x:t>
        </x:is>
      </x:c>
      <x:c r="N67" s="28" t="inlineStr">
        <x:is>
          <x:t xml:space="preserve">https://www.ecfr.gov/current/title-45/subtitle-A/subchapter-C/part-164/section-164.308</x:t>
        </x:is>
      </x:c>
      <x:c r="O67" s="28" t="inlineStr">
        <x:is>
          <x:t xml:space="preserve">https://www.hhs.gov/ocr/privacy/hipaa/administrative/securityrule/index.html</x:t>
        </x:is>
      </x:c>
      <x:c r="P67" s="5" t="inlineStr">
        <x:is>
          <x:t xml:space="preserve">Many:Many</x:t>
        </x:is>
      </x:c>
      <x:c r="Q67" s="5" t="inlineStr">
        <x:is>
          <x:t xml:space="preserve">Best-fit composite</x:t>
        </x:is>
      </x:c>
      <x:c r="R67" s="5" t="inlineStr">
        <x:is>
          <x:t xml:space="preserve">Generic population/evidence control used to show production changes during the review period.</x:t>
        </x:is>
      </x:c>
      <x:c r="S67" s="5" t="inlineStr">
        <x:is>
          <x:t xml:space="preserve">Internal control is generic; citation follows the specific evidence row context.</x:t>
        </x:is>
      </x:c>
      <x:c r="T67" s="5" t="n"/>
    </x:row>
    <x:row r="68" ht="30" customHeight="1">
      <x:c r="A68" s="5" t="inlineStr">
        <x:is>
          <x:t xml:space="preserve">HITRUST e1.csv</x:t>
        </x:is>
      </x:c>
      <x:c r="B68" s="5" t="inlineStr">
        <x:is>
          <x:t xml:space="preserve">ER-139</x:t>
        </x:is>
      </x:c>
      <x:c r="C68" s="5" t="inlineStr">
        <x:is>
          <x:t xml:space="preserve">Population</x:t>
        </x:is>
      </x:c>
      <x:c r="D68" s="5" t="inlineStr">
        <x:is>
          <x:t xml:space="preserve">All Software and Infrastructure Production Changes During the Review Period [INSERT EXAM PERIOD]</x:t>
        </x:is>
      </x:c>
      <x:c r="E68" s="5" t="inlineStr">
        <x:is>
          <x:t xml:space="preserve">REQ-995-HIPAA</x:t>
        </x:is>
      </x:c>
      <x:c r="F68" s="5" t="inlineStr">
        <x:is>
          <x:t xml:space="preserve">06.09b1System.2, 1704.03b1Organizational.12</x:t>
        </x:is>
      </x:c>
      <x:c r="G68" s="5" t="inlineStr">
        <x:is>
          <x:t xml:space="preserve">06.09b1 System.2, 1704.03b1 Organizational.12</x:t>
        </x:is>
      </x:c>
      <x:c r="H68" s="5" t="n">
        <x:v>2</x:v>
      </x:c>
      <x:c r="I68" s="5" t="inlineStr">
        <x:is>
          <x:t xml:space="preserve">45 C.F.R. § 164.316(b)(1)</x:t>
        </x:is>
      </x:c>
      <x:c r="J68" s="5" t="inlineStr">
        <x:is>
          <x:t xml:space="preserve">Documentation</x:t>
        </x:is>
      </x:c>
      <x:c r="K68" s="5" t="inlineStr">
        <x:is>
          <x:t xml:space="preserve">Maintain written or electronic policies and procedures implemented to comply with the Security Rule and written or electronic records of required actions, activities, and assessments.</x:t>
        </x:is>
      </x:c>
      <x:c r="L68" s="5" t="inlineStr">
        <x:is>
          <x:t xml:space="preserve">Standard</x:t>
        </x:is>
      </x:c>
      <x:c r="M68" s="5" t="inlineStr">
        <x:is>
          <x:t xml:space="preserve">Policies / Documentation</x:t>
        </x:is>
      </x:c>
      <x:c r="N68" s="28" t="inlineStr">
        <x:is>
          <x:t xml:space="preserve">https://www.ecfr.gov/current/title-45/subtitle-A/subchapter-C/part-164/section-164.316</x:t>
        </x:is>
      </x:c>
      <x:c r="O68" s="28" t="inlineStr">
        <x:is>
          <x:t xml:space="preserve">https://www.hhs.gov/sites/default/files/ocr/privacy/hipaa/administrative/securityrule/pprequirements.pdf</x:t>
        </x:is>
      </x:c>
      <x:c r="P68" s="5" t="inlineStr">
        <x:is>
          <x:t xml:space="preserve">Many:Many</x:t>
        </x:is>
      </x:c>
      <x:c r="Q68" s="5" t="inlineStr">
        <x:is>
          <x:t xml:space="preserve">Best-fit composite</x:t>
        </x:is>
      </x:c>
      <x:c r="R68" s="5" t="inlineStr">
        <x:is>
          <x:t xml:space="preserve">Generic population/evidence control used to show production changes during the review period.</x:t>
        </x:is>
      </x:c>
      <x:c r="S68" s="5" t="inlineStr">
        <x:is>
          <x:t xml:space="preserve">Internal control is generic; citation follows the specific evidence row context.</x:t>
        </x:is>
      </x:c>
      <x:c r="T68" s="5" t="n"/>
    </x:row>
    <x:row r="69" ht="30" customHeight="1">
      <x:c r="A69" s="5" t="inlineStr">
        <x:is>
          <x:t xml:space="preserve">HITRUST e1.csv</x:t>
        </x:is>
      </x:c>
      <x:c r="B69" s="5" t="inlineStr">
        <x:is>
          <x:t xml:space="preserve">ER-136</x:t>
        </x:is>
      </x:c>
      <x:c r="C69" s="5" t="inlineStr">
        <x:is>
          <x:t xml:space="preserve">Population</x:t>
        </x:is>
      </x:c>
      <x:c r="D69" s="5" t="inlineStr">
        <x:is>
          <x:t xml:space="preserve">All Terminated Employees During the Review Period [INSERT EXAM PERIOD]</x:t>
        </x:is>
      </x:c>
      <x:c r="E69" s="5" t="inlineStr">
        <x:is>
          <x:t xml:space="preserve">REQ-31-HIPAA</x:t>
        </x:is>
      </x:c>
      <x:c r="F69" s="5" t="inlineStr">
        <x:is>
          <x:t xml:space="preserve">11143.02i1Organizational.3</x:t>
        </x:is>
      </x:c>
      <x:c r="G69" s="5" t="inlineStr">
        <x:is>
          <x:t xml:space="preserve">11143.02i1 Organizational.3</x:t>
        </x:is>
      </x:c>
      <x:c r="H69" s="5" t="n">
        <x:v>1</x:v>
      </x:c>
      <x:c r="I69" s="5" t="inlineStr">
        <x:is>
          <x:t xml:space="preserve">45 C.F.R. § 164.308(a)(3)(ii)(C)</x:t>
        </x:is>
      </x:c>
      <x:c r="J69" s="5" t="inlineStr">
        <x:is>
          <x:t xml:space="preserve">Workforce Security — Termination Procedures</x:t>
        </x:is>
      </x:c>
      <x:c r="K69" s="5" t="inlineStr">
        <x:is>
          <x:t xml:space="preserve">Implement procedures for terminating a workforce member’s access to ePHI when employment ends or when access should otherwise be removed.</x:t>
        </x:is>
      </x:c>
      <x:c r="L69" s="5" t="inlineStr">
        <x:is>
          <x:t xml:space="preserve">Addressable implementation specification</x:t>
        </x:is>
      </x:c>
      <x:c r="M69" s="5" t="inlineStr">
        <x:is>
          <x:t xml:space="preserve">Administrative Safeguards</x:t>
        </x:is>
      </x:c>
      <x:c r="N69" s="28" t="inlineStr">
        <x:is>
          <x:t xml:space="preserve">https://www.ecfr.gov/current/title-45/subtitle-A/subchapter-C/part-164/section-164.308</x:t>
        </x:is>
      </x:c>
      <x:c r="O69" s="28" t="inlineStr">
        <x:is>
          <x:t xml:space="preserve">https://www.hhs.gov/hipaa/for-professionals/security/guidance/cybersecurity-newsletter-summer-2019/index.html</x:t>
        </x:is>
      </x:c>
      <x:c r="P69" s="5" t="inlineStr">
        <x:is>
          <x:t xml:space="preserve">Many:1</x:t>
        </x:is>
      </x:c>
      <x:c r="Q69" s="5" t="inlineStr">
        <x:is>
          <x:t xml:space="preserve">Composite</x:t>
        </x:is>
      </x:c>
      <x:c r="R69" s="5" t="inlineStr">
        <x:is>
          <x:t xml:space="preserve">Termination tickets/population evidence align directly to terminating access and documenting the action taken.</x:t>
        </x:is>
      </x:c>
      <x:c r="S69" s="5" t="inlineStr">
        <x:is>
          <x:t xml:space="preserve">Documentation is added because the row is explicit evidence that access-removal events were carried out and recorded.</x:t>
        </x:is>
      </x:c>
      <x:c r="T69" s="5" t="n"/>
    </x:row>
    <x:row r="70" ht="30" customHeight="1">
      <x:c r="A70" s="5" t="inlineStr">
        <x:is>
          <x:t xml:space="preserve">HITRUST e1.csv</x:t>
        </x:is>
      </x:c>
      <x:c r="B70" s="5" t="inlineStr">
        <x:is>
          <x:t xml:space="preserve">ER-136</x:t>
        </x:is>
      </x:c>
      <x:c r="C70" s="5" t="inlineStr">
        <x:is>
          <x:t xml:space="preserve">Population</x:t>
        </x:is>
      </x:c>
      <x:c r="D70" s="5" t="inlineStr">
        <x:is>
          <x:t xml:space="preserve">All Terminated Employees During the Review Period [INSERT EXAM PERIOD]</x:t>
        </x:is>
      </x:c>
      <x:c r="E70" s="5" t="inlineStr">
        <x:is>
          <x:t xml:space="preserve">REQ-31-HIPAA</x:t>
        </x:is>
      </x:c>
      <x:c r="F70" s="5" t="inlineStr">
        <x:is>
          <x:t xml:space="preserve">11143.02i1Organizational.3</x:t>
        </x:is>
      </x:c>
      <x:c r="G70" s="5" t="inlineStr">
        <x:is>
          <x:t xml:space="preserve">11143.02i1 Organizational.3</x:t>
        </x:is>
      </x:c>
      <x:c r="H70" s="5" t="n">
        <x:v>1</x:v>
      </x:c>
      <x:c r="I70" s="5" t="inlineStr">
        <x:is>
          <x:t xml:space="preserve">45 C.F.R. § 164.316(b)(1)</x:t>
        </x:is>
      </x:c>
      <x:c r="J70" s="5" t="inlineStr">
        <x:is>
          <x:t xml:space="preserve">Documentation</x:t>
        </x:is>
      </x:c>
      <x:c r="K70" s="5" t="inlineStr">
        <x:is>
          <x:t xml:space="preserve">Maintain written or electronic policies and procedures implemented to comply with the Security Rule and written or electronic records of required actions, activities, and assessments.</x:t>
        </x:is>
      </x:c>
      <x:c r="L70" s="5" t="inlineStr">
        <x:is>
          <x:t xml:space="preserve">Standard</x:t>
        </x:is>
      </x:c>
      <x:c r="M70" s="5" t="inlineStr">
        <x:is>
          <x:t xml:space="preserve">Policies / Documentation</x:t>
        </x:is>
      </x:c>
      <x:c r="N70" s="28" t="inlineStr">
        <x:is>
          <x:t xml:space="preserve">https://www.ecfr.gov/current/title-45/subtitle-A/subchapter-C/part-164/section-164.316</x:t>
        </x:is>
      </x:c>
      <x:c r="O70" s="28" t="inlineStr">
        <x:is>
          <x:t xml:space="preserve">https://www.hhs.gov/sites/default/files/ocr/privacy/hipaa/administrative/securityrule/pprequirements.pdf</x:t>
        </x:is>
      </x:c>
      <x:c r="P70" s="5" t="inlineStr">
        <x:is>
          <x:t xml:space="preserve">Many:1</x:t>
        </x:is>
      </x:c>
      <x:c r="Q70" s="5" t="inlineStr">
        <x:is>
          <x:t xml:space="preserve">Composite</x:t>
        </x:is>
      </x:c>
      <x:c r="R70" s="5" t="inlineStr">
        <x:is>
          <x:t xml:space="preserve">Termination tickets/population evidence align directly to terminating access and documenting the action taken.</x:t>
        </x:is>
      </x:c>
      <x:c r="S70" s="5" t="inlineStr">
        <x:is>
          <x:t xml:space="preserve">Documentation is added because the row is explicit evidence that access-removal events were carried out and recorded.</x:t>
        </x:is>
      </x:c>
      <x:c r="T70" s="5" t="n"/>
    </x:row>
    <x:row r="71" ht="30" customHeight="1">
      <x:c r="A71" s="5" t="inlineStr">
        <x:is>
          <x:t xml:space="preserve">HITRUST e1.csv</x:t>
        </x:is>
      </x:c>
      <x:c r="B71" s="5" t="inlineStr">
        <x:is>
          <x:t xml:space="preserve">ER-136</x:t>
        </x:is>
      </x:c>
      <x:c r="C71" s="5" t="inlineStr">
        <x:is>
          <x:t xml:space="preserve">Population</x:t>
        </x:is>
      </x:c>
      <x:c r="D71" s="5" t="inlineStr">
        <x:is>
          <x:t xml:space="preserve">All Terminated Employees During the Review Period [INSERT EXAM PERIOD]</x:t>
        </x:is>
      </x:c>
      <x:c r="E71" s="5" t="inlineStr">
        <x:is>
          <x:t xml:space="preserve">REQ-995-HIPAA</x:t>
        </x:is>
      </x:c>
      <x:c r="F71" s="5" t="inlineStr">
        <x:is>
          <x:t xml:space="preserve">11143.02i1Organizational.3</x:t>
        </x:is>
      </x:c>
      <x:c r="G71" s="5" t="inlineStr">
        <x:is>
          <x:t xml:space="preserve">11143.02i1 Organizational.3</x:t>
        </x:is>
      </x:c>
      <x:c r="H71" s="5" t="n">
        <x:v>1</x:v>
      </x:c>
      <x:c r="I71" s="5" t="inlineStr">
        <x:is>
          <x:t xml:space="preserve">45 C.F.R. § 164.308(a)(3)(ii)(C)</x:t>
        </x:is>
      </x:c>
      <x:c r="J71" s="5" t="inlineStr">
        <x:is>
          <x:t xml:space="preserve">Workforce Security — Termination Procedures</x:t>
        </x:is>
      </x:c>
      <x:c r="K71" s="5" t="inlineStr">
        <x:is>
          <x:t xml:space="preserve">Implement procedures for terminating a workforce member’s access to ePHI when employment ends or when access should otherwise be removed.</x:t>
        </x:is>
      </x:c>
      <x:c r="L71" s="5" t="inlineStr">
        <x:is>
          <x:t xml:space="preserve">Addressable implementation specification</x:t>
        </x:is>
      </x:c>
      <x:c r="M71" s="5" t="inlineStr">
        <x:is>
          <x:t xml:space="preserve">Administrative Safeguards</x:t>
        </x:is>
      </x:c>
      <x:c r="N71" s="28" t="inlineStr">
        <x:is>
          <x:t xml:space="preserve">https://www.ecfr.gov/current/title-45/subtitle-A/subchapter-C/part-164/section-164.308</x:t>
        </x:is>
      </x:c>
      <x:c r="O71" s="28" t="inlineStr">
        <x:is>
          <x:t xml:space="preserve">https://www.hhs.gov/hipaa/for-professionals/security/guidance/cybersecurity-newsletter-summer-2019/index.html</x:t>
        </x:is>
      </x:c>
      <x:c r="P71" s="5" t="inlineStr">
        <x:is>
          <x:t xml:space="preserve">Many:1</x:t>
        </x:is>
      </x:c>
      <x:c r="Q71" s="5" t="inlineStr">
        <x:is>
          <x:t xml:space="preserve">Best-fit composite</x:t>
        </x:is>
      </x:c>
      <x:c r="R71" s="5" t="inlineStr">
        <x:is>
          <x:t xml:space="preserve">Generic population/evidence control used to show termination-related access removals during the review period.</x:t>
        </x:is>
      </x:c>
      <x:c r="S71" s="5" t="inlineStr">
        <x:is>
          <x:t xml:space="preserve">Internal control is generic; citation follows the specific evidence row context.</x:t>
        </x:is>
      </x:c>
      <x:c r="T71" s="5" t="n"/>
    </x:row>
    <x:row r="72" ht="30" customHeight="1">
      <x:c r="A72" s="5" t="inlineStr">
        <x:is>
          <x:t xml:space="preserve">HITRUST e1.csv</x:t>
        </x:is>
      </x:c>
      <x:c r="B72" s="5" t="inlineStr">
        <x:is>
          <x:t xml:space="preserve">ER-136</x:t>
        </x:is>
      </x:c>
      <x:c r="C72" s="5" t="inlineStr">
        <x:is>
          <x:t xml:space="preserve">Population</x:t>
        </x:is>
      </x:c>
      <x:c r="D72" s="5" t="inlineStr">
        <x:is>
          <x:t xml:space="preserve">All Terminated Employees During the Review Period [INSERT EXAM PERIOD]</x:t>
        </x:is>
      </x:c>
      <x:c r="E72" s="5" t="inlineStr">
        <x:is>
          <x:t xml:space="preserve">REQ-995-HIPAA</x:t>
        </x:is>
      </x:c>
      <x:c r="F72" s="5" t="inlineStr">
        <x:is>
          <x:t xml:space="preserve">11143.02i1Organizational.3</x:t>
        </x:is>
      </x:c>
      <x:c r="G72" s="5" t="inlineStr">
        <x:is>
          <x:t xml:space="preserve">11143.02i1 Organizational.3</x:t>
        </x:is>
      </x:c>
      <x:c r="H72" s="5" t="n">
        <x:v>1</x:v>
      </x:c>
      <x:c r="I72" s="5" t="inlineStr">
        <x:is>
          <x:t xml:space="preserve">45 C.F.R. § 164.316(b)(1)</x:t>
        </x:is>
      </x:c>
      <x:c r="J72" s="5" t="inlineStr">
        <x:is>
          <x:t xml:space="preserve">Documentation</x:t>
        </x:is>
      </x:c>
      <x:c r="K72" s="5" t="inlineStr">
        <x:is>
          <x:t xml:space="preserve">Maintain written or electronic policies and procedures implemented to comply with the Security Rule and written or electronic records of required actions, activities, and assessments.</x:t>
        </x:is>
      </x:c>
      <x:c r="L72" s="5" t="inlineStr">
        <x:is>
          <x:t xml:space="preserve">Standard</x:t>
        </x:is>
      </x:c>
      <x:c r="M72" s="5" t="inlineStr">
        <x:is>
          <x:t xml:space="preserve">Policies / Documentation</x:t>
        </x:is>
      </x:c>
      <x:c r="N72" s="28" t="inlineStr">
        <x:is>
          <x:t xml:space="preserve">https://www.ecfr.gov/current/title-45/subtitle-A/subchapter-C/part-164/section-164.316</x:t>
        </x:is>
      </x:c>
      <x:c r="O72" s="28" t="inlineStr">
        <x:is>
          <x:t xml:space="preserve">https://www.hhs.gov/sites/default/files/ocr/privacy/hipaa/administrative/securityrule/pprequirements.pdf</x:t>
        </x:is>
      </x:c>
      <x:c r="P72" s="5" t="inlineStr">
        <x:is>
          <x:t xml:space="preserve">Many:1</x:t>
        </x:is>
      </x:c>
      <x:c r="Q72" s="5" t="inlineStr">
        <x:is>
          <x:t xml:space="preserve">Best-fit composite</x:t>
        </x:is>
      </x:c>
      <x:c r="R72" s="5" t="inlineStr">
        <x:is>
          <x:t xml:space="preserve">Generic population/evidence control used to show termination-related access removals during the review period.</x:t>
        </x:is>
      </x:c>
      <x:c r="S72" s="5" t="inlineStr">
        <x:is>
          <x:t xml:space="preserve">Internal control is generic; citation follows the specific evidence row context.</x:t>
        </x:is>
      </x:c>
      <x:c r="T72" s="5" t="n"/>
    </x:row>
    <x:row r="73" ht="30" customHeight="1">
      <x:c r="A73" s="5" t="inlineStr">
        <x:is>
          <x:t xml:space="preserve">HITRUST e1.csv</x:t>
        </x:is>
      </x:c>
      <x:c r="B73" s="5" t="inlineStr">
        <x:is>
          <x:t xml:space="preserve">ER-87</x:t>
        </x:is>
      </x:c>
      <x:c r="C73" s="5" t="inlineStr">
        <x:is>
          <x:t xml:space="preserve">Sample</x:t>
        </x:is>
      </x:c>
      <x:c r="D73" s="5" t="inlineStr">
        <x:is>
          <x:t xml:space="preserve">Access Review Documentation</x:t>
        </x:is>
      </x:c>
      <x:c r="E73" s="5" t="inlineStr">
        <x:is>
          <x:t xml:space="preserve">REQ-29-HIPAA</x:t>
        </x:is>
      </x:c>
      <x:c r="F73" s="5" t="inlineStr">
        <x:is>
          <x:t xml:space="preserve">11.01e1System.2</x:t>
        </x:is>
      </x:c>
      <x:c r="G73" s="5" t="inlineStr">
        <x:is>
          <x:t xml:space="preserve">11.01e1 System.2</x:t>
        </x:is>
      </x:c>
      <x:c r="H73" s="5" t="n">
        <x:v>1</x:v>
      </x:c>
      <x:c r="I73" s="5" t="inlineStr">
        <x:is>
          <x:t xml:space="preserve">45 C.F.R. § 164.308(a)(4)(ii)(C)</x:t>
        </x:is>
      </x:c>
      <x:c r="J73" s="5" t="inlineStr">
        <x:is>
          <x:t xml:space="preserve">Information Access Management — Access Establishment and Modification</x:t>
        </x:is>
      </x:c>
      <x:c r="K73" s="5" t="inlineStr">
        <x:is>
          <x:t xml:space="preserve">Implement policies and procedures to establish, document, review, and modify a user’s right of access to a workstation, transaction, program, or process.</x:t>
        </x:is>
      </x:c>
      <x:c r="L73" s="5" t="inlineStr">
        <x:is>
          <x:t xml:space="preserve">Addressable implementation specification</x:t>
        </x:is>
      </x:c>
      <x:c r="M73" s="5" t="inlineStr">
        <x:is>
          <x:t xml:space="preserve">Administrative Safeguards</x:t>
        </x:is>
      </x:c>
      <x:c r="N73" s="28" t="inlineStr">
        <x:is>
          <x:t xml:space="preserve">https://www.ecfr.gov/current/title-45/subtitle-A/subchapter-C/part-164/section-164.308</x:t>
        </x:is>
      </x:c>
      <x:c r="O73" s="28" t="inlineStr">
        <x:is>
          <x:t xml:space="preserve">https://www.hhs.gov/hipaa/for-professionals/compliance-enforcement/audit/protocol-edited/index.html</x:t>
        </x:is>
      </x:c>
      <x:c r="P73" s="5" t="inlineStr">
        <x:is>
          <x:t xml:space="preserve">1:1</x:t>
        </x:is>
      </x:c>
      <x:c r="Q73" s="5" t="inlineStr">
        <x:is>
          <x:t xml:space="preserve">Direct</x:t>
        </x:is>
      </x:c>
      <x:c r="R73" s="5" t="inlineStr">
        <x:is>
          <x:t xml:space="preserve">Access-review documentation aligns directly to the requirement to establish, document, review, and modify user rights of access.</x:t>
        </x:is>
      </x:c>
      <x:c r="S73" s="5" t="inlineStr">
        <x:is>
          <x:t xml:space="preserve">Used for both access-review evidence and broader policy statements that emphasize periodic review/modification.</x:t>
        </x:is>
      </x:c>
      <x:c r="T73" s="5" t="n"/>
    </x:row>
    <x:row r="74" ht="30" customHeight="1">
      <x:c r="A74" s="5" t="inlineStr">
        <x:is>
          <x:t xml:space="preserve">HITRUST e1.csv</x:t>
        </x:is>
      </x:c>
      <x:c r="B74" s="5" t="inlineStr">
        <x:is>
          <x:t xml:space="preserve">ER-84</x:t>
        </x:is>
      </x:c>
      <x:c r="C74" s="5" t="inlineStr">
        <x:is>
          <x:t xml:space="preserve">Sample</x:t>
        </x:is>
      </x:c>
      <x:c r="D74" s="5" t="inlineStr">
        <x:is>
          <x:t xml:space="preserve">Employee Termination Ticket</x:t>
        </x:is>
      </x:c>
      <x:c r="E74" s="5" t="inlineStr">
        <x:is>
          <x:t xml:space="preserve">REQ-31-HIPAA</x:t>
        </x:is>
      </x:c>
      <x:c r="F74" s="5" t="inlineStr">
        <x:is>
          <x:t xml:space="preserve">11143.02i1Organizational.3</x:t>
        </x:is>
      </x:c>
      <x:c r="G74" s="5" t="inlineStr">
        <x:is>
          <x:t xml:space="preserve">11143.02i1 Organizational.3</x:t>
        </x:is>
      </x:c>
      <x:c r="H74" s="5" t="n">
        <x:v>1</x:v>
      </x:c>
      <x:c r="I74" s="5" t="inlineStr">
        <x:is>
          <x:t xml:space="preserve">45 C.F.R. § 164.308(a)(3)(ii)(C)</x:t>
        </x:is>
      </x:c>
      <x:c r="J74" s="5" t="inlineStr">
        <x:is>
          <x:t xml:space="preserve">Workforce Security — Termination Procedures</x:t>
        </x:is>
      </x:c>
      <x:c r="K74" s="5" t="inlineStr">
        <x:is>
          <x:t xml:space="preserve">Implement procedures for terminating a workforce member’s access to ePHI when employment ends or when access should otherwise be removed.</x:t>
        </x:is>
      </x:c>
      <x:c r="L74" s="5" t="inlineStr">
        <x:is>
          <x:t xml:space="preserve">Addressable implementation specification</x:t>
        </x:is>
      </x:c>
      <x:c r="M74" s="5" t="inlineStr">
        <x:is>
          <x:t xml:space="preserve">Administrative Safeguards</x:t>
        </x:is>
      </x:c>
      <x:c r="N74" s="28" t="inlineStr">
        <x:is>
          <x:t xml:space="preserve">https://www.ecfr.gov/current/title-45/subtitle-A/subchapter-C/part-164/section-164.308</x:t>
        </x:is>
      </x:c>
      <x:c r="O74" s="28" t="inlineStr">
        <x:is>
          <x:t xml:space="preserve">https://www.hhs.gov/hipaa/for-professionals/security/guidance/cybersecurity-newsletter-summer-2019/index.html</x:t>
        </x:is>
      </x:c>
      <x:c r="P74" s="5" t="inlineStr">
        <x:is>
          <x:t xml:space="preserve">1:1</x:t>
        </x:is>
      </x:c>
      <x:c r="Q74" s="5" t="inlineStr">
        <x:is>
          <x:t xml:space="preserve">Composite</x:t>
        </x:is>
      </x:c>
      <x:c r="R74" s="5" t="inlineStr">
        <x:is>
          <x:t xml:space="preserve">Termination tickets/population evidence align directly to terminating access and documenting the action taken.</x:t>
        </x:is>
      </x:c>
      <x:c r="S74" s="5" t="inlineStr">
        <x:is>
          <x:t xml:space="preserve">Documentation is added because the row is explicit evidence that access-removal events were carried out and recorded.</x:t>
        </x:is>
      </x:c>
      <x:c r="T74" s="5" t="n"/>
    </x:row>
    <x:row r="75" ht="30" customHeight="1">
      <x:c r="A75" s="5" t="inlineStr">
        <x:is>
          <x:t xml:space="preserve">HITRUST e1.csv</x:t>
        </x:is>
      </x:c>
      <x:c r="B75" s="5" t="inlineStr">
        <x:is>
          <x:t xml:space="preserve">ER-84</x:t>
        </x:is>
      </x:c>
      <x:c r="C75" s="5" t="inlineStr">
        <x:is>
          <x:t xml:space="preserve">Sample</x:t>
        </x:is>
      </x:c>
      <x:c r="D75" s="5" t="inlineStr">
        <x:is>
          <x:t xml:space="preserve">Employee Termination Ticket</x:t>
        </x:is>
      </x:c>
      <x:c r="E75" s="5" t="inlineStr">
        <x:is>
          <x:t xml:space="preserve">REQ-31-HIPAA</x:t>
        </x:is>
      </x:c>
      <x:c r="F75" s="5" t="inlineStr">
        <x:is>
          <x:t xml:space="preserve">11143.02i1Organizational.3</x:t>
        </x:is>
      </x:c>
      <x:c r="G75" s="5" t="inlineStr">
        <x:is>
          <x:t xml:space="preserve">11143.02i1 Organizational.3</x:t>
        </x:is>
      </x:c>
      <x:c r="H75" s="5" t="n">
        <x:v>1</x:v>
      </x:c>
      <x:c r="I75" s="5" t="inlineStr">
        <x:is>
          <x:t xml:space="preserve">45 C.F.R. § 164.316(b)(1)</x:t>
        </x:is>
      </x:c>
      <x:c r="J75" s="5" t="inlineStr">
        <x:is>
          <x:t xml:space="preserve">Documentation</x:t>
        </x:is>
      </x:c>
      <x:c r="K75" s="5" t="inlineStr">
        <x:is>
          <x:t xml:space="preserve">Maintain written or electronic policies and procedures implemented to comply with the Security Rule and written or electronic records of required actions, activities, and assessments.</x:t>
        </x:is>
      </x:c>
      <x:c r="L75" s="5" t="inlineStr">
        <x:is>
          <x:t xml:space="preserve">Standard</x:t>
        </x:is>
      </x:c>
      <x:c r="M75" s="5" t="inlineStr">
        <x:is>
          <x:t xml:space="preserve">Policies / Documentation</x:t>
        </x:is>
      </x:c>
      <x:c r="N75" s="28" t="inlineStr">
        <x:is>
          <x:t xml:space="preserve">https://www.ecfr.gov/current/title-45/subtitle-A/subchapter-C/part-164/section-164.316</x:t>
        </x:is>
      </x:c>
      <x:c r="O75" s="28" t="inlineStr">
        <x:is>
          <x:t xml:space="preserve">https://www.hhs.gov/sites/default/files/ocr/privacy/hipaa/administrative/securityrule/pprequirements.pdf</x:t>
        </x:is>
      </x:c>
      <x:c r="P75" s="5" t="inlineStr">
        <x:is>
          <x:t xml:space="preserve">1:1</x:t>
        </x:is>
      </x:c>
      <x:c r="Q75" s="5" t="inlineStr">
        <x:is>
          <x:t xml:space="preserve">Composite</x:t>
        </x:is>
      </x:c>
      <x:c r="R75" s="5" t="inlineStr">
        <x:is>
          <x:t xml:space="preserve">Termination tickets/population evidence align directly to terminating access and documenting the action taken.</x:t>
        </x:is>
      </x:c>
      <x:c r="S75" s="5" t="inlineStr">
        <x:is>
          <x:t xml:space="preserve">Documentation is added because the row is explicit evidence that access-removal events were carried out and recorded.</x:t>
        </x:is>
      </x:c>
      <x:c r="T75" s="5" t="n"/>
    </x:row>
    <x:row r="76" ht="30" customHeight="1">
      <x:c r="A76" s="5" t="inlineStr">
        <x:is>
          <x:t xml:space="preserve">HITRUST e1.csv</x:t>
        </x:is>
      </x:c>
      <x:c r="B76" s="5" t="inlineStr">
        <x:is>
          <x:t xml:space="preserve">ER-53</x:t>
        </x:is>
      </x:c>
      <x:c r="C76" s="5" t="inlineStr">
        <x:is>
          <x:t xml:space="preserve">Sample</x:t>
        </x:is>
      </x:c>
      <x:c r="D76" s="5" t="inlineStr">
        <x:is>
          <x:t xml:space="preserve">Evidence of Vulnerability Scan Results</x:t>
        </x:is>
      </x:c>
      <x:c r="E76" s="5" t="inlineStr">
        <x:is>
          <x:t xml:space="preserve">REQ-46-HIPAA</x:t>
        </x:is>
      </x:c>
      <x:c r="F76" s="5" t="inlineStr">
        <x:is>
          <x:t xml:space="preserve">07.10m1Organizational.3</x:t>
        </x:is>
      </x:c>
      <x:c r="G76" s="5" t="inlineStr">
        <x:is>
          <x:t xml:space="preserve">07.10m1 Organizational.3</x:t>
        </x:is>
      </x:c>
      <x:c r="H76" s="5" t="n">
        <x:v>1</x:v>
      </x:c>
      <x:c r="I76" s="5" t="inlineStr">
        <x:is>
          <x:t xml:space="preserve">45 C.F.R. § 164.308(a)(1)(ii)(A)</x:t>
        </x:is>
      </x:c>
      <x:c r="J76" s="5" t="inlineStr">
        <x:is>
          <x:t xml:space="preserve">Security Management Process — Risk Analysis</x:t>
        </x:is>
      </x:c>
      <x:c r="K76" s="5" t="inlineStr">
        <x:is>
          <x:t xml:space="preserve">Conduct an accurate and thorough assessment of the potential risks and vulnerabilities to the confidentiality, integrity, and availability of ePHI.</x:t>
        </x:is>
      </x:c>
      <x:c r="L76" s="5" t="inlineStr">
        <x:is>
          <x:t xml:space="preserve">Required implementation specification</x:t>
        </x:is>
      </x:c>
      <x:c r="M76" s="5" t="inlineStr">
        <x:is>
          <x:t xml:space="preserve">Administrative Safeguards</x:t>
        </x:is>
      </x:c>
      <x:c r="N76" s="28" t="inlineStr">
        <x:is>
          <x:t xml:space="preserve">https://www.ecfr.gov/current/title-45/subtitle-A/subchapter-C/part-164/section-164.308</x:t>
        </x:is>
      </x:c>
      <x:c r="O76" s="28" t="inlineStr">
        <x:is>
          <x:t xml:space="preserve">https://www.hhs.gov/hipaa/for-professionals/security/guidance/guidance-risk-analysis/index.html</x:t>
        </x:is>
      </x:c>
      <x:c r="P76" s="5" t="inlineStr">
        <x:is>
          <x:t xml:space="preserve">Many:1</x:t>
        </x:is>
      </x:c>
      <x:c r="Q76" s="5" t="inlineStr">
        <x:is>
          <x:t xml:space="preserve">Best-fit</x:t>
        </x:is>
      </x:c>
      <x:c r="R76" s="5" t="inlineStr">
        <x:is>
          <x:t xml:space="preserve">OCR guidance identifies vulnerability scanning as one way to identify risks and vulnerabilities to ePHI.</x:t>
        </x:is>
      </x:c>
      <x:c r="S76" s="5" t="inlineStr">
        <x:is>
          <x:t xml:space="preserve">Used for vulnerability-scan result evidence.</x:t>
        </x:is>
      </x:c>
      <x:c r="T76" s="5" t="n"/>
    </x:row>
    <x:row r="77" ht="30" customHeight="1">
      <x:c r="A77" s="5" t="inlineStr">
        <x:is>
          <x:t xml:space="preserve">HITRUST e1.csv</x:t>
        </x:is>
      </x:c>
      <x:c r="B77" s="5" t="inlineStr">
        <x:is>
          <x:t xml:space="preserve">ER-53</x:t>
        </x:is>
      </x:c>
      <x:c r="C77" s="5" t="inlineStr">
        <x:is>
          <x:t xml:space="preserve">Sample</x:t>
        </x:is>
      </x:c>
      <x:c r="D77" s="5" t="inlineStr">
        <x:is>
          <x:t xml:space="preserve">Evidence of Vulnerability Scan Results</x:t>
        </x:is>
      </x:c>
      <x:c r="E77" s="5" t="inlineStr">
        <x:is>
          <x:t xml:space="preserve">REQ-47-HIPAA</x:t>
        </x:is>
      </x:c>
      <x:c r="F77" s="5" t="inlineStr">
        <x:is>
          <x:t xml:space="preserve">07.10m1Organizational.3</x:t>
        </x:is>
      </x:c>
      <x:c r="G77" s="5" t="inlineStr">
        <x:is>
          <x:t xml:space="preserve">07.10m1 Organizational.3</x:t>
        </x:is>
      </x:c>
      <x:c r="H77" s="5" t="n">
        <x:v>1</x:v>
      </x:c>
      <x:c r="I77" s="5" t="inlineStr">
        <x:is>
          <x:t xml:space="preserve">45 C.F.R. § 164.308(a)(1)(ii)(B)</x:t>
        </x:is>
      </x:c>
      <x:c r="J77" s="5" t="inlineStr">
        <x:is>
          <x:t xml:space="preserve">Security Management Process — Risk Management</x:t>
        </x:is>
      </x:c>
      <x:c r="K77" s="5" t="inlineStr">
        <x:is>
          <x:t xml:space="preserve">Implement security measures sufficient to reduce identified risks and vulnerabilities to a reasonable and appropriate level.</x:t>
        </x:is>
      </x:c>
      <x:c r="L77" s="5" t="inlineStr">
        <x:is>
          <x:t xml:space="preserve">Required implementation specification</x:t>
        </x:is>
      </x:c>
      <x:c r="M77" s="5" t="inlineStr">
        <x:is>
          <x:t xml:space="preserve">Administrative Safeguards</x:t>
        </x:is>
      </x:c>
      <x:c r="N77" s="28" t="inlineStr">
        <x:is>
          <x:t xml:space="preserve">https://www.ecfr.gov/current/title-45/subtitle-A/subchapter-C/part-164/section-164.308</x:t>
        </x:is>
      </x:c>
      <x:c r="O77" s="28" t="inlineStr">
        <x:is>
          <x:t xml:space="preserve">https://www.hhs.gov/hipaa/for-professionals/security/guidance/guidance-risk-analysis/index.html</x:t>
        </x:is>
      </x:c>
      <x:c r="P77" s="5" t="inlineStr">
        <x:is>
          <x:t xml:space="preserve">Many:1</x:t>
        </x:is>
      </x:c>
      <x:c r="Q77" s="5" t="inlineStr">
        <x:is>
          <x:t xml:space="preserve">Best-fit</x:t>
        </x:is>
      </x:c>
      <x:c r="R77" s="5" t="inlineStr">
        <x:is>
          <x:t xml:space="preserve">Vulnerability remediation is the treatment/mitigation step after risks are identified.</x:t>
        </x:is>
      </x:c>
      <x:c r="S77" s="5" t="inlineStr">
        <x:is>
          <x:t xml:space="preserve">Used for remediation evidence and related patch/vulnerability-management policy rows.</x:t>
        </x:is>
      </x:c>
      <x:c r="T77" s="5" t="n"/>
    </x:row>
    <x:row r="78" ht="30" customHeight="1">
      <x:c r="A78" s="5" t="inlineStr">
        <x:is>
          <x:t xml:space="preserve">HITRUST e1.csv</x:t>
        </x:is>
      </x:c>
      <x:c r="B78" s="5" t="inlineStr">
        <x:is>
          <x:t xml:space="preserve">ER-89</x:t>
        </x:is>
      </x:c>
      <x:c r="C78" s="5" t="inlineStr">
        <x:is>
          <x:t xml:space="preserve">Sample</x:t>
        </x:is>
      </x:c>
      <x:c r="D78" s="5" t="inlineStr">
        <x:is>
          <x:t xml:space="preserve">New Hire Access Request Form</x:t>
        </x:is>
      </x:c>
      <x:c r="E78" s="5" t="inlineStr">
        <x:is>
          <x:t xml:space="preserve">REQ-30-HIPAA</x:t>
        </x:is>
      </x:c>
      <x:c r="F78" s="5" t="inlineStr">
        <x:is>
          <x:t xml:space="preserve">1143.01c1System.123</x:t>
        </x:is>
      </x:c>
      <x:c r="G78" s="5" t="inlineStr">
        <x:is>
          <x:t xml:space="preserve">1143.01c1 System.123</x:t>
        </x:is>
      </x:c>
      <x:c r="H78" s="5" t="n">
        <x:v>1</x:v>
      </x:c>
      <x:c r="I78" s="5" t="inlineStr">
        <x:is>
          <x:t xml:space="preserve">45 C.F.R. § 164.308(a)(4)(ii)(B)</x:t>
        </x:is>
      </x:c>
      <x:c r="J78" s="5" t="inlineStr">
        <x:is>
          <x:t xml:space="preserve">Information Access Management — Access Authorization</x:t>
        </x:is>
      </x:c>
      <x:c r="K78" s="5" t="inlineStr">
        <x:is>
          <x:t xml:space="preserve">Implement policies and procedures for granting access to ePHI through appropriate mechanisms such as workstations, transactions, programs, or processes.</x:t>
        </x:is>
      </x:c>
      <x:c r="L78" s="5" t="inlineStr">
        <x:is>
          <x:t xml:space="preserve">Addressable implementation specification</x:t>
        </x:is>
      </x:c>
      <x:c r="M78" s="5" t="inlineStr">
        <x:is>
          <x:t xml:space="preserve">Administrative Safeguards</x:t>
        </x:is>
      </x:c>
      <x:c r="N78" s="28" t="inlineStr">
        <x:is>
          <x:t xml:space="preserve">https://www.ecfr.gov/current/title-45/subtitle-A/subchapter-C/part-164/section-164.308</x:t>
        </x:is>
      </x:c>
      <x:c r="O78" s="28" t="inlineStr">
        <x:is>
          <x:t xml:space="preserve">https://www.hhs.gov/hipaa/for-professionals/compliance-enforcement/audit/protocol-edited/index.html</x:t>
        </x:is>
      </x:c>
      <x:c r="P78" s="5" t="inlineStr">
        <x:is>
          <x:t xml:space="preserve">1:1</x:t>
        </x:is>
      </x:c>
      <x:c r="Q78" s="5" t="inlineStr">
        <x:is>
          <x:t xml:space="preserve">Direct</x:t>
        </x:is>
      </x:c>
      <x:c r="R78" s="5" t="inlineStr">
        <x:is>
          <x:t xml:space="preserve">New-hire access request and approval evidence aligns directly to access authorization.</x:t>
        </x:is>
      </x:c>
      <x:c r="S78" s="5" t="inlineStr">
        <x:is>
          <x:t xml:space="preserve">Used for access-request forms/templates and access-control rows that center on approvals.</x:t>
        </x:is>
      </x:c>
      <x:c r="T78" s="5" t="n"/>
    </x:row>
    <x:row r="79" ht="30" customHeight="1">
      <x:c r="A79" s="5" t="inlineStr">
        <x:is>
          <x:t xml:space="preserve">HITRUST e1.csv</x:t>
        </x:is>
      </x:c>
      <x:c r="B79" s="5" t="inlineStr">
        <x:is>
          <x:t xml:space="preserve">ER-33</x:t>
        </x:is>
      </x:c>
      <x:c r="C79" s="5" t="inlineStr">
        <x:is>
          <x:t xml:space="preserve">Sample</x:t>
        </x:is>
      </x:c>
      <x:c r="D79" s="5" t="inlineStr">
        <x:is>
          <x:t xml:space="preserve">New Hire Security Awareness Training</x:t>
        </x:is>
      </x:c>
      <x:c r="E79" s="5" t="inlineStr">
        <x:is>
          <x:t xml:space="preserve">REQ-12-HIPAA</x:t>
        </x:is>
      </x:c>
      <x:c r="F79" s="5" t="inlineStr">
        <x:is>
          <x:t xml:space="preserve">13.02e1Organizational.6, 1308.09j1Organizational.5.a, 13998.02e1Organizational.2</x:t>
        </x:is>
      </x:c>
      <x:c r="G79" s="5" t="inlineStr">
        <x:is>
          <x:t xml:space="preserve">13.02e1 Organizational.6, 1308.09j1 Organizational.5.a, 13998.02e1 Organizational.2</x:t>
        </x:is>
      </x:c>
      <x:c r="H79" s="5" t="n">
        <x:v>3</x:v>
      </x:c>
      <x:c r="I79" s="5" t="inlineStr">
        <x:is>
          <x:t xml:space="preserve">45 C.F.R. § 164.308(a)(5)</x:t>
        </x:is>
      </x:c>
      <x:c r="J79" s="5" t="inlineStr">
        <x:is>
          <x:t xml:space="preserve">Security Awareness and Training</x:t>
        </x:is>
      </x:c>
      <x:c r="K79" s="5" t="inlineStr">
        <x:is>
          <x:t xml:space="preserve">Implement a security awareness and training program for all members of the workforce, including management.</x:t>
        </x:is>
      </x:c>
      <x:c r="L79" s="5" t="inlineStr">
        <x:is>
          <x:t xml:space="preserve">Standard</x:t>
        </x:is>
      </x:c>
      <x:c r="M79" s="5" t="inlineStr">
        <x:is>
          <x:t xml:space="preserve">Administrative Safeguards</x:t>
        </x:is>
      </x:c>
      <x:c r="N79" s="28" t="inlineStr">
        <x:is>
          <x:t xml:space="preserve">https://www.ecfr.gov/current/title-45/subtitle-A/subchapter-C/part-164/section-164.308</x:t>
        </x:is>
      </x:c>
      <x:c r="O79" s="28" t="inlineStr">
        <x:is>
          <x:t xml:space="preserve">https://www.hhs.gov/sites/default/files/ocr/privacy/hipaa/administrative/securityrule/adminsafeguards.pdf</x:t>
        </x:is>
      </x:c>
      <x:c r="P79" s="5" t="inlineStr">
        <x:is>
          <x:t xml:space="preserve">1:Many</x:t>
        </x:is>
      </x:c>
      <x:c r="Q79" s="5" t="inlineStr">
        <x:is>
          <x:t xml:space="preserve">Direct</x:t>
        </x:is>
      </x:c>
      <x:c r="R79" s="5" t="inlineStr">
        <x:is>
          <x:t xml:space="preserve">Action item and control context align to workforce security-awareness training for new hires.</x:t>
        </x:is>
      </x:c>
      <x:c r="S79" s="5" t="inlineStr">
        <x:is>
          <x:t xml:space="preserve">Mapped at the standard level because the spreadsheet does not break new-hire training into the more granular addressable sub-specifications.</x:t>
        </x:is>
      </x:c>
      <x:c r="T79" s="5" t="n"/>
    </x:row>
    <x:row r="80" ht="30" customHeight="1">
      <x:c r="A80" s="5" t="inlineStr">
        <x:is>
          <x:t xml:space="preserve">HITRUST e1.csv</x:t>
        </x:is>
      </x:c>
      <x:c r="B80" s="5" t="inlineStr">
        <x:is>
          <x:t xml:space="preserve">ER-62</x:t>
        </x:is>
      </x:c>
      <x:c r="C80" s="5" t="inlineStr">
        <x:is>
          <x:t xml:space="preserve">Sample</x:t>
        </x:is>
      </x:c>
      <x:c r="D80" s="5" t="inlineStr">
        <x:is>
          <x:t xml:space="preserve">Software/Infrastructure Production Change Ticket</x:t>
        </x:is>
      </x:c>
      <x:c r="E80" s="5" t="inlineStr">
        <x:is>
          <x:t xml:space="preserve">REQ-55-HIPAA</x:t>
        </x:is>
      </x:c>
      <x:c r="F80" s="5" t="inlineStr">
        <x:is>
          <x:t xml:space="preserve">06.09b1System.2</x:t>
        </x:is>
      </x:c>
      <x:c r="G80" s="5" t="inlineStr">
        <x:is>
          <x:t xml:space="preserve">06.09b1 System.2</x:t>
        </x:is>
      </x:c>
      <x:c r="H80" s="5" t="n">
        <x:v>1</x:v>
      </x:c>
      <x:c r="I80" s="5" t="inlineStr">
        <x:is>
          <x:t xml:space="preserve">45 C.F.R. § 164.308(a)(8)</x:t>
        </x:is>
      </x:c>
      <x:c r="J80" s="5" t="inlineStr">
        <x:is>
          <x:t xml:space="preserve">Evaluation</x:t>
        </x:is>
      </x:c>
      <x:c r="K80" s="5" t="inlineStr">
        <x:is>
          <x:t xml:space="preserve">Perform periodic technical and nontechnical evaluations, and repeat them in response to environmental or operational changes affecting the security of ePHI.</x:t>
        </x:is>
      </x:c>
      <x:c r="L80" s="5" t="inlineStr">
        <x:is>
          <x:t xml:space="preserve">Required standard</x:t>
        </x:is>
      </x:c>
      <x:c r="M80" s="5" t="inlineStr">
        <x:is>
          <x:t xml:space="preserve">Administrative Safeguards</x:t>
        </x:is>
      </x:c>
      <x:c r="N80" s="28" t="inlineStr">
        <x:is>
          <x:t xml:space="preserve">https://www.ecfr.gov/current/title-45/subtitle-A/subchapter-C/part-164/section-164.308</x:t>
        </x:is>
      </x:c>
      <x:c r="O80" s="28" t="inlineStr">
        <x:is>
          <x:t xml:space="preserve">https://www.hhs.gov/ocr/privacy/hipaa/administrative/securityrule/index.html</x:t>
        </x:is>
      </x:c>
      <x:c r="P80" s="5" t="inlineStr">
        <x:is>
          <x:t xml:space="preserve">1:1</x:t>
        </x:is>
      </x:c>
      <x:c r="Q80" s="5" t="inlineStr">
        <x:is>
          <x:t xml:space="preserve">Best-fit composite</x:t>
        </x:is>
      </x:c>
      <x:c r="R80" s="5" t="inlineStr">
        <x:is>
          <x:t xml:space="preserve">Production-change tickets/population evidence are not a named HIPAA specification, but they are strong evidence of evaluating and documenting operational changes affecting ePHI safeguards.</x:t>
        </x:is>
      </x:c>
      <x:c r="S80" s="5" t="inlineStr">
        <x:is>
          <x:t xml:space="preserve">Best-fit evidence mapping; HIPAA does not mandate a particular ticketing mechanism.</x:t>
        </x:is>
      </x:c>
      <x:c r="T80" s="5" t="n"/>
    </x:row>
    <x:row r="81" ht="30" customHeight="1">
      <x:c r="A81" s="5" t="inlineStr">
        <x:is>
          <x:t xml:space="preserve">HITRUST e1.csv</x:t>
        </x:is>
      </x:c>
      <x:c r="B81" s="5" t="inlineStr">
        <x:is>
          <x:t xml:space="preserve">ER-62</x:t>
        </x:is>
      </x:c>
      <x:c r="C81" s="5" t="inlineStr">
        <x:is>
          <x:t xml:space="preserve">Sample</x:t>
        </x:is>
      </x:c>
      <x:c r="D81" s="5" t="inlineStr">
        <x:is>
          <x:t xml:space="preserve">Software/Infrastructure Production Change Ticket</x:t>
        </x:is>
      </x:c>
      <x:c r="E81" s="5" t="inlineStr">
        <x:is>
          <x:t xml:space="preserve">REQ-55-HIPAA</x:t>
        </x:is>
      </x:c>
      <x:c r="F81" s="5" t="inlineStr">
        <x:is>
          <x:t xml:space="preserve">06.09b1System.2</x:t>
        </x:is>
      </x:c>
      <x:c r="G81" s="5" t="inlineStr">
        <x:is>
          <x:t xml:space="preserve">06.09b1 System.2</x:t>
        </x:is>
      </x:c>
      <x:c r="H81" s="5" t="n">
        <x:v>1</x:v>
      </x:c>
      <x:c r="I81" s="5" t="inlineStr">
        <x:is>
          <x:t xml:space="preserve">45 C.F.R. § 164.316(b)(1)</x:t>
        </x:is>
      </x:c>
      <x:c r="J81" s="5" t="inlineStr">
        <x:is>
          <x:t xml:space="preserve">Documentation</x:t>
        </x:is>
      </x:c>
      <x:c r="K81" s="5" t="inlineStr">
        <x:is>
          <x:t xml:space="preserve">Maintain written or electronic policies and procedures implemented to comply with the Security Rule and written or electronic records of required actions, activities, and assessments.</x:t>
        </x:is>
      </x:c>
      <x:c r="L81" s="5" t="inlineStr">
        <x:is>
          <x:t xml:space="preserve">Standard</x:t>
        </x:is>
      </x:c>
      <x:c r="M81" s="5" t="inlineStr">
        <x:is>
          <x:t xml:space="preserve">Policies / Documentation</x:t>
        </x:is>
      </x:c>
      <x:c r="N81" s="28" t="inlineStr">
        <x:is>
          <x:t xml:space="preserve">https://www.ecfr.gov/current/title-45/subtitle-A/subchapter-C/part-164/section-164.316</x:t>
        </x:is>
      </x:c>
      <x:c r="O81" s="28" t="inlineStr">
        <x:is>
          <x:t xml:space="preserve">https://www.hhs.gov/sites/default/files/ocr/privacy/hipaa/administrative/securityrule/pprequirements.pdf</x:t>
        </x:is>
      </x:c>
      <x:c r="P81" s="5" t="inlineStr">
        <x:is>
          <x:t xml:space="preserve">1:1</x:t>
        </x:is>
      </x:c>
      <x:c r="Q81" s="5" t="inlineStr">
        <x:is>
          <x:t xml:space="preserve">Best-fit composite</x:t>
        </x:is>
      </x:c>
      <x:c r="R81" s="5" t="inlineStr">
        <x:is>
          <x:t xml:space="preserve">Production-change tickets/population evidence are not a named HIPAA specification, but they are strong evidence of evaluating and documenting operational changes affecting ePHI safeguards.</x:t>
        </x:is>
      </x:c>
      <x:c r="S81" s="5" t="inlineStr">
        <x:is>
          <x:t xml:space="preserve">Best-fit evidence mapping; HIPAA does not mandate a particular ticketing mechanism.</x:t>
        </x:is>
      </x:c>
      <x:c r="T81" s="5" t="n"/>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8" customWidth="1"/>
    <x:col min="2" max="2" width="28" customWidth="1"/>
    <x:col min="3" max="3" width="19" customWidth="1"/>
    <x:col min="4" max="4" width="60" customWidth="1"/>
    <x:col min="5" max="5" width="23" customWidth="1"/>
    <x:col min="6" max="6" width="20" customWidth="1"/>
    <x:col min="7" max="7" width="20" customWidth="1"/>
    <x:col min="8" max="8" width="60" customWidth="1"/>
    <x:col min="9" max="9" width="60" customWidth="1"/>
    <x:col min="10" max="10" width="33" customWidth="1"/>
    <x:col min="11" max="11" width="60" customWidth="1"/>
    <x:col min="12" max="12" width="45" customWidth="1"/>
    <x:col min="13" max="13" width="60" customWidth="1"/>
    <x:col min="14" max="14" width="28" customWidth="1"/>
    <x:col min="15" max="15" width="25" customWidth="1"/>
    <x:col min="16" max="16" width="60" customWidth="1"/>
    <x:col min="17" max="17" width="60" customWidth="1"/>
    <x:col min="18" max="18" width="15" customWidth="1"/>
    <x:col min="19" max="19" width="15" customWidth="1"/>
    <x:col min="20" max="20" width="20" customWidth="1"/>
    <x:col min="21" max="21" width="28" customWidth="1"/>
    <x:col min="22" max="22" width="32" customWidth="1"/>
    <x:col min="23" max="23" width="60" customWidth="1"/>
    <x:col min="24" max="24" width="32" customWidth="1"/>
    <x:col min="25" max="25" width="27" customWidth="1"/>
    <x:col min="26" max="26" width="45" customWidth="1"/>
    <x:col min="27" max="27" width="45" customWidth="1"/>
    <x:col min="28" max="28" width="28" customWidth="1"/>
    <x:col min="29" max="29" width="32" customWidth="1"/>
    <x:col min="30" max="30" width="60" customWidth="1"/>
    <x:col min="31" max="31" width="32" customWidth="1"/>
    <x:col min="32" max="32" width="27" customWidth="1"/>
    <x:col min="33" max="33" width="45" customWidth="1"/>
    <x:col min="34" max="34" width="45" customWidth="1"/>
    <x:col min="35" max="35" width="28" customWidth="1"/>
    <x:col min="36" max="36" width="32" customWidth="1"/>
    <x:col min="37" max="37" width="60" customWidth="1"/>
    <x:col min="38" max="38" width="32" customWidth="1"/>
    <x:col min="39" max="39" width="26" customWidth="1"/>
    <x:col min="40" max="40" width="45" customWidth="1"/>
    <x:col min="41" max="41" width="45" customWidth="1"/>
    <x:col min="42" max="42" width="24" customWidth="1"/>
    <x:col min="43" max="43" width="15" customWidth="1"/>
  </x:cols>
  <x:sheetData>
    <x:row r="1" ht="30" customHeight="1">
      <x:c r="A1" s="11" t="inlineStr">
        <x:is>
          <x:t xml:space="preserve">HIPAA Control</x:t>
        </x:is>
      </x:c>
      <x:c r="B1" s="11" t="inlineStr">
        <x:is>
          <x:t xml:space="preserve">HITRUST e1 Control</x:t>
        </x:is>
      </x:c>
      <x:c r="C1" s="11" t="inlineStr">
        <x:is>
          <x:t xml:space="preserve">Action Item Count</x:t>
        </x:is>
      </x:c>
      <x:c r="D1" s="11" t="inlineStr">
        <x:is>
          <x:t xml:space="preserve">Action Items</x:t>
        </x:is>
      </x:c>
      <x:c r="E1" s="11" t="inlineStr">
        <x:is>
          <x:t xml:space="preserve">Categories</x:t>
        </x:is>
      </x:c>
      <x:c r="F1" s="11" t="inlineStr">
        <x:is>
          <x:t xml:space="preserve">Source Files</x:t>
        </x:is>
      </x:c>
      <x:c r="G1" s="11" t="inlineStr">
        <x:is>
          <x:t xml:space="preserve">Mapping Types Seen</x:t>
        </x:is>
      </x:c>
      <x:c r="H1" s="11" t="inlineStr">
        <x:is>
          <x:t xml:space="preserve">HIPAA 45 CFR Citation(s)</x:t>
        </x:is>
      </x:c>
      <x:c r="I1" s="11" t="inlineStr">
        <x:is>
          <x:t xml:space="preserve">HIPAA Standard / Spec</x:t>
        </x:is>
      </x:c>
      <x:c r="J1" s="11" t="inlineStr">
        <x:is>
          <x:t xml:space="preserve">45 CFR Mapping Confidence</x:t>
        </x:is>
      </x:c>
      <x:c r="K1" s="11" t="inlineStr">
        <x:is>
          <x:t xml:space="preserve">45 CFR Mapping Basis</x:t>
        </x:is>
      </x:c>
      <x:c r="L1" s="11" t="inlineStr">
        <x:is>
          <x:t xml:space="preserve">Authoritative Public Source URL(s)</x:t>
        </x:is>
      </x:c>
      <x:c r="M1" s="11" t="inlineStr">
        <x:is>
          <x:t xml:space="preserve">45 CFR Notes</x:t>
        </x:is>
      </x:c>
      <x:c r="N1" s="11" t="inlineStr">
        <x:is>
          <x:t xml:space="preserve">HITRUST e1 Control Display</x:t>
        </x:is>
      </x:c>
      <x:c r="O1" s="11" t="inlineStr">
        <x:is>
          <x:t xml:space="preserve">Official Citation Count</x:t>
        </x:is>
      </x:c>
      <x:c r="P1" s="11" t="inlineStr">
        <x:is>
          <x:t xml:space="preserve">Official Citation Adjustment Notes</x:t>
        </x:is>
      </x:c>
      <x:c r="Q1" s="11" t="inlineStr">
        <x:is>
          <x:t xml:space="preserve">Action_Item_1</x:t>
        </x:is>
      </x:c>
      <x:c r="R1" s="11" t="inlineStr">
        <x:is>
          <x:t xml:space="preserve">Category_1</x:t>
        </x:is>
      </x:c>
      <x:c r="S1" s="11" t="inlineStr">
        <x:is>
          <x:t xml:space="preserve">Category_2</x:t>
        </x:is>
      </x:c>
      <x:c r="T1" s="11" t="inlineStr">
        <x:is>
          <x:t xml:space="preserve">Source_File_1</x:t>
        </x:is>
      </x:c>
      <x:c r="U1" s="11" t="inlineStr">
        <x:is>
          <x:t xml:space="preserve">45_CFR_Citation_1</x:t>
        </x:is>
      </x:c>
      <x:c r="V1" s="11" t="inlineStr">
        <x:is>
          <x:t xml:space="preserve">HIPAA_Requirement_Title_1</x:t>
        </x:is>
      </x:c>
      <x:c r="W1" s="11" t="inlineStr">
        <x:is>
          <x:t xml:space="preserve">HIPAA_Requirement_Summary_1</x:t>
        </x:is>
      </x:c>
      <x:c r="X1" s="11" t="inlineStr">
        <x:is>
          <x:t xml:space="preserve">Implementation_Type_1</x:t>
        </x:is>
      </x:c>
      <x:c r="Y1" s="11" t="inlineStr">
        <x:is>
          <x:t xml:space="preserve">Safeguard_Family_1</x:t>
        </x:is>
      </x:c>
      <x:c r="Z1" s="11" t="inlineStr">
        <x:is>
          <x:t xml:space="preserve">Official_Section_URL_1</x:t>
        </x:is>
      </x:c>
      <x:c r="AA1" s="11" t="inlineStr">
        <x:is>
          <x:t xml:space="preserve">Official_Support_URL_1</x:t>
        </x:is>
      </x:c>
      <x:c r="AB1" s="11" t="inlineStr">
        <x:is>
          <x:t xml:space="preserve">45_CFR_Citation_2</x:t>
        </x:is>
      </x:c>
      <x:c r="AC1" s="11" t="inlineStr">
        <x:is>
          <x:t xml:space="preserve">HIPAA_Requirement_Title_2</x:t>
        </x:is>
      </x:c>
      <x:c r="AD1" s="11" t="inlineStr">
        <x:is>
          <x:t xml:space="preserve">HIPAA_Requirement_Summary_2</x:t>
        </x:is>
      </x:c>
      <x:c r="AE1" s="11" t="inlineStr">
        <x:is>
          <x:t xml:space="preserve">Implementation_Type_2</x:t>
        </x:is>
      </x:c>
      <x:c r="AF1" s="11" t="inlineStr">
        <x:is>
          <x:t xml:space="preserve">Safeguard_Family_2</x:t>
        </x:is>
      </x:c>
      <x:c r="AG1" s="11" t="inlineStr">
        <x:is>
          <x:t xml:space="preserve">Official_Section_URL_2</x:t>
        </x:is>
      </x:c>
      <x:c r="AH1" s="11" t="inlineStr">
        <x:is>
          <x:t xml:space="preserve">Official_Support_URL_2</x:t>
        </x:is>
      </x:c>
      <x:c r="AI1" s="11" t="inlineStr">
        <x:is>
          <x:t xml:space="preserve">45_CFR_Citation_3</x:t>
        </x:is>
      </x:c>
      <x:c r="AJ1" s="11" t="inlineStr">
        <x:is>
          <x:t xml:space="preserve">HIPAA_Requirement_Title_3</x:t>
        </x:is>
      </x:c>
      <x:c r="AK1" s="11" t="inlineStr">
        <x:is>
          <x:t xml:space="preserve">HIPAA_Requirement_Summary_3</x:t>
        </x:is>
      </x:c>
      <x:c r="AL1" s="11" t="inlineStr">
        <x:is>
          <x:t xml:space="preserve">Implementation_Type_3</x:t>
        </x:is>
      </x:c>
      <x:c r="AM1" s="11" t="inlineStr">
        <x:is>
          <x:t xml:space="preserve">Safeguard_Family_3</x:t>
        </x:is>
      </x:c>
      <x:c r="AN1" s="11" t="inlineStr">
        <x:is>
          <x:t xml:space="preserve">Official_Section_URL_3</x:t>
        </x:is>
      </x:c>
      <x:c r="AO1" s="11" t="inlineStr">
        <x:is>
          <x:t xml:space="preserve">Official_Support_URL_3</x:t>
        </x:is>
      </x:c>
      <x:c r="AP1" s="11" t="inlineStr">
        <x:is>
          <x:t xml:space="preserve">Action_Item_2</x:t>
        </x:is>
      </x:c>
      <x:c r="AQ1" s="11" t="inlineStr">
        <x:is>
          <x:t xml:space="preserve">Action_Item_3</x:t>
        </x:is>
      </x:c>
    </x:row>
    <x:row r="2" ht="30" customHeight="1">
      <x:c r="A2" s="5" t="inlineStr">
        <x:is>
          <x:t xml:space="preserve">REQ-1-HIPAA</x:t>
        </x:is>
      </x:c>
      <x:c r="B2" s="5" t="inlineStr">
        <x:is>
          <x:t xml:space="preserve">0113.04a1Organizational.2</x:t>
        </x:is>
      </x:c>
      <x:c r="C2" s="5" t="n">
        <x:v>2</x:v>
      </x:c>
      <x:c r="D2" s="5" t="inlineStr">
        <x:is>
          <x:t xml:space="preserve">Information Security; Information Security Policy Repository</x:t>
        </x:is>
      </x:c>
      <x:c r="E2" s="5" t="inlineStr">
        <x:is>
          <x:t xml:space="preserve">Policy, Operational</x:t>
        </x:is>
      </x:c>
      <x:c r="F2" s="5" t="inlineStr">
        <x:is>
          <x:t xml:space="preserve">HITRUST e1.csv</x:t>
        </x:is>
      </x:c>
      <x:c r="G2" s="5" t="inlineStr">
        <x:is>
          <x:t xml:space="preserve">Many:1</x:t>
        </x:is>
      </x:c>
      <x:c r="H2" s="5" t="inlineStr">
        <x:is>
          <x:t xml:space="preserve">45 CFR § 164.316(a) | 45 CFR § 164.316(b)(1)</x:t>
        </x:is>
      </x:c>
      <x:c r="I2" s="5" t="inlineStr">
        <x:is>
          <x:t xml:space="preserve">Policies and Procedures | Documentation</x:t>
        </x:is>
      </x:c>
      <x:c r="J2" s="5" t="inlineStr">
        <x:is>
          <x:t xml:space="preserve">Best-fit (broad policy control)</x:t>
        </x:is>
      </x:c>
      <x:c r="K2" s="5" t="inlineStr">
        <x:is>
          <x:t xml:space="preserve">Internal control/action item is a general information-security policy repository rather than a single named HIPAA implementation specification; mapped to the Security Rule's policies/procedures and documentation requirements.</x:t>
        </x:is>
      </x:c>
      <x:c r="L2" s="28" t="inlineStr">
        <x:is>
          <x:t xml:space="preserve">https://www.ecfr.gov/current/title-45/subtitle-A/subchapter-C/part-164/section-164.316 | https://www.hhs.gov/sites/default/files/ocr/privacy/hipaa/administrative/securityrule/pprequirements.pdf | https://www.hhs.gov/ocr/privacy/hipaa/administrative/securityrule/index.html</x:t>
        </x:is>
      </x:c>
      <x:c r="M2" s="5" t="inlineStr">
        <x:is>
          <x:t xml:space="preserve">Used as the umbrella HIPAA citation for documented security policies. This is broader than any single safeguard requirement.</x:t>
        </x:is>
      </x:c>
      <x:c r="N2" s="5" t="inlineStr">
        <x:is>
          <x:t xml:space="preserve">0113.04a1 Organizational.2</x:t>
        </x:is>
      </x:c>
      <x:c r="O2" s="5" t="n">
        <x:v>2</x:v>
      </x:c>
      <x:c r="P2" s="5" t="n"/>
      <x:c r="Q2" s="5" t="inlineStr">
        <x:is>
          <x:t xml:space="preserve">Information Security; Information Security Policy Repository</x:t>
        </x:is>
      </x:c>
      <x:c r="R2" s="5" t="inlineStr">
        <x:is>
          <x:t xml:space="preserve">Policy</x:t>
        </x:is>
      </x:c>
      <x:c r="S2" s="5" t="inlineStr">
        <x:is>
          <x:t xml:space="preserve">Operational</x:t>
        </x:is>
      </x:c>
      <x:c r="T2" s="5" t="inlineStr">
        <x:is>
          <x:t xml:space="preserve">HITRUST e1.csv</x:t>
        </x:is>
      </x:c>
      <x:c r="U2" s="5" t="inlineStr">
        <x:is>
          <x:t xml:space="preserve">45 C.F.R. § 164.316(a)</x:t>
        </x:is>
      </x:c>
      <x:c r="V2" s="5" t="inlineStr">
        <x:is>
          <x:t xml:space="preserve">Policies and Procedures</x:t>
        </x:is>
      </x:c>
      <x:c r="W2" s="5" t="inlineStr">
        <x:is>
          <x:t xml:space="preserve">Implement reasonable and appropriate policies and procedures to comply with the Security Rule standards, implementation specifications, and other requirements.</x:t>
        </x:is>
      </x:c>
      <x:c r="X2" s="5" t="inlineStr">
        <x:is>
          <x:t xml:space="preserve">Standard</x:t>
        </x:is>
      </x:c>
      <x:c r="Y2" s="5" t="inlineStr">
        <x:is>
          <x:t xml:space="preserve">Policies / Documentation</x:t>
        </x:is>
      </x:c>
      <x:c r="Z2" s="28" t="inlineStr">
        <x:is>
          <x:t xml:space="preserve">https://www.ecfr.gov/current/title-45/subtitle-A/subchapter-C/part-164/section-164.316</x:t>
        </x:is>
      </x:c>
      <x:c r="AA2" s="28" t="inlineStr">
        <x:is>
          <x:t xml:space="preserve">https://www.hhs.gov/sites/default/files/ocr/privacy/hipaa/administrative/securityrule/pprequirements.pdf</x:t>
        </x:is>
      </x:c>
      <x:c r="AB2" s="5" t="inlineStr">
        <x:is>
          <x:t xml:space="preserve">45 C.F.R. § 164.316(b)(1)</x:t>
        </x:is>
      </x:c>
      <x:c r="AC2" s="5" t="inlineStr">
        <x:is>
          <x:t xml:space="preserve">Documentation</x:t>
        </x:is>
      </x:c>
      <x:c r="AD2" s="5" t="inlineStr">
        <x:is>
          <x:t xml:space="preserve">Maintain written or electronic policies and procedures implemented to comply with the Security Rule and written or electronic records of required actions, activities, and assessments.</x:t>
        </x:is>
      </x:c>
      <x:c r="AE2" s="5" t="inlineStr">
        <x:is>
          <x:t xml:space="preserve">Standard</x:t>
        </x:is>
      </x:c>
      <x:c r="AF2" s="5" t="inlineStr">
        <x:is>
          <x:t xml:space="preserve">Policies / Documentation</x:t>
        </x:is>
      </x:c>
      <x:c r="AG2" s="28" t="inlineStr">
        <x:is>
          <x:t xml:space="preserve">https://www.ecfr.gov/current/title-45/subtitle-A/subchapter-C/part-164/section-164.316</x:t>
        </x:is>
      </x:c>
      <x:c r="AH2" s="28" t="inlineStr">
        <x:is>
          <x:t xml:space="preserve">https://www.hhs.gov/sites/default/files/ocr/privacy/hipaa/administrative/securityrule/pprequirements.pdf</x:t>
        </x:is>
      </x:c>
      <x:c r="AI2" s="5" t="n"/>
      <x:c r="AJ2" s="5" t="n"/>
      <x:c r="AK2" s="5" t="n"/>
      <x:c r="AL2" s="5" t="n"/>
      <x:c r="AM2" s="5" t="n"/>
      <x:c r="AN2" s="5" t="n"/>
      <x:c r="AO2" s="5" t="n"/>
      <x:c r="AP2" s="5" t="n"/>
      <x:c r="AQ2" s="5" t="n"/>
    </x:row>
    <x:row r="3" ht="30" customHeight="1">
      <x:c r="A3" s="5" t="inlineStr">
        <x:is>
          <x:t xml:space="preserve">REQ-12-HIPAA</x:t>
        </x:is>
      </x:c>
      <x:c r="B3" s="5" t="inlineStr">
        <x:is>
          <x:t xml:space="preserve">0113.04a1Organizational.2</x:t>
        </x:is>
      </x:c>
      <x:c r="C3" s="5" t="n">
        <x:v>2</x:v>
      </x:c>
      <x:c r="D3" s="5" t="inlineStr">
        <x:is>
          <x:t xml:space="preserve">Information Security; Information Security Policy Repository</x:t>
        </x:is>
      </x:c>
      <x:c r="E3" s="5" t="inlineStr">
        <x:is>
          <x:t xml:space="preserve">Policy, Operational</x:t>
        </x:is>
      </x:c>
      <x:c r="F3" s="5" t="inlineStr">
        <x:is>
          <x:t xml:space="preserve">HITRUST e1.csv</x:t>
        </x:is>
      </x:c>
      <x:c r="G3" s="5" t="inlineStr">
        <x:is>
          <x:t xml:space="preserve">Many:1</x:t>
        </x:is>
      </x:c>
      <x:c r="H3" s="5" t="inlineStr">
        <x:is>
          <x:t xml:space="preserve">45 CFR § 164.308(a)(5)</x:t>
        </x:is>
      </x:c>
      <x:c r="I3" s="5" t="inlineStr">
        <x:is>
          <x:t xml:space="preserve">Security Awareness and Training</x:t>
        </x:is>
      </x:c>
      <x:c r="J3" s="5" t="inlineStr">
        <x:is>
          <x:t xml:space="preserve">Direct</x:t>
        </x:is>
      </x:c>
      <x:c r="K3" s="5" t="inlineStr">
        <x:is>
          <x:t xml:space="preserve">Action item and control context align to workforce security-awareness training for new hires.</x:t>
        </x:is>
      </x:c>
      <x:c r="L3"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3" s="5" t="inlineStr">
        <x:is>
          <x:t xml:space="preserve">Mapped at the standard level because the spreadsheet does not break new-hire training into the more granular addressable sub-specifications.</x:t>
        </x:is>
      </x:c>
      <x:c r="N3" s="5" t="inlineStr">
        <x:is>
          <x:t xml:space="preserve">0113.04a1 Organizational.2</x:t>
        </x:is>
      </x:c>
      <x:c r="O3" s="5" t="n">
        <x:v>1</x:v>
      </x:c>
      <x:c r="P3" s="5" t="n"/>
      <x:c r="Q3" s="5" t="inlineStr">
        <x:is>
          <x:t xml:space="preserve">Information Security; Information Security Policy Repository</x:t>
        </x:is>
      </x:c>
      <x:c r="R3" s="5" t="inlineStr">
        <x:is>
          <x:t xml:space="preserve">Policy</x:t>
        </x:is>
      </x:c>
      <x:c r="S3" s="5" t="inlineStr">
        <x:is>
          <x:t xml:space="preserve">Operational</x:t>
        </x:is>
      </x:c>
      <x:c r="T3" s="5" t="inlineStr">
        <x:is>
          <x:t xml:space="preserve">HITRUST e1.csv</x:t>
        </x:is>
      </x:c>
      <x:c r="U3" s="5" t="inlineStr">
        <x:is>
          <x:t xml:space="preserve">45 C.F.R. § 164.308(a)(5)</x:t>
        </x:is>
      </x:c>
      <x:c r="V3" s="5" t="inlineStr">
        <x:is>
          <x:t xml:space="preserve">Security Awareness and Training</x:t>
        </x:is>
      </x:c>
      <x:c r="W3" s="5" t="inlineStr">
        <x:is>
          <x:t xml:space="preserve">Implement a security awareness and training program for all members of the workforce, including management.</x:t>
        </x:is>
      </x:c>
      <x:c r="X3" s="5" t="inlineStr">
        <x:is>
          <x:t xml:space="preserve">Standard</x:t>
        </x:is>
      </x:c>
      <x:c r="Y3" s="5" t="inlineStr">
        <x:is>
          <x:t xml:space="preserve">Administrative Safeguards</x:t>
        </x:is>
      </x:c>
      <x:c r="Z3" s="28" t="inlineStr">
        <x:is>
          <x:t xml:space="preserve">https://www.ecfr.gov/current/title-45/subtitle-A/subchapter-C/part-164/section-164.308</x:t>
        </x:is>
      </x:c>
      <x:c r="AA3" s="28" t="inlineStr">
        <x:is>
          <x:t xml:space="preserve">https://www.hhs.gov/sites/default/files/ocr/privacy/hipaa/administrative/securityrule/adminsafeguards.pdf</x:t>
        </x:is>
      </x:c>
      <x:c r="AB3" s="5" t="n"/>
      <x:c r="AC3" s="5" t="n"/>
      <x:c r="AD3" s="5" t="n"/>
      <x:c r="AE3" s="5" t="n"/>
      <x:c r="AF3" s="5" t="n"/>
      <x:c r="AG3" s="5" t="n"/>
      <x:c r="AH3" s="5" t="n"/>
      <x:c r="AI3" s="5" t="n"/>
      <x:c r="AJ3" s="5" t="n"/>
      <x:c r="AK3" s="5" t="n"/>
      <x:c r="AL3" s="5" t="n"/>
      <x:c r="AM3" s="5" t="n"/>
      <x:c r="AN3" s="5" t="n"/>
      <x:c r="AO3" s="5" t="n"/>
      <x:c r="AP3" s="5" t="n"/>
      <x:c r="AQ3" s="5" t="n"/>
    </x:row>
    <x:row r="4" ht="30" customHeight="1">
      <x:c r="A4" s="5" t="inlineStr">
        <x:is>
          <x:t xml:space="preserve">REQ-13-HIPAA</x:t>
        </x:is>
      </x:c>
      <x:c r="B4" s="5" t="inlineStr">
        <x:is>
          <x:t xml:space="preserve">0113.04a1Organizational.2</x:t>
        </x:is>
      </x:c>
      <x:c r="C4" s="5" t="n">
        <x:v>2</x:v>
      </x:c>
      <x:c r="D4" s="5" t="inlineStr">
        <x:is>
          <x:t xml:space="preserve">Information Security; Information Security Policy Repository</x:t>
        </x:is>
      </x:c>
      <x:c r="E4" s="5" t="inlineStr">
        <x:is>
          <x:t xml:space="preserve">Policy, Operational</x:t>
        </x:is>
      </x:c>
      <x:c r="F4" s="5" t="inlineStr">
        <x:is>
          <x:t xml:space="preserve">HITRUST e1.csv</x:t>
        </x:is>
      </x:c>
      <x:c r="G4" s="5" t="inlineStr">
        <x:is>
          <x:t xml:space="preserve">Many:1</x:t>
        </x:is>
      </x:c>
      <x:c r="H4" s="5" t="inlineStr">
        <x:is>
          <x:t xml:space="preserve">45 CFR § 164.308(a)(5)</x:t>
        </x:is>
      </x:c>
      <x:c r="I4" s="5" t="inlineStr">
        <x:is>
          <x:t xml:space="preserve">Security Awareness and Training</x:t>
        </x:is>
      </x:c>
      <x:c r="J4" s="5" t="inlineStr">
        <x:is>
          <x:t xml:space="preserve">Direct</x:t>
        </x:is>
      </x:c>
      <x:c r="K4" s="5" t="inlineStr">
        <x:is>
          <x:t xml:space="preserve">Action item and control context align to ongoing/current-employee security-awareness training.</x:t>
        </x:is>
      </x:c>
      <x:c r="L4"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4" s="5" t="inlineStr">
        <x:is>
          <x:t xml:space="preserve">Mapped at the standard level because the spreadsheet expresses periodic training broadly, not only reminders or phishing-specific sub-controls.</x:t>
        </x:is>
      </x:c>
      <x:c r="N4" s="5" t="inlineStr">
        <x:is>
          <x:t xml:space="preserve">0113.04a1 Organizational.2</x:t>
        </x:is>
      </x:c>
      <x:c r="O4" s="5" t="n">
        <x:v>1</x:v>
      </x:c>
      <x:c r="P4" s="5" t="n"/>
      <x:c r="Q4" s="5" t="inlineStr">
        <x:is>
          <x:t xml:space="preserve">Information Security; Information Security Policy Repository</x:t>
        </x:is>
      </x:c>
      <x:c r="R4" s="5" t="inlineStr">
        <x:is>
          <x:t xml:space="preserve">Policy</x:t>
        </x:is>
      </x:c>
      <x:c r="S4" s="5" t="inlineStr">
        <x:is>
          <x:t xml:space="preserve">Operational</x:t>
        </x:is>
      </x:c>
      <x:c r="T4" s="5" t="inlineStr">
        <x:is>
          <x:t xml:space="preserve">HITRUST e1.csv</x:t>
        </x:is>
      </x:c>
      <x:c r="U4" s="5" t="inlineStr">
        <x:is>
          <x:t xml:space="preserve">45 C.F.R. § 164.308(a)(5)</x:t>
        </x:is>
      </x:c>
      <x:c r="V4" s="5" t="inlineStr">
        <x:is>
          <x:t xml:space="preserve">Security Awareness and Training</x:t>
        </x:is>
      </x:c>
      <x:c r="W4" s="5" t="inlineStr">
        <x:is>
          <x:t xml:space="preserve">Implement a security awareness and training program for all members of the workforce, including management.</x:t>
        </x:is>
      </x:c>
      <x:c r="X4" s="5" t="inlineStr">
        <x:is>
          <x:t xml:space="preserve">Standard</x:t>
        </x:is>
      </x:c>
      <x:c r="Y4" s="5" t="inlineStr">
        <x:is>
          <x:t xml:space="preserve">Administrative Safeguards</x:t>
        </x:is>
      </x:c>
      <x:c r="Z4" s="28" t="inlineStr">
        <x:is>
          <x:t xml:space="preserve">https://www.ecfr.gov/current/title-45/subtitle-A/subchapter-C/part-164/section-164.308</x:t>
        </x:is>
      </x:c>
      <x:c r="AA4" s="28" t="inlineStr">
        <x:is>
          <x:t xml:space="preserve">https://www.hhs.gov/sites/default/files/ocr/privacy/hipaa/administrative/securityrule/adminsafeguards.pdf</x:t>
        </x:is>
      </x:c>
      <x:c r="AB4" s="5" t="n"/>
      <x:c r="AC4" s="5" t="n"/>
      <x:c r="AD4" s="5" t="n"/>
      <x:c r="AE4" s="5" t="n"/>
      <x:c r="AF4" s="5" t="n"/>
      <x:c r="AG4" s="5" t="n"/>
      <x:c r="AH4" s="5" t="n"/>
      <x:c r="AI4" s="5" t="n"/>
      <x:c r="AJ4" s="5" t="n"/>
      <x:c r="AK4" s="5" t="n"/>
      <x:c r="AL4" s="5" t="n"/>
      <x:c r="AM4" s="5" t="n"/>
      <x:c r="AN4" s="5" t="n"/>
      <x:c r="AO4" s="5" t="n"/>
      <x:c r="AP4" s="5" t="n"/>
      <x:c r="AQ4" s="5" t="n"/>
    </x:row>
    <x:row r="5" ht="30" customHeight="1">
      <x:c r="A5" s="5" t="inlineStr">
        <x:is>
          <x:t xml:space="preserve">REQ-17-HIPAA</x:t>
        </x:is>
      </x:c>
      <x:c r="B5" s="5" t="inlineStr">
        <x:is>
          <x:t xml:space="preserve">1704.03b1Organizational.12</x:t>
        </x:is>
      </x:c>
      <x:c r="C5" s="5" t="n">
        <x:v>2</x:v>
      </x:c>
      <x:c r="D5" s="5" t="inlineStr">
        <x:is>
          <x:t xml:space="preserve">Risk Assessment; Risk Management</x:t>
        </x:is>
      </x:c>
      <x:c r="E5" s="5" t="inlineStr">
        <x:is>
          <x:t xml:space="preserve">Operational, Policy</x:t>
        </x:is>
      </x:c>
      <x:c r="F5" s="5" t="inlineStr">
        <x:is>
          <x:t xml:space="preserve">HITRUST e1.csv</x:t>
        </x:is>
      </x:c>
      <x:c r="G5" s="5" t="inlineStr">
        <x:is>
          <x:t xml:space="preserve">Many:1, Many:Many</x:t>
        </x:is>
      </x:c>
      <x:c r="H5" s="5" t="inlineStr">
        <x:is>
          <x:t xml:space="preserve">45 CFR § 164.308(a)(1)(ii)(A)</x:t>
        </x:is>
      </x:c>
      <x:c r="I5" s="5" t="inlineStr">
        <x:is>
          <x:t xml:space="preserve">Security Management Process — Risk Analysis</x:t>
        </x:is>
      </x:c>
      <x:c r="J5" s="5" t="inlineStr">
        <x:is>
          <x:t xml:space="preserve">Direct</x:t>
        </x:is>
      </x:c>
      <x:c r="K5" s="5" t="inlineStr">
        <x:is>
          <x:t xml:space="preserve">Control context aligns to identifying risks and vulnerabilities to ePHI.</x:t>
        </x:is>
      </x:c>
      <x:c r="L5"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5" s="5" t="inlineStr">
        <x:is>
          <x:t xml:space="preserve">Risk analysis is the most direct HIPAA citation for assessment-oriented rows.</x:t>
        </x:is>
      </x:c>
      <x:c r="N5" s="5" t="inlineStr">
        <x:is>
          <x:t xml:space="preserve">1704.03b1 Organizational.12</x:t>
        </x:is>
      </x:c>
      <x:c r="O5" s="5" t="n">
        <x:v>1</x:v>
      </x:c>
      <x:c r="P5" s="5" t="n"/>
      <x:c r="Q5" s="5" t="inlineStr">
        <x:is>
          <x:t xml:space="preserve">Risk Assessment; Risk Management</x:t>
        </x:is>
      </x:c>
      <x:c r="R5" s="5" t="inlineStr">
        <x:is>
          <x:t xml:space="preserve">Operational</x:t>
        </x:is>
      </x:c>
      <x:c r="S5" s="5" t="inlineStr">
        <x:is>
          <x:t xml:space="preserve">Policy</x:t>
        </x:is>
      </x:c>
      <x:c r="T5" s="5" t="inlineStr">
        <x:is>
          <x:t xml:space="preserve">HITRUST e1.csv</x:t>
        </x:is>
      </x:c>
      <x:c r="U5" s="5" t="inlineStr">
        <x:is>
          <x:t xml:space="preserve">45 C.F.R. § 164.308(a)(1)(ii)(A)</x:t>
        </x:is>
      </x:c>
      <x:c r="V5" s="5" t="inlineStr">
        <x:is>
          <x:t xml:space="preserve">Security Management Process — Risk Analysis</x:t>
        </x:is>
      </x:c>
      <x:c r="W5" s="5" t="inlineStr">
        <x:is>
          <x:t xml:space="preserve">Conduct an accurate and thorough assessment of the potential risks and vulnerabilities to the confidentiality, integrity, and availability of ePHI.</x:t>
        </x:is>
      </x:c>
      <x:c r="X5" s="5" t="inlineStr">
        <x:is>
          <x:t xml:space="preserve">Required implementation specification</x:t>
        </x:is>
      </x:c>
      <x:c r="Y5" s="5" t="inlineStr">
        <x:is>
          <x:t xml:space="preserve">Administrative Safeguards</x:t>
        </x:is>
      </x:c>
      <x:c r="Z5" s="28" t="inlineStr">
        <x:is>
          <x:t xml:space="preserve">https://www.ecfr.gov/current/title-45/subtitle-A/subchapter-C/part-164/section-164.308</x:t>
        </x:is>
      </x:c>
      <x:c r="AA5" s="28" t="inlineStr">
        <x:is>
          <x:t xml:space="preserve">https://www.hhs.gov/hipaa/for-professionals/security/guidance/guidance-risk-analysis/index.html</x:t>
        </x:is>
      </x:c>
      <x:c r="AB5" s="5" t="n"/>
      <x:c r="AC5" s="5" t="n"/>
      <x:c r="AD5" s="5" t="n"/>
      <x:c r="AE5" s="5" t="n"/>
      <x:c r="AF5" s="5" t="n"/>
      <x:c r="AG5" s="5" t="n"/>
      <x:c r="AH5" s="5" t="n"/>
      <x:c r="AI5" s="5" t="n"/>
      <x:c r="AJ5" s="5" t="n"/>
      <x:c r="AK5" s="5" t="n"/>
      <x:c r="AL5" s="5" t="n"/>
      <x:c r="AM5" s="5" t="n"/>
      <x:c r="AN5" s="5" t="n"/>
      <x:c r="AO5" s="5" t="n"/>
      <x:c r="AP5" s="5" t="n"/>
      <x:c r="AQ5" s="5" t="n"/>
    </x:row>
    <x:row r="6" ht="30" customHeight="1">
      <x:c r="A6" s="5" t="inlineStr">
        <x:is>
          <x:t xml:space="preserve">REQ-20-HIPAA</x:t>
        </x:is>
      </x:c>
      <x:c r="B6" s="5" t="inlineStr">
        <x:is>
          <x:t xml:space="preserve">1704.03b1Organizational.12</x:t>
        </x:is>
      </x:c>
      <x:c r="C6" s="5" t="n">
        <x:v>2</x:v>
      </x:c>
      <x:c r="D6" s="5" t="inlineStr">
        <x:is>
          <x:t xml:space="preserve">Risk Assessment; Risk Management</x:t>
        </x:is>
      </x:c>
      <x:c r="E6" s="5" t="inlineStr">
        <x:is>
          <x:t xml:space="preserve">Operational, Policy</x:t>
        </x:is>
      </x:c>
      <x:c r="F6" s="5" t="inlineStr">
        <x:is>
          <x:t xml:space="preserve">HITRUST e1.csv</x:t>
        </x:is>
      </x:c>
      <x:c r="G6" s="5" t="inlineStr">
        <x:is>
          <x:t xml:space="preserve">Many:1, Many:Many</x:t>
        </x:is>
      </x:c>
      <x:c r="H6" s="5" t="inlineStr">
        <x:is>
          <x:t xml:space="preserve">45 CFR § 164.308(a)(1)(ii)(B)</x:t>
        </x:is>
      </x:c>
      <x:c r="I6" s="5" t="inlineStr">
        <x:is>
          <x:t xml:space="preserve">Security Management Process — Risk Management</x:t>
        </x:is>
      </x:c>
      <x:c r="J6" s="5" t="inlineStr">
        <x:is>
          <x:t xml:space="preserve">Direct</x:t>
        </x:is>
      </x:c>
      <x:c r="K6" s="5" t="inlineStr">
        <x:is>
          <x:t xml:space="preserve">Control context aligns to reducing identified risks and vulnerabilities to a reasonable and appropriate level.</x:t>
        </x:is>
      </x:c>
      <x:c r="L6"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6" s="5" t="inlineStr">
        <x:is>
          <x:t xml:space="preserve">Used for policy and operational rows focused on treatment/mitigation of identified risks.</x:t>
        </x:is>
      </x:c>
      <x:c r="N6" s="5" t="inlineStr">
        <x:is>
          <x:t xml:space="preserve">1704.03b1 Organizational.12</x:t>
        </x:is>
      </x:c>
      <x:c r="O6" s="5" t="n">
        <x:v>1</x:v>
      </x:c>
      <x:c r="P6" s="5" t="n"/>
      <x:c r="Q6" s="5" t="inlineStr">
        <x:is>
          <x:t xml:space="preserve">Risk Assessment; Risk Management</x:t>
        </x:is>
      </x:c>
      <x:c r="R6" s="5" t="inlineStr">
        <x:is>
          <x:t xml:space="preserve">Operational</x:t>
        </x:is>
      </x:c>
      <x:c r="S6" s="5" t="inlineStr">
        <x:is>
          <x:t xml:space="preserve">Policy</x:t>
        </x:is>
      </x:c>
      <x:c r="T6" s="5" t="inlineStr">
        <x:is>
          <x:t xml:space="preserve">HITRUST e1.csv</x:t>
        </x:is>
      </x:c>
      <x:c r="U6" s="5" t="inlineStr">
        <x:is>
          <x:t xml:space="preserve">45 C.F.R. § 164.308(a)(1)(ii)(B)</x:t>
        </x:is>
      </x:c>
      <x:c r="V6" s="5" t="inlineStr">
        <x:is>
          <x:t xml:space="preserve">Security Management Process — Risk Management</x:t>
        </x:is>
      </x:c>
      <x:c r="W6" s="5" t="inlineStr">
        <x:is>
          <x:t xml:space="preserve">Implement security measures sufficient to reduce identified risks and vulnerabilities to a reasonable and appropriate level.</x:t>
        </x:is>
      </x:c>
      <x:c r="X6" s="5" t="inlineStr">
        <x:is>
          <x:t xml:space="preserve">Required implementation specification</x:t>
        </x:is>
      </x:c>
      <x:c r="Y6" s="5" t="inlineStr">
        <x:is>
          <x:t xml:space="preserve">Administrative Safeguards</x:t>
        </x:is>
      </x:c>
      <x:c r="Z6" s="28" t="inlineStr">
        <x:is>
          <x:t xml:space="preserve">https://www.ecfr.gov/current/title-45/subtitle-A/subchapter-C/part-164/section-164.308</x:t>
        </x:is>
      </x:c>
      <x:c r="AA6" s="28" t="inlineStr">
        <x:is>
          <x:t xml:space="preserve">https://www.hhs.gov/hipaa/for-professionals/security/guidance/guidance-risk-analysis/index.html</x:t>
        </x:is>
      </x:c>
      <x:c r="AB6" s="5" t="n"/>
      <x:c r="AC6" s="5" t="n"/>
      <x:c r="AD6" s="5" t="n"/>
      <x:c r="AE6" s="5" t="n"/>
      <x:c r="AF6" s="5" t="n"/>
      <x:c r="AG6" s="5" t="n"/>
      <x:c r="AH6" s="5" t="n"/>
      <x:c r="AI6" s="5" t="n"/>
      <x:c r="AJ6" s="5" t="n"/>
      <x:c r="AK6" s="5" t="n"/>
      <x:c r="AL6" s="5" t="n"/>
      <x:c r="AM6" s="5" t="n"/>
      <x:c r="AN6" s="5" t="n"/>
      <x:c r="AO6" s="5" t="n"/>
      <x:c r="AP6" s="5" t="n"/>
      <x:c r="AQ6" s="5" t="n"/>
    </x:row>
    <x:row r="7" ht="30" customHeight="1">
      <x:c r="A7" s="5" t="inlineStr">
        <x:is>
          <x:t xml:space="preserve">REQ-26-HIPAA</x:t>
        </x:is>
      </x:c>
      <x:c r="B7" s="5" t="inlineStr">
        <x:is>
          <x:t xml:space="preserve">10.01d1System.10</x:t>
        </x:is>
      </x:c>
      <x:c r="C7" s="5" t="n">
        <x:v>2</x:v>
      </x:c>
      <x:c r="D7" s="5" t="inlineStr">
        <x:is>
          <x:t xml:space="preserve">Password and Multi-Factor Authentication; Passwords for All In-Scope Production Systems</x:t>
        </x:is>
      </x:c>
      <x:c r="E7" s="5" t="inlineStr">
        <x:is>
          <x:t xml:space="preserve">Policy, Configuration</x:t>
        </x:is>
      </x:c>
      <x:c r="F7" s="5" t="inlineStr">
        <x:is>
          <x:t xml:space="preserve">HITRUST e1.csv</x:t>
        </x:is>
      </x:c>
      <x:c r="G7" s="5" t="inlineStr">
        <x:is>
          <x:t xml:space="preserve">1:Many, 1:1</x:t>
        </x:is>
      </x:c>
      <x:c r="H7" s="5" t="inlineStr">
        <x:is>
          <x:t xml:space="preserve">45 CFR § 164.308(a)(5)(ii)(D) | 45 CFR § 164.312(d) | 45 CFR § 164.312(a)(1)</x:t>
        </x:is>
      </x:c>
      <x:c r="I7" s="5" t="inlineStr">
        <x:is>
          <x:t xml:space="preserve">Security Awareness and Training — Password Management | Person or Entity Authentication | Access Control</x:t>
        </x:is>
      </x:c>
      <x:c r="J7" s="5" t="inlineStr">
        <x:is>
          <x:t xml:space="preserve">Composite</x:t>
        </x:is>
      </x:c>
      <x:c r="K7" s="5" t="inlineStr">
        <x:is>
          <x:t xml:space="preserve">Action item explicitly combines password controls with MFA, so both password management and authentication verification are cited. | Password configuration evidence most directly aligns to password-management requirements and the broader access-control standard.</x:t>
        </x:is>
      </x:c>
      <x:c r="L7" s="28"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M7" s="5" t="inlineStr">
        <x:is>
          <x:t xml:space="preserve">Covers password creation/change/safeguarding and MFA-style authentication evidence. | This row is password-configuration evidence; MFA is not the primary evidence artifact here.</x:t>
        </x:is>
      </x:c>
      <x:c r="N7" s="5" t="inlineStr">
        <x:is>
          <x:t xml:space="preserve">10.01d1 System.10</x:t>
        </x:is>
      </x:c>
      <x:c r="O7" s="5" t="n">
        <x:v>3</x:v>
      </x:c>
      <x:c r="P7" s="5" t="n"/>
      <x:c r="Q7" s="5" t="inlineStr">
        <x:is>
          <x:t xml:space="preserve">Password and Multi-Factor Authentication; Passwords for All In-Scope Production Systems</x:t>
        </x:is>
      </x:c>
      <x:c r="R7" s="5" t="inlineStr">
        <x:is>
          <x:t xml:space="preserve">Policy</x:t>
        </x:is>
      </x:c>
      <x:c r="S7" s="5" t="inlineStr">
        <x:is>
          <x:t xml:space="preserve">Configuration</x:t>
        </x:is>
      </x:c>
      <x:c r="T7" s="5" t="inlineStr">
        <x:is>
          <x:t xml:space="preserve">HITRUST e1.csv</x:t>
        </x:is>
      </x:c>
      <x:c r="U7" s="5" t="inlineStr">
        <x:is>
          <x:t xml:space="preserve">45 C.F.R. § 164.308(a)(5)(ii)(D)</x:t>
        </x:is>
      </x:c>
      <x:c r="V7" s="5" t="inlineStr">
        <x:is>
          <x:t xml:space="preserve">Security Awareness and Training — Password Management</x:t>
        </x:is>
      </x:c>
      <x:c r="W7" s="5" t="inlineStr">
        <x:is>
          <x:t xml:space="preserve">Implement procedures for creating, changing, and safeguarding passwords.</x:t>
        </x:is>
      </x:c>
      <x:c r="X7" s="5" t="inlineStr">
        <x:is>
          <x:t xml:space="preserve">Addressable implementation specification</x:t>
        </x:is>
      </x:c>
      <x:c r="Y7" s="5" t="inlineStr">
        <x:is>
          <x:t xml:space="preserve">Administrative Safeguards</x:t>
        </x:is>
      </x:c>
      <x:c r="Z7" s="28" t="inlineStr">
        <x:is>
          <x:t xml:space="preserve">https://www.ecfr.gov/current/title-45/subtitle-A/subchapter-C/part-164/section-164.308</x:t>
        </x:is>
      </x:c>
      <x:c r="AA7" s="28" t="inlineStr">
        <x:is>
          <x:t xml:space="preserve">https://www.hhs.gov/sites/default/files/ocr/privacy/hipaa/administrative/securityrule/adminsafeguards.pdf</x:t>
        </x:is>
      </x:c>
      <x:c r="AB7" s="5" t="inlineStr">
        <x:is>
          <x:t xml:space="preserve">45 C.F.R. § 164.312(d)</x:t>
        </x:is>
      </x:c>
      <x:c r="AC7" s="5" t="inlineStr">
        <x:is>
          <x:t xml:space="preserve">Person or Entity Authentication</x:t>
        </x:is>
      </x:c>
      <x:c r="AD7" s="5" t="inlineStr">
        <x:is>
          <x:t xml:space="preserve">Implement procedures to verify that a person or entity seeking access to ePHI is the one claimed.</x:t>
        </x:is>
      </x:c>
      <x:c r="AE7" s="5" t="inlineStr">
        <x:is>
          <x:t xml:space="preserve">Required standard</x:t>
        </x:is>
      </x:c>
      <x:c r="AF7" s="5" t="inlineStr">
        <x:is>
          <x:t xml:space="preserve">Technical Safeguards</x:t>
        </x:is>
      </x:c>
      <x:c r="AG7" s="28" t="inlineStr">
        <x:is>
          <x:t xml:space="preserve">https://www.ecfr.gov/current/title-45/subtitle-A/subchapter-C/part-164/section-164.312</x:t>
        </x:is>
      </x:c>
      <x:c r="AH7" s="28" t="inlineStr">
        <x:is>
          <x:t xml:space="preserve">https://www.hhs.gov/hipaa/for-professionals/compliance-enforcement/audit/protocol-edited/index.html</x:t>
        </x:is>
      </x:c>
      <x:c r="AI7" s="5" t="inlineStr">
        <x:is>
          <x:t xml:space="preserve">45 C.F.R. § 164.312(a)(1)</x:t>
        </x:is>
      </x:c>
      <x:c r="AJ7" s="5" t="inlineStr">
        <x:is>
          <x:t xml:space="preserve">Access Control</x:t>
        </x:is>
      </x:c>
      <x:c r="AK7" s="5" t="inlineStr">
        <x:is>
          <x:t xml:space="preserve">Implement technical policies and procedures for electronic information systems that maintain ePHI to allow access only to persons or software programs with authorized access rights.</x:t>
        </x:is>
      </x:c>
      <x:c r="AL7" s="5" t="inlineStr">
        <x:is>
          <x:t xml:space="preserve">Standard</x:t>
        </x:is>
      </x:c>
      <x:c r="AM7" s="5" t="inlineStr">
        <x:is>
          <x:t xml:space="preserve">Technical Safeguards</x:t>
        </x:is>
      </x:c>
      <x:c r="AN7" s="28" t="inlineStr">
        <x:is>
          <x:t xml:space="preserve">https://www.ecfr.gov/current/title-45/subtitle-A/subchapter-C/part-164/section-164.312</x:t>
        </x:is>
      </x:c>
      <x:c r="AO7" s="28" t="inlineStr">
        <x:is>
          <x:t xml:space="preserve">https://www.hhs.gov/hipaa/for-professionals/compliance-enforcement/audit/protocol-edited/index.html</x:t>
        </x:is>
      </x:c>
      <x:c r="AP7" s="5" t="n"/>
      <x:c r="AQ7" s="5" t="n"/>
    </x:row>
    <x:row r="8" ht="30" customHeight="1">
      <x:c r="A8" s="5" t="inlineStr">
        <x:is>
          <x:t xml:space="preserve">REQ-29-HIPAA</x:t>
        </x:is>
      </x:c>
      <x:c r="B8" s="5" t="inlineStr">
        <x:is>
          <x:t xml:space="preserve">11.01e1System.2</x:t>
        </x:is>
      </x:c>
      <x:c r="C8" s="5" t="n">
        <x:v>2</x:v>
      </x:c>
      <x:c r="D8" s="5" t="inlineStr">
        <x:is>
          <x:t xml:space="preserve">Access Control; Access Review Documentation</x:t>
        </x:is>
      </x:c>
      <x:c r="E8" s="5" t="inlineStr">
        <x:is>
          <x:t xml:space="preserve">Policy, Sample</x:t>
        </x:is>
      </x:c>
      <x:c r="F8" s="5" t="inlineStr">
        <x:is>
          <x:t xml:space="preserve">HITRUST e1.csv</x:t>
        </x:is>
      </x:c>
      <x:c r="G8" s="5" t="inlineStr">
        <x:is>
          <x:t xml:space="preserve">Many:1, 1:1</x:t>
        </x:is>
      </x:c>
      <x:c r="H8" s="5" t="inlineStr">
        <x:is>
          <x:t xml:space="preserve">45 CFR § 164.308(a)(4)(ii)(C)</x:t>
        </x:is>
      </x:c>
      <x:c r="I8" s="5" t="inlineStr">
        <x:is>
          <x:t xml:space="preserve">Information Access Management — Access Establishment and Modification</x:t>
        </x:is>
      </x:c>
      <x:c r="J8" s="5" t="inlineStr">
        <x:is>
          <x:t xml:space="preserve">Direct</x:t>
        </x:is>
      </x:c>
      <x:c r="K8" s="5" t="inlineStr">
        <x:is>
          <x:t xml:space="preserve">Access-review documentation aligns directly to the requirement to establish, document, review, and modify user rights of access.</x:t>
        </x:is>
      </x:c>
      <x:c r="L8"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M8" s="5" t="inlineStr">
        <x:is>
          <x:t xml:space="preserve">Used for both access-review evidence and broader policy statements that emphasize periodic review/modification.</x:t>
        </x:is>
      </x:c>
      <x:c r="N8" s="5" t="inlineStr">
        <x:is>
          <x:t xml:space="preserve">11.01e1 System.2</x:t>
        </x:is>
      </x:c>
      <x:c r="O8" s="5" t="n">
        <x:v>1</x:v>
      </x:c>
      <x:c r="P8" s="5" t="n"/>
      <x:c r="Q8" s="5" t="inlineStr">
        <x:is>
          <x:t xml:space="preserve">Access Control; Access Review Documentation</x:t>
        </x:is>
      </x:c>
      <x:c r="R8" s="5" t="inlineStr">
        <x:is>
          <x:t xml:space="preserve">Policy</x:t>
        </x:is>
      </x:c>
      <x:c r="S8" s="5" t="inlineStr">
        <x:is>
          <x:t xml:space="preserve">Sample</x:t>
        </x:is>
      </x:c>
      <x:c r="T8" s="5" t="inlineStr">
        <x:is>
          <x:t xml:space="preserve">HITRUST e1.csv</x:t>
        </x:is>
      </x:c>
      <x:c r="U8" s="5" t="inlineStr">
        <x:is>
          <x:t xml:space="preserve">45 C.F.R. § 164.308(a)(4)(ii)(C)</x:t>
        </x:is>
      </x:c>
      <x:c r="V8" s="5" t="inlineStr">
        <x:is>
          <x:t xml:space="preserve">Information Access Management — Access Establishment and Modification</x:t>
        </x:is>
      </x:c>
      <x:c r="W8" s="5" t="inlineStr">
        <x:is>
          <x:t xml:space="preserve">Implement policies and procedures to establish, document, review, and modify a user’s right of access to a workstation, transaction, program, or process.</x:t>
        </x:is>
      </x:c>
      <x:c r="X8" s="5" t="inlineStr">
        <x:is>
          <x:t xml:space="preserve">Addressable implementation specification</x:t>
        </x:is>
      </x:c>
      <x:c r="Y8" s="5" t="inlineStr">
        <x:is>
          <x:t xml:space="preserve">Administrative Safeguards</x:t>
        </x:is>
      </x:c>
      <x:c r="Z8" s="28" t="inlineStr">
        <x:is>
          <x:t xml:space="preserve">https://www.ecfr.gov/current/title-45/subtitle-A/subchapter-C/part-164/section-164.308</x:t>
        </x:is>
      </x:c>
      <x:c r="AA8" s="28" t="inlineStr">
        <x:is>
          <x:t xml:space="preserve">https://www.hhs.gov/hipaa/for-professionals/compliance-enforcement/audit/protocol-edited/index.html</x:t>
        </x:is>
      </x:c>
      <x:c r="AB8" s="5" t="n"/>
      <x:c r="AC8" s="5" t="n"/>
      <x:c r="AD8" s="5" t="n"/>
      <x:c r="AE8" s="5" t="n"/>
      <x:c r="AF8" s="5" t="n"/>
      <x:c r="AG8" s="5" t="n"/>
      <x:c r="AH8" s="5" t="n"/>
      <x:c r="AI8" s="5" t="n"/>
      <x:c r="AJ8" s="5" t="n"/>
      <x:c r="AK8" s="5" t="n"/>
      <x:c r="AL8" s="5" t="n"/>
      <x:c r="AM8" s="5" t="n"/>
      <x:c r="AN8" s="5" t="n"/>
      <x:c r="AO8" s="5" t="n"/>
      <x:c r="AP8" s="5" t="n"/>
      <x:c r="AQ8" s="5" t="n"/>
    </x:row>
    <x:row r="9" ht="30" customHeight="1">
      <x:c r="A9" s="5" t="inlineStr">
        <x:is>
          <x:t xml:space="preserve">REQ-31-HIPAA</x:t>
        </x:is>
      </x:c>
      <x:c r="B9" s="5" t="inlineStr">
        <x:is>
          <x:t xml:space="preserve">11143.02i1Organizational.3</x:t>
        </x:is>
      </x:c>
      <x:c r="C9" s="5" t="n">
        <x:v>2</x:v>
      </x:c>
      <x:c r="D9" s="5" t="inlineStr">
        <x:is>
          <x:t xml:space="preserve">All Terminated Employees During the Review Period [INSERT EXAM PERIOD]; Employee Termination Ticket</x:t>
        </x:is>
      </x:c>
      <x:c r="E9" s="5" t="inlineStr">
        <x:is>
          <x:t xml:space="preserve">Population, Sample</x:t>
        </x:is>
      </x:c>
      <x:c r="F9" s="5" t="inlineStr">
        <x:is>
          <x:t xml:space="preserve">HITRUST e1.csv</x:t>
        </x:is>
      </x:c>
      <x:c r="G9" s="5" t="inlineStr">
        <x:is>
          <x:t xml:space="preserve">Many:1, 1:1</x:t>
        </x:is>
      </x:c>
      <x:c r="H9" s="5" t="inlineStr">
        <x:is>
          <x:t xml:space="preserve">45 CFR § 164.308(a)(3)(ii)(C) | 45 CFR § 164.316(b)(1)</x:t>
        </x:is>
      </x:c>
      <x:c r="I9" s="5" t="inlineStr">
        <x:is>
          <x:t xml:space="preserve">Workforce Security — Termination Procedures | Documentation</x:t>
        </x:is>
      </x:c>
      <x:c r="J9" s="5" t="inlineStr">
        <x:is>
          <x:t xml:space="preserve">Composite</x:t>
        </x:is>
      </x:c>
      <x:c r="K9" s="5" t="inlineStr">
        <x:is>
          <x:t xml:space="preserve">Termination tickets/population evidence align directly to terminating access and documenting the action taken.</x:t>
        </x:is>
      </x:c>
      <x:c r="L9" s="28"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M9" s="5" t="inlineStr">
        <x:is>
          <x:t xml:space="preserve">Documentation is added because the row is explicit evidence that access-removal events were carried out and recorded.</x:t>
        </x:is>
      </x:c>
      <x:c r="N9" s="5" t="inlineStr">
        <x:is>
          <x:t xml:space="preserve">11143.02i1 Organizational.3</x:t>
        </x:is>
      </x:c>
      <x:c r="O9" s="5" t="n">
        <x:v>2</x:v>
      </x:c>
      <x:c r="P9" s="5" t="n"/>
      <x:c r="Q9" s="5" t="inlineStr">
        <x:is>
          <x:t xml:space="preserve">All Terminated Employees During the Review Period [INSERT EXAM PERIOD]; Employee Termination Ticket</x:t>
        </x:is>
      </x:c>
      <x:c r="R9" s="5" t="inlineStr">
        <x:is>
          <x:t xml:space="preserve">Population</x:t>
        </x:is>
      </x:c>
      <x:c r="S9" s="5" t="inlineStr">
        <x:is>
          <x:t xml:space="preserve">Sample</x:t>
        </x:is>
      </x:c>
      <x:c r="T9" s="5" t="inlineStr">
        <x:is>
          <x:t xml:space="preserve">HITRUST e1.csv</x:t>
        </x:is>
      </x:c>
      <x:c r="U9" s="5" t="inlineStr">
        <x:is>
          <x:t xml:space="preserve">45 C.F.R. § 164.308(a)(3)(ii)(C)</x:t>
        </x:is>
      </x:c>
      <x:c r="V9" s="5" t="inlineStr">
        <x:is>
          <x:t xml:space="preserve">Workforce Security — Termination Procedures</x:t>
        </x:is>
      </x:c>
      <x:c r="W9" s="5" t="inlineStr">
        <x:is>
          <x:t xml:space="preserve">Implement procedures for terminating a workforce member’s access to ePHI when employment ends or when access should otherwise be removed.</x:t>
        </x:is>
      </x:c>
      <x:c r="X9" s="5" t="inlineStr">
        <x:is>
          <x:t xml:space="preserve">Addressable implementation specification</x:t>
        </x:is>
      </x:c>
      <x:c r="Y9" s="5" t="inlineStr">
        <x:is>
          <x:t xml:space="preserve">Administrative Safeguards</x:t>
        </x:is>
      </x:c>
      <x:c r="Z9" s="28" t="inlineStr">
        <x:is>
          <x:t xml:space="preserve">https://www.ecfr.gov/current/title-45/subtitle-A/subchapter-C/part-164/section-164.308</x:t>
        </x:is>
      </x:c>
      <x:c r="AA9" s="28" t="inlineStr">
        <x:is>
          <x:t xml:space="preserve">https://www.hhs.gov/hipaa/for-professionals/security/guidance/cybersecurity-newsletter-summer-2019/index.html</x:t>
        </x:is>
      </x:c>
      <x:c r="AB9" s="5" t="inlineStr">
        <x:is>
          <x:t xml:space="preserve">45 C.F.R. § 164.316(b)(1)</x:t>
        </x:is>
      </x:c>
      <x:c r="AC9" s="5" t="inlineStr">
        <x:is>
          <x:t xml:space="preserve">Documentation</x:t>
        </x:is>
      </x:c>
      <x:c r="AD9" s="5" t="inlineStr">
        <x:is>
          <x:t xml:space="preserve">Maintain written or electronic policies and procedures implemented to comply with the Security Rule and written or electronic records of required actions, activities, and assessments.</x:t>
        </x:is>
      </x:c>
      <x:c r="AE9" s="5" t="inlineStr">
        <x:is>
          <x:t xml:space="preserve">Standard</x:t>
        </x:is>
      </x:c>
      <x:c r="AF9" s="5" t="inlineStr">
        <x:is>
          <x:t xml:space="preserve">Policies / Documentation</x:t>
        </x:is>
      </x:c>
      <x:c r="AG9" s="28" t="inlineStr">
        <x:is>
          <x:t xml:space="preserve">https://www.ecfr.gov/current/title-45/subtitle-A/subchapter-C/part-164/section-164.316</x:t>
        </x:is>
      </x:c>
      <x:c r="AH9" s="28" t="inlineStr">
        <x:is>
          <x:t xml:space="preserve">https://www.hhs.gov/sites/default/files/ocr/privacy/hipaa/administrative/securityrule/pprequirements.pdf</x:t>
        </x:is>
      </x:c>
      <x:c r="AI9" s="5" t="n"/>
      <x:c r="AJ9" s="5" t="n"/>
      <x:c r="AK9" s="5" t="n"/>
      <x:c r="AL9" s="5" t="n"/>
      <x:c r="AM9" s="5" t="n"/>
      <x:c r="AN9" s="5" t="n"/>
      <x:c r="AO9" s="5" t="n"/>
      <x:c r="AP9" s="5" t="n"/>
      <x:c r="AQ9" s="5" t="n"/>
    </x:row>
    <x:row r="10" ht="30" customHeight="1">
      <x:c r="A10" s="5" t="inlineStr">
        <x:is>
          <x:t xml:space="preserve">REQ-33-HIPAA</x:t>
        </x:is>
      </x:c>
      <x:c r="B10" s="5" t="inlineStr">
        <x:is>
          <x:t xml:space="preserve">04.01x1Organizational.5</x:t>
        </x:is>
      </x:c>
      <x:c r="C10" s="5" t="n">
        <x:v>2</x:v>
      </x:c>
      <x:c r="D10" s="5" t="inlineStr">
        <x:is>
          <x:t xml:space="preserve">Data Encryption at Rest; Encryption In Transit (Ex. TLS Protocols)</x:t>
        </x:is>
      </x:c>
      <x:c r="E10" s="5" t="inlineStr">
        <x:is>
          <x:t xml:space="preserve">Configuration</x:t>
        </x:is>
      </x:c>
      <x:c r="F10" s="5" t="inlineStr">
        <x:is>
          <x:t xml:space="preserve">HITRUST e1.csv</x:t>
        </x:is>
      </x:c>
      <x:c r="G10" s="5" t="inlineStr">
        <x:is>
          <x:t xml:space="preserve">Many:Many</x:t>
        </x:is>
      </x:c>
      <x:c r="H10" s="5" t="inlineStr">
        <x:is>
          <x:t xml:space="preserve">45 CFR § 164.312(a)(2)(iv) | 45 CFR § 164.312(e)(2)(ii)</x:t>
        </x:is>
      </x:c>
      <x:c r="I10" s="5" t="inlineStr">
        <x:is>
          <x:t xml:space="preserve">Access Control — Encryption and Decryption | Transmission Security — Encryption</x:t>
        </x:is>
      </x:c>
      <x:c r="J10" s="5" t="inlineStr">
        <x:is>
          <x:t xml:space="preserve">Direct</x:t>
        </x:is>
      </x:c>
      <x:c r="K10" s="5" t="inlineStr">
        <x:is>
          <x:t xml:space="preserve">At-rest encryption evidence aligns directly to the encryption/decryption implementation specification under access control. | Transmission-encryption evidence aligns directly to the transmission-security encryption implementation specification.</x:t>
        </x:is>
      </x:c>
      <x:c r="L10"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 | https://www.hhs.gov/hipaa/for-professionals/security/guidance/cybersecurity-newsletter-january-2026/index.html</x:t>
        </x:is>
      </x:c>
      <x:c r="M10" s="5" t="inlineStr">
        <x:is>
          <x:t xml:space="preserve">Used when the shared action item is explicitly at-rest encryption. | Used when the shared action item is explicitly in-transit encryption.</x:t>
        </x:is>
      </x:c>
      <x:c r="N10" s="5" t="inlineStr">
        <x:is>
          <x:t xml:space="preserve">04.01x1 Organizational.5</x:t>
        </x:is>
      </x:c>
      <x:c r="O10" s="5" t="n">
        <x:v>2</x:v>
      </x:c>
      <x:c r="P10" s="5" t="n"/>
      <x:c r="Q10" s="5" t="inlineStr">
        <x:is>
          <x:t xml:space="preserve">Data Encryption at Rest; Encryption In Transit (Ex. TLS Protocols)</x:t>
        </x:is>
      </x:c>
      <x:c r="R10" s="5" t="inlineStr">
        <x:is>
          <x:t xml:space="preserve">Configuration</x:t>
        </x:is>
      </x:c>
      <x:c r="S10" s="5" t="n"/>
      <x:c r="T10" s="5" t="inlineStr">
        <x:is>
          <x:t xml:space="preserve">HITRUST e1.csv</x:t>
        </x:is>
      </x:c>
      <x:c r="U10" s="5" t="inlineStr">
        <x:is>
          <x:t xml:space="preserve">45 C.F.R. § 164.312(a)(2)(iv)</x:t>
        </x:is>
      </x:c>
      <x:c r="V10" s="5" t="inlineStr">
        <x:is>
          <x:t xml:space="preserve">Access Control — Encryption and Decryption</x:t>
        </x:is>
      </x:c>
      <x:c r="W10" s="5" t="inlineStr">
        <x:is>
          <x:t xml:space="preserve">Implement a mechanism to encrypt and decrypt ePHI.</x:t>
        </x:is>
      </x:c>
      <x:c r="X10" s="5" t="inlineStr">
        <x:is>
          <x:t xml:space="preserve">Addressable implementation specification</x:t>
        </x:is>
      </x:c>
      <x:c r="Y10" s="5" t="inlineStr">
        <x:is>
          <x:t xml:space="preserve">Technical Safeguards</x:t>
        </x:is>
      </x:c>
      <x:c r="Z10" s="28" t="inlineStr">
        <x:is>
          <x:t xml:space="preserve">https://www.ecfr.gov/current/title-45/subtitle-A/subchapter-C/part-164/section-164.312</x:t>
        </x:is>
      </x:c>
      <x:c r="AA10" s="28" t="inlineStr">
        <x:is>
          <x:t xml:space="preserve">https://www.hhs.gov/hipaa/for-professionals/faq/2001/is-the-use-of-encryption-mandatory-in-the-security-rule/index.html</x:t>
        </x:is>
      </x:c>
      <x:c r="AB10" s="5" t="inlineStr">
        <x:is>
          <x:t xml:space="preserve">45 C.F.R. § 164.312(e)(2)(ii)</x:t>
        </x:is>
      </x:c>
      <x:c r="AC10" s="5" t="inlineStr">
        <x:is>
          <x:t xml:space="preserve">Transmission Security — Encryption</x:t>
        </x:is>
      </x:c>
      <x:c r="AD10" s="5" t="inlineStr">
        <x:is>
          <x:t xml:space="preserve">Implement a mechanism to encrypt ePHI whenever deemed appropriate during electronic transmission.</x:t>
        </x:is>
      </x:c>
      <x:c r="AE10" s="5" t="inlineStr">
        <x:is>
          <x:t xml:space="preserve">Addressable implementation specification</x:t>
        </x:is>
      </x:c>
      <x:c r="AF10" s="5" t="inlineStr">
        <x:is>
          <x:t xml:space="preserve">Technical Safeguards</x:t>
        </x:is>
      </x:c>
      <x:c r="AG10" s="28" t="inlineStr">
        <x:is>
          <x:t xml:space="preserve">https://www.ecfr.gov/current/title-45/subtitle-A/subchapter-C/part-164/section-164.312</x:t>
        </x:is>
      </x:c>
      <x:c r="AH10" s="28" t="inlineStr">
        <x:is>
          <x:t xml:space="preserve">https://www.hhs.gov/hipaa/for-professionals/faq/2001/is-the-use-of-encryption-mandatory-in-the-security-rule/index.html</x:t>
        </x:is>
      </x:c>
      <x:c r="AI10" s="5" t="n"/>
      <x:c r="AJ10" s="5" t="n"/>
      <x:c r="AK10" s="5" t="n"/>
      <x:c r="AL10" s="5" t="n"/>
      <x:c r="AM10" s="5" t="n"/>
      <x:c r="AN10" s="5" t="n"/>
      <x:c r="AO10" s="5" t="n"/>
      <x:c r="AP10" s="5" t="n"/>
      <x:c r="AQ10" s="5" t="n"/>
    </x:row>
    <x:row r="11" ht="30" customHeight="1">
      <x:c r="A11" s="5" t="inlineStr">
        <x:is>
          <x:t xml:space="preserve">REQ-35-HIPAA</x:t>
        </x:is>
      </x:c>
      <x:c r="B11" s="5" t="inlineStr">
        <x:is>
          <x:t xml:space="preserve">04.01x1Organizational.5</x:t>
        </x:is>
      </x:c>
      <x:c r="C11" s="5" t="n">
        <x:v>2</x:v>
      </x:c>
      <x:c r="D11" s="5" t="inlineStr">
        <x:is>
          <x:t xml:space="preserve">Data Encryption at Rest; Encryption In Transit (Ex. TLS Protocols)</x:t>
        </x:is>
      </x:c>
      <x:c r="E11" s="5" t="inlineStr">
        <x:is>
          <x:t xml:space="preserve">Configuration</x:t>
        </x:is>
      </x:c>
      <x:c r="F11" s="5" t="inlineStr">
        <x:is>
          <x:t xml:space="preserve">HITRUST e1.csv</x:t>
        </x:is>
      </x:c>
      <x:c r="G11" s="5" t="inlineStr">
        <x:is>
          <x:t xml:space="preserve">Many:Many</x:t>
        </x:is>
      </x:c>
      <x:c r="H11" s="5" t="inlineStr">
        <x:is>
          <x:t xml:space="preserve">45 CFR § 164.312(a)(2)(iv) | 45 CFR § 164.312(e)(2)(ii)</x:t>
        </x:is>
      </x:c>
      <x:c r="I11" s="5" t="inlineStr">
        <x:is>
          <x:t xml:space="preserve">Access Control — Encryption and Decryption | Transmission Security — Encryption</x:t>
        </x:is>
      </x:c>
      <x:c r="J11" s="5" t="inlineStr">
        <x:is>
          <x:t xml:space="preserve">Best-fit | Direct</x:t>
        </x:is>
      </x:c>
      <x:c r="K11" s="5" t="inlineStr">
        <x:is>
          <x:t xml:space="preserve">This internal control ID also appears on an at-rest encryption row in the source spreadsheets, so the row context points to at-rest encryption even though the same control family also covers transmission encryption elsewhere. | Action item explicitly addresses encryption in transit.</x:t>
        </x:is>
      </x:c>
      <x:c r="L11"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 | https://www.hhs.gov/hipaa/for-professionals/security/guidance/cybersecurity-newsletter-january-2026/index.html</x:t>
        </x:is>
      </x:c>
      <x:c r="M11" s="5" t="inlineStr">
        <x:is>
          <x:t xml:space="preserve">Row-context mapping takes precedence over the broader internal control family. | Used for transport/TLS evidence.</x:t>
        </x:is>
      </x:c>
      <x:c r="N11" s="5" t="inlineStr">
        <x:is>
          <x:t xml:space="preserve">04.01x1 Organizational.5</x:t>
        </x:is>
      </x:c>
      <x:c r="O11" s="5" t="n">
        <x:v>2</x:v>
      </x:c>
      <x:c r="P11" s="5" t="n"/>
      <x:c r="Q11" s="5" t="inlineStr">
        <x:is>
          <x:t xml:space="preserve">Data Encryption at Rest; Encryption In Transit (Ex. TLS Protocols)</x:t>
        </x:is>
      </x:c>
      <x:c r="R11" s="5" t="inlineStr">
        <x:is>
          <x:t xml:space="preserve">Configuration</x:t>
        </x:is>
      </x:c>
      <x:c r="S11" s="5" t="n"/>
      <x:c r="T11" s="5" t="inlineStr">
        <x:is>
          <x:t xml:space="preserve">HITRUST e1.csv</x:t>
        </x:is>
      </x:c>
      <x:c r="U11" s="5" t="inlineStr">
        <x:is>
          <x:t xml:space="preserve">45 C.F.R. § 164.312(a)(2)(iv)</x:t>
        </x:is>
      </x:c>
      <x:c r="V11" s="5" t="inlineStr">
        <x:is>
          <x:t xml:space="preserve">Access Control — Encryption and Decryption</x:t>
        </x:is>
      </x:c>
      <x:c r="W11" s="5" t="inlineStr">
        <x:is>
          <x:t xml:space="preserve">Implement a mechanism to encrypt and decrypt ePHI.</x:t>
        </x:is>
      </x:c>
      <x:c r="X11" s="5" t="inlineStr">
        <x:is>
          <x:t xml:space="preserve">Addressable implementation specification</x:t>
        </x:is>
      </x:c>
      <x:c r="Y11" s="5" t="inlineStr">
        <x:is>
          <x:t xml:space="preserve">Technical Safeguards</x:t>
        </x:is>
      </x:c>
      <x:c r="Z11" s="28" t="inlineStr">
        <x:is>
          <x:t xml:space="preserve">https://www.ecfr.gov/current/title-45/subtitle-A/subchapter-C/part-164/section-164.312</x:t>
        </x:is>
      </x:c>
      <x:c r="AA11" s="28" t="inlineStr">
        <x:is>
          <x:t xml:space="preserve">https://www.hhs.gov/hipaa/for-professionals/faq/2001/is-the-use-of-encryption-mandatory-in-the-security-rule/index.html</x:t>
        </x:is>
      </x:c>
      <x:c r="AB11" s="5" t="inlineStr">
        <x:is>
          <x:t xml:space="preserve">45 C.F.R. § 164.312(e)(2)(ii)</x:t>
        </x:is>
      </x:c>
      <x:c r="AC11" s="5" t="inlineStr">
        <x:is>
          <x:t xml:space="preserve">Transmission Security — Encryption</x:t>
        </x:is>
      </x:c>
      <x:c r="AD11" s="5" t="inlineStr">
        <x:is>
          <x:t xml:space="preserve">Implement a mechanism to encrypt ePHI whenever deemed appropriate during electronic transmission.</x:t>
        </x:is>
      </x:c>
      <x:c r="AE11" s="5" t="inlineStr">
        <x:is>
          <x:t xml:space="preserve">Addressable implementation specification</x:t>
        </x:is>
      </x:c>
      <x:c r="AF11" s="5" t="inlineStr">
        <x:is>
          <x:t xml:space="preserve">Technical Safeguards</x:t>
        </x:is>
      </x:c>
      <x:c r="AG11" s="28" t="inlineStr">
        <x:is>
          <x:t xml:space="preserve">https://www.ecfr.gov/current/title-45/subtitle-A/subchapter-C/part-164/section-164.312</x:t>
        </x:is>
      </x:c>
      <x:c r="AH11" s="28" t="inlineStr">
        <x:is>
          <x:t xml:space="preserve">https://www.hhs.gov/hipaa/for-professionals/faq/2001/is-the-use-of-encryption-mandatory-in-the-security-rule/index.html</x:t>
        </x:is>
      </x:c>
      <x:c r="AI11" s="5" t="n"/>
      <x:c r="AJ11" s="5" t="n"/>
      <x:c r="AK11" s="5" t="n"/>
      <x:c r="AL11" s="5" t="n"/>
      <x:c r="AM11" s="5" t="n"/>
      <x:c r="AN11" s="5" t="n"/>
      <x:c r="AO11" s="5" t="n"/>
      <x:c r="AP11" s="5" t="n"/>
      <x:c r="AQ11" s="5" t="n"/>
    </x:row>
    <x:row r="12" ht="30" customHeight="1">
      <x:c r="A12" s="5" t="inlineStr">
        <x:is>
          <x:t xml:space="preserve">REQ-55-HIPAA</x:t>
        </x:is>
      </x:c>
      <x:c r="B12" s="5" t="inlineStr">
        <x:is>
          <x:t xml:space="preserve">06.09b1System.2</x:t>
        </x:is>
      </x:c>
      <x:c r="C12" s="5" t="n">
        <x:v>2</x:v>
      </x:c>
      <x:c r="D12" s="5" t="inlineStr">
        <x:is>
          <x:t xml:space="preserve">All Software and Infrastructure Production Changes During the Review Period [INSERT EXAM PERIOD]; Software/Infrastructure Production Change Ticket</x:t>
        </x:is>
      </x:c>
      <x:c r="E12" s="5" t="inlineStr">
        <x:is>
          <x:t xml:space="preserve">Population, Sample</x:t>
        </x:is>
      </x:c>
      <x:c r="F12" s="5" t="inlineStr">
        <x:is>
          <x:t xml:space="preserve">HITRUST e1.csv</x:t>
        </x:is>
      </x:c>
      <x:c r="G12" s="5" t="inlineStr">
        <x:is>
          <x:t xml:space="preserve">Many:Many, 1:1</x:t>
        </x:is>
      </x:c>
      <x:c r="H12" s="5" t="inlineStr">
        <x:is>
          <x:t xml:space="preserve">45 CFR § 164.308(a)(8) | 45 CFR § 164.316(b)(1)</x:t>
        </x:is>
      </x:c>
      <x:c r="I12" s="5" t="inlineStr">
        <x:is>
          <x:t xml:space="preserve">Evaluation | Documentation</x:t>
        </x:is>
      </x:c>
      <x:c r="J12" s="5" t="inlineStr">
        <x:is>
          <x:t xml:space="preserve">Best-fit composite</x:t>
        </x:is>
      </x:c>
      <x:c r="K12" s="5" t="inlineStr">
        <x:is>
          <x:t xml:space="preserve">Production-change tickets/population evidence are not a named HIPAA specification, but they are strong evidence of evaluating and documenting operational changes affecting ePHI safeguards.</x:t>
        </x:is>
      </x:c>
      <x:c r="L12"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12" s="5" t="inlineStr">
        <x:is>
          <x:t xml:space="preserve">Best-fit evidence mapping; HIPAA does not mandate a particular ticketing mechanism.</x:t>
        </x:is>
      </x:c>
      <x:c r="N12" s="5" t="inlineStr">
        <x:is>
          <x:t xml:space="preserve">06.09b1 System.2</x:t>
        </x:is>
      </x:c>
      <x:c r="O12" s="5" t="n">
        <x:v>2</x:v>
      </x:c>
      <x:c r="P12" s="5" t="n"/>
      <x:c r="Q12" s="5" t="inlineStr">
        <x:is>
          <x:t xml:space="preserve">All Software and Infrastructure Production Changes During the Review Period [INSERT EXAM PERIOD]; Software/Infrastructure Production Change Ticket</x:t>
        </x:is>
      </x:c>
      <x:c r="R12" s="5" t="inlineStr">
        <x:is>
          <x:t xml:space="preserve">Population</x:t>
        </x:is>
      </x:c>
      <x:c r="S12" s="5" t="inlineStr">
        <x:is>
          <x:t xml:space="preserve">Sample</x:t>
        </x:is>
      </x:c>
      <x:c r="T12" s="5" t="inlineStr">
        <x:is>
          <x:t xml:space="preserve">HITRUST e1.csv</x:t>
        </x:is>
      </x:c>
      <x:c r="U12" s="5" t="inlineStr">
        <x:is>
          <x:t xml:space="preserve">45 C.F.R. § 164.308(a)(8)</x:t>
        </x:is>
      </x:c>
      <x:c r="V12" s="5" t="inlineStr">
        <x:is>
          <x:t xml:space="preserve">Evaluation</x:t>
        </x:is>
      </x:c>
      <x:c r="W12" s="5" t="inlineStr">
        <x:is>
          <x:t xml:space="preserve">Perform periodic technical and nontechnical evaluations, and repeat them in response to environmental or operational changes affecting the security of ePHI.</x:t>
        </x:is>
      </x:c>
      <x:c r="X12" s="5" t="inlineStr">
        <x:is>
          <x:t xml:space="preserve">Required standard</x:t>
        </x:is>
      </x:c>
      <x:c r="Y12" s="5" t="inlineStr">
        <x:is>
          <x:t xml:space="preserve">Administrative Safeguards</x:t>
        </x:is>
      </x:c>
      <x:c r="Z12" s="28" t="inlineStr">
        <x:is>
          <x:t xml:space="preserve">https://www.ecfr.gov/current/title-45/subtitle-A/subchapter-C/part-164/section-164.308</x:t>
        </x:is>
      </x:c>
      <x:c r="AA12" s="28" t="inlineStr">
        <x:is>
          <x:t xml:space="preserve">https://www.hhs.gov/ocr/privacy/hipaa/administrative/securityrule/index.html</x:t>
        </x:is>
      </x:c>
      <x:c r="AB12" s="5" t="inlineStr">
        <x:is>
          <x:t xml:space="preserve">45 C.F.R. § 164.316(b)(1)</x:t>
        </x:is>
      </x:c>
      <x:c r="AC12" s="5" t="inlineStr">
        <x:is>
          <x:t xml:space="preserve">Documentation</x:t>
        </x:is>
      </x:c>
      <x:c r="AD12" s="5" t="inlineStr">
        <x:is>
          <x:t xml:space="preserve">Maintain written or electronic policies and procedures implemented to comply with the Security Rule and written or electronic records of required actions, activities, and assessments.</x:t>
        </x:is>
      </x:c>
      <x:c r="AE12" s="5" t="inlineStr">
        <x:is>
          <x:t xml:space="preserve">Standard</x:t>
        </x:is>
      </x:c>
      <x:c r="AF12" s="5" t="inlineStr">
        <x:is>
          <x:t xml:space="preserve">Policies / Documentation</x:t>
        </x:is>
      </x:c>
      <x:c r="AG12" s="28" t="inlineStr">
        <x:is>
          <x:t xml:space="preserve">https://www.ecfr.gov/current/title-45/subtitle-A/subchapter-C/part-164/section-164.316</x:t>
        </x:is>
      </x:c>
      <x:c r="AH12" s="28" t="inlineStr">
        <x:is>
          <x:t xml:space="preserve">https://www.hhs.gov/sites/default/files/ocr/privacy/hipaa/administrative/securityrule/pprequirements.pdf</x:t>
        </x:is>
      </x:c>
      <x:c r="AI12" s="5" t="n"/>
      <x:c r="AJ12" s="5" t="n"/>
      <x:c r="AK12" s="5" t="n"/>
      <x:c r="AL12" s="5" t="n"/>
      <x:c r="AM12" s="5" t="n"/>
      <x:c r="AN12" s="5" t="n"/>
      <x:c r="AO12" s="5" t="n"/>
      <x:c r="AP12" s="5" t="n"/>
      <x:c r="AQ12" s="5" t="n"/>
    </x:row>
    <x:row r="13" ht="30" customHeight="1">
      <x:c r="A13" s="5" t="inlineStr">
        <x:is>
          <x:t xml:space="preserve">REQ-61-HIPAA</x:t>
        </x:is>
      </x:c>
      <x:c r="B13" s="5" t="inlineStr">
        <x:is>
          <x:t xml:space="preserve">1616.09l1Organizational.16</x:t>
        </x:is>
      </x:c>
      <x:c r="C13" s="5" t="n">
        <x:v>2</x:v>
      </x:c>
      <x:c r="D13" s="5" t="inlineStr">
        <x:is>
          <x:t xml:space="preserve">Backups; Completed Production Data Backup Test</x:t>
        </x:is>
      </x:c>
      <x:c r="E13" s="5" t="inlineStr">
        <x:is>
          <x:t xml:space="preserve">Policy, Operational</x:t>
        </x:is>
      </x:c>
      <x:c r="F13" s="5" t="inlineStr">
        <x:is>
          <x:t xml:space="preserve">HITRUST e1.csv</x:t>
        </x:is>
      </x:c>
      <x:c r="G13" s="5" t="inlineStr">
        <x:is>
          <x:t xml:space="preserve">Many:1, 1:1</x:t>
        </x:is>
      </x:c>
      <x:c r="H13" s="5" t="inlineStr">
        <x:is>
          <x:t xml:space="preserve">45 CFR § 164.308(a)(7)(ii)(A) | 45 CFR § 164.308(a)(7)(ii)(D)</x:t>
        </x:is>
      </x:c>
      <x:c r="I13" s="5" t="inlineStr">
        <x:is>
          <x:t xml:space="preserve">Contingency Plan — Data Backup Plan | Contingency Plan — Testing and Revision Procedure</x:t>
        </x:is>
      </x:c>
      <x:c r="J13" s="5" t="inlineStr">
        <x:is>
          <x:t xml:space="preserve">Composite | Direct</x:t>
        </x:is>
      </x:c>
      <x:c r="K13" s="5" t="inlineStr">
        <x:is>
          <x:t xml:space="preserve">This internal control appears on general backup-policy rows and explicit backup-test rows, so both backup-plan and test/revision citations are included. | A completed backup test aligns directly to periodic testing/revision of contingency plans.</x:t>
        </x:is>
      </x:c>
      <x:c r="L13"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13" s="5" t="inlineStr">
        <x:is>
          <x:t xml:space="preserve">Broader than a single implementation specification because the source spreadsheet uses the same control across planning and testing evidence. | Used for explicit backup-test evidence.</x:t>
        </x:is>
      </x:c>
      <x:c r="N13" s="5" t="inlineStr">
        <x:is>
          <x:t xml:space="preserve">1616.09l1 Organizational.16</x:t>
        </x:is>
      </x:c>
      <x:c r="O13" s="5" t="n">
        <x:v>2</x:v>
      </x:c>
      <x:c r="P13" s="5" t="n"/>
      <x:c r="Q13" s="5" t="inlineStr">
        <x:is>
          <x:t xml:space="preserve">Backups; Completed Production Data Backup Test</x:t>
        </x:is>
      </x:c>
      <x:c r="R13" s="5" t="inlineStr">
        <x:is>
          <x:t xml:space="preserve">Policy</x:t>
        </x:is>
      </x:c>
      <x:c r="S13" s="5" t="inlineStr">
        <x:is>
          <x:t xml:space="preserve">Operational</x:t>
        </x:is>
      </x:c>
      <x:c r="T13" s="5" t="inlineStr">
        <x:is>
          <x:t xml:space="preserve">HITRUST e1.csv</x:t>
        </x:is>
      </x:c>
      <x:c r="U13" s="5" t="inlineStr">
        <x:is>
          <x:t xml:space="preserve">45 C.F.R. § 164.308(a)(7)(ii)(A)</x:t>
        </x:is>
      </x:c>
      <x:c r="V13" s="5" t="inlineStr">
        <x:is>
          <x:t xml:space="preserve">Contingency Plan — Data Backup Plan</x:t>
        </x:is>
      </x:c>
      <x:c r="W13" s="5" t="inlineStr">
        <x:is>
          <x:t xml:space="preserve">Establish and implement procedures to create and maintain retrievable exact copies of ePHI.</x:t>
        </x:is>
      </x:c>
      <x:c r="X13" s="5" t="inlineStr">
        <x:is>
          <x:t xml:space="preserve">Required implementation specification</x:t>
        </x:is>
      </x:c>
      <x:c r="Y13" s="5" t="inlineStr">
        <x:is>
          <x:t xml:space="preserve">Administrative Safeguards</x:t>
        </x:is>
      </x:c>
      <x:c r="Z13" s="28" t="inlineStr">
        <x:is>
          <x:t xml:space="preserve">https://www.ecfr.gov/current/title-45/subtitle-A/subchapter-C/part-164/section-164.308</x:t>
        </x:is>
      </x:c>
      <x:c r="AA13" s="28" t="inlineStr">
        <x:is>
          <x:t xml:space="preserve">https://www.hhs.gov/hipaa/for-professionals/security/guidance/cybersecurity/ransomware-fact-sheet/index.html</x:t>
        </x:is>
      </x:c>
      <x:c r="AB13" s="5" t="inlineStr">
        <x:is>
          <x:t xml:space="preserve">45 C.F.R. § 164.308(a)(7)(ii)(D)</x:t>
        </x:is>
      </x:c>
      <x:c r="AC13" s="5" t="inlineStr">
        <x:is>
          <x:t xml:space="preserve">Contingency Plan — Applications and Data Criticality Analysis</x:t>
        </x:is>
      </x:c>
      <x:c r="AD13" s="5" t="inlineStr">
        <x:is>
          <x:t xml:space="preserve">Assess the relative criticality of specific applications and data in support of contingency planning.</x:t>
        </x:is>
      </x:c>
      <x:c r="AE13" s="5" t="inlineStr">
        <x:is>
          <x:t xml:space="preserve">Addressable implementation specification</x:t>
        </x:is>
      </x:c>
      <x:c r="AF13" s="5" t="inlineStr">
        <x:is>
          <x:t xml:space="preserve">Administrative Safeguards</x:t>
        </x:is>
      </x:c>
      <x:c r="AG13" s="28" t="inlineStr">
        <x:is>
          <x:t xml:space="preserve">https://www.ecfr.gov/current/title-45/subtitle-A/subchapter-C/part-164/section-164.308</x:t>
        </x:is>
      </x:c>
      <x:c r="AH13" s="28" t="inlineStr">
        <x:is>
          <x:t xml:space="preserve">https://www.hhs.gov/hipaa/for-professionals/compliance-enforcement/audit/protocol-edited/index.html</x:t>
        </x:is>
      </x:c>
      <x:c r="AI13" s="5" t="n"/>
      <x:c r="AJ13" s="5" t="n"/>
      <x:c r="AK13" s="5" t="n"/>
      <x:c r="AL13" s="5" t="n"/>
      <x:c r="AM13" s="5" t="n"/>
      <x:c r="AN13" s="5" t="n"/>
      <x:c r="AO13" s="5" t="n"/>
      <x:c r="AP13" s="5" t="n"/>
      <x:c r="AQ13" s="5" t="n"/>
    </x:row>
    <x:row r="14" ht="30" customHeight="1">
      <x:c r="A14" s="5" t="inlineStr">
        <x:is>
          <x:t xml:space="preserve">REQ-102-HIPAA</x:t>
        </x:is>
      </x:c>
      <x:c r="B14" s="5" t="inlineStr">
        <x:is>
          <x:t xml:space="preserve">07.07a1Organizational.8</x:t>
        </x:is>
      </x:c>
      <x:c r="C14" s="5" t="n">
        <x:v>1</x:v>
      </x:c>
      <x:c r="D14" s="5" t="inlineStr">
        <x:is>
          <x:t xml:space="preserve">List of All Production Systems (Servers, VMs, Data Stores)</x:t>
        </x:is>
      </x:c>
      <x:c r="E14" s="5" t="inlineStr">
        <x:is>
          <x:t xml:space="preserve">Configuration</x:t>
        </x:is>
      </x:c>
      <x:c r="F14" s="5" t="inlineStr">
        <x:is>
          <x:t xml:space="preserve">HITRUST e1.csv</x:t>
        </x:is>
      </x:c>
      <x:c r="G14" s="5" t="inlineStr">
        <x:is>
          <x:t xml:space="preserve">Many:Many</x:t>
        </x:is>
      </x:c>
      <x:c r="H14" s="5" t="inlineStr">
        <x:is>
          <x:t xml:space="preserve">45 CFR § 164.308(a)(1)(ii)(A)</x:t>
        </x:is>
      </x:c>
      <x:c r="I14" s="5" t="inlineStr">
        <x:is>
          <x:t xml:space="preserve">Security Management Process — Risk Analysis</x:t>
        </x:is>
      </x:c>
      <x:c r="J14" s="5" t="inlineStr">
        <x:is>
          <x:t xml:space="preserve">Best-fit</x:t>
        </x:is>
      </x:c>
      <x:c r="K14" s="5" t="inlineStr">
        <x:is>
          <x:t xml:space="preserve">HIPAA does not expressly mandate an IT asset inventory, but OCR guidance says a comprehensive technology asset inventory and ePHI data-flow diagrams are valuable tools for an accurate and thorough risk analysis.</x:t>
        </x:is>
      </x:c>
      <x:c r="L14" s="28"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M14" s="5" t="inlineStr">
        <x:is>
          <x:t xml:space="preserve">Mapped as supporting evidence for risk analysis rather than as a standalone named HIPAA inventory control.</x:t>
        </x:is>
      </x:c>
      <x:c r="N14" s="5" t="inlineStr">
        <x:is>
          <x:t xml:space="preserve">07.07a1 Organizational.8</x:t>
        </x:is>
      </x:c>
      <x:c r="O14" s="5" t="n">
        <x:v>1</x:v>
      </x:c>
      <x:c r="P14" s="5" t="n"/>
      <x:c r="Q14" s="5" t="inlineStr">
        <x:is>
          <x:t xml:space="preserve">List of All Production Systems (Servers</x:t>
        </x:is>
      </x:c>
      <x:c r="R14" s="5" t="inlineStr">
        <x:is>
          <x:t xml:space="preserve">Configuration</x:t>
        </x:is>
      </x:c>
      <x:c r="S14" s="5" t="n"/>
      <x:c r="T14" s="5" t="inlineStr">
        <x:is>
          <x:t xml:space="preserve">HITRUST e1.csv</x:t>
        </x:is>
      </x:c>
      <x:c r="U14" s="5" t="inlineStr">
        <x:is>
          <x:t xml:space="preserve">45 C.F.R. § 164.308(a)(1)(ii)(A)</x:t>
        </x:is>
      </x:c>
      <x:c r="V14" s="5" t="inlineStr">
        <x:is>
          <x:t xml:space="preserve">Security Management Process — Risk Analysis</x:t>
        </x:is>
      </x:c>
      <x:c r="W14" s="5" t="inlineStr">
        <x:is>
          <x:t xml:space="preserve">Conduct an accurate and thorough assessment of the potential risks and vulnerabilities to the confidentiality, integrity, and availability of ePHI.</x:t>
        </x:is>
      </x:c>
      <x:c r="X14" s="5" t="inlineStr">
        <x:is>
          <x:t xml:space="preserve">Required implementation specification</x:t>
        </x:is>
      </x:c>
      <x:c r="Y14" s="5" t="inlineStr">
        <x:is>
          <x:t xml:space="preserve">Administrative Safeguards</x:t>
        </x:is>
      </x:c>
      <x:c r="Z14" s="28" t="inlineStr">
        <x:is>
          <x:t xml:space="preserve">https://www.ecfr.gov/current/title-45/subtitle-A/subchapter-C/part-164/section-164.308</x:t>
        </x:is>
      </x:c>
      <x:c r="AA14" s="28" t="inlineStr">
        <x:is>
          <x:t xml:space="preserve">https://www.hhs.gov/hipaa/for-professionals/security/guidance/guidance-risk-analysis/index.html</x:t>
        </x:is>
      </x:c>
      <x:c r="AB14" s="5" t="n"/>
      <x:c r="AC14" s="5" t="n"/>
      <x:c r="AD14" s="5" t="n"/>
      <x:c r="AE14" s="5" t="n"/>
      <x:c r="AF14" s="5" t="n"/>
      <x:c r="AG14" s="5" t="n"/>
      <x:c r="AH14" s="5" t="n"/>
      <x:c r="AI14" s="5" t="n"/>
      <x:c r="AJ14" s="5" t="n"/>
      <x:c r="AK14" s="5" t="n"/>
      <x:c r="AL14" s="5" t="n"/>
      <x:c r="AM14" s="5" t="n"/>
      <x:c r="AN14" s="5" t="n"/>
      <x:c r="AO14" s="5" t="n"/>
      <x:c r="AP14" s="5" t="inlineStr">
        <x:is>
          <x:t xml:space="preserve">VMs</x:t>
        </x:is>
      </x:c>
      <x:c r="AQ14" s="5" t="inlineStr">
        <x:is>
          <x:t xml:space="preserve">Data Stores)</x:t>
        </x:is>
      </x:c>
    </x:row>
    <x:row r="15" ht="30" customHeight="1">
      <x:c r="A15" s="5" t="inlineStr">
        <x:is>
          <x:t xml:space="preserve">REQ-102-HIPAA</x:t>
        </x:is>
      </x:c>
      <x:c r="B15" s="5" t="inlineStr">
        <x:is>
          <x:t xml:space="preserve">0701.07a1Organizational.7</x:t>
        </x:is>
      </x:c>
      <x:c r="C15" s="5" t="n">
        <x:v>1</x:v>
      </x:c>
      <x:c r="D15" s="5" t="inlineStr">
        <x:is>
          <x:t xml:space="preserve">List of All Production Systems (Servers, VMs, Data Stores)</x:t>
        </x:is>
      </x:c>
      <x:c r="E15" s="5" t="inlineStr">
        <x:is>
          <x:t xml:space="preserve">Configuration</x:t>
        </x:is>
      </x:c>
      <x:c r="F15" s="5" t="inlineStr">
        <x:is>
          <x:t xml:space="preserve">HITRUST e1.csv</x:t>
        </x:is>
      </x:c>
      <x:c r="G15" s="5" t="inlineStr">
        <x:is>
          <x:t xml:space="preserve">Many:Many</x:t>
        </x:is>
      </x:c>
      <x:c r="H15" s="5" t="inlineStr">
        <x:is>
          <x:t xml:space="preserve">45 CFR § 164.308(a)(1)(ii)(A)</x:t>
        </x:is>
      </x:c>
      <x:c r="I15" s="5" t="inlineStr">
        <x:is>
          <x:t xml:space="preserve">Security Management Process — Risk Analysis</x:t>
        </x:is>
      </x:c>
      <x:c r="J15" s="5" t="inlineStr">
        <x:is>
          <x:t xml:space="preserve">Best-fit</x:t>
        </x:is>
      </x:c>
      <x:c r="K15" s="5" t="inlineStr">
        <x:is>
          <x:t xml:space="preserve">HIPAA does not expressly mandate an IT asset inventory, but OCR guidance says a comprehensive technology asset inventory and ePHI data-flow diagrams are valuable tools for an accurate and thorough risk analysis.</x:t>
        </x:is>
      </x:c>
      <x:c r="L15" s="28"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M15" s="5" t="inlineStr">
        <x:is>
          <x:t xml:space="preserve">Mapped as supporting evidence for risk analysis rather than as a standalone named HIPAA inventory control.</x:t>
        </x:is>
      </x:c>
      <x:c r="N15" s="5" t="inlineStr">
        <x:is>
          <x:t xml:space="preserve">0701.07a1 Organizational.7</x:t>
        </x:is>
      </x:c>
      <x:c r="O15" s="5" t="n">
        <x:v>1</x:v>
      </x:c>
      <x:c r="P15" s="5" t="n"/>
      <x:c r="Q15" s="5" t="inlineStr">
        <x:is>
          <x:t xml:space="preserve">List of All Production Systems (Servers</x:t>
        </x:is>
      </x:c>
      <x:c r="R15" s="5" t="inlineStr">
        <x:is>
          <x:t xml:space="preserve">Configuration</x:t>
        </x:is>
      </x:c>
      <x:c r="S15" s="5" t="n"/>
      <x:c r="T15" s="5" t="inlineStr">
        <x:is>
          <x:t xml:space="preserve">HITRUST e1.csv</x:t>
        </x:is>
      </x:c>
      <x:c r="U15" s="5" t="inlineStr">
        <x:is>
          <x:t xml:space="preserve">45 C.F.R. § 164.308(a)(1)(ii)(A)</x:t>
        </x:is>
      </x:c>
      <x:c r="V15" s="5" t="inlineStr">
        <x:is>
          <x:t xml:space="preserve">Security Management Process — Risk Analysis</x:t>
        </x:is>
      </x:c>
      <x:c r="W15" s="5" t="inlineStr">
        <x:is>
          <x:t xml:space="preserve">Conduct an accurate and thorough assessment of the potential risks and vulnerabilities to the confidentiality, integrity, and availability of ePHI.</x:t>
        </x:is>
      </x:c>
      <x:c r="X15" s="5" t="inlineStr">
        <x:is>
          <x:t xml:space="preserve">Required implementation specification</x:t>
        </x:is>
      </x:c>
      <x:c r="Y15" s="5" t="inlineStr">
        <x:is>
          <x:t xml:space="preserve">Administrative Safeguards</x:t>
        </x:is>
      </x:c>
      <x:c r="Z15" s="28" t="inlineStr">
        <x:is>
          <x:t xml:space="preserve">https://www.ecfr.gov/current/title-45/subtitle-A/subchapter-C/part-164/section-164.308</x:t>
        </x:is>
      </x:c>
      <x:c r="AA15" s="28" t="inlineStr">
        <x:is>
          <x:t xml:space="preserve">https://www.hhs.gov/hipaa/for-professionals/security/guidance/guidance-risk-analysis/index.html</x:t>
        </x:is>
      </x:c>
      <x:c r="AB15" s="5" t="n"/>
      <x:c r="AC15" s="5" t="n"/>
      <x:c r="AD15" s="5" t="n"/>
      <x:c r="AE15" s="5" t="n"/>
      <x:c r="AF15" s="5" t="n"/>
      <x:c r="AG15" s="5" t="n"/>
      <x:c r="AH15" s="5" t="n"/>
      <x:c r="AI15" s="5" t="n"/>
      <x:c r="AJ15" s="5" t="n"/>
      <x:c r="AK15" s="5" t="n"/>
      <x:c r="AL15" s="5" t="n"/>
      <x:c r="AM15" s="5" t="n"/>
      <x:c r="AN15" s="5" t="n"/>
      <x:c r="AO15" s="5" t="n"/>
      <x:c r="AP15" s="5" t="inlineStr">
        <x:is>
          <x:t xml:space="preserve">VMs</x:t>
        </x:is>
      </x:c>
      <x:c r="AQ15" s="5" t="inlineStr">
        <x:is>
          <x:t xml:space="preserve">Data Stores)</x:t>
        </x:is>
      </x:c>
    </x:row>
    <x:row r="16" ht="30" customHeight="1">
      <x:c r="A16" s="5" t="inlineStr">
        <x:is>
          <x:t xml:space="preserve">REQ-102-HIPAA</x:t>
        </x:is>
      </x:c>
      <x:c r="B16" s="5" t="inlineStr">
        <x:is>
          <x:t xml:space="preserve">0701.07a1Organizational.8</x:t>
        </x:is>
      </x:c>
      <x:c r="C16" s="5" t="n">
        <x:v>1</x:v>
      </x:c>
      <x:c r="D16" s="5" t="inlineStr">
        <x:is>
          <x:t xml:space="preserve">List of All Production Systems (Servers, VMs, Data Stores)</x:t>
        </x:is>
      </x:c>
      <x:c r="E16" s="5" t="inlineStr">
        <x:is>
          <x:t xml:space="preserve">Configuration</x:t>
        </x:is>
      </x:c>
      <x:c r="F16" s="5" t="inlineStr">
        <x:is>
          <x:t xml:space="preserve">HITRUST e1.csv</x:t>
        </x:is>
      </x:c>
      <x:c r="G16" s="5" t="inlineStr">
        <x:is>
          <x:t xml:space="preserve">Many:Many</x:t>
        </x:is>
      </x:c>
      <x:c r="H16" s="5" t="inlineStr">
        <x:is>
          <x:t xml:space="preserve">45 CFR § 164.308(a)(1)(ii)(A)</x:t>
        </x:is>
      </x:c>
      <x:c r="I16" s="5" t="inlineStr">
        <x:is>
          <x:t xml:space="preserve">Security Management Process — Risk Analysis</x:t>
        </x:is>
      </x:c>
      <x:c r="J16" s="5" t="inlineStr">
        <x:is>
          <x:t xml:space="preserve">Best-fit</x:t>
        </x:is>
      </x:c>
      <x:c r="K16" s="5" t="inlineStr">
        <x:is>
          <x:t xml:space="preserve">HIPAA does not expressly mandate an IT asset inventory, but OCR guidance says a comprehensive technology asset inventory and ePHI data-flow diagrams are valuable tools for an accurate and thorough risk analysis.</x:t>
        </x:is>
      </x:c>
      <x:c r="L16" s="28" t="inlineStr">
        <x:is>
          <x:t xml:space="preserve">https://www.ecfr.gov/current/title-45/subtitle-A/subchapter-C/part-164/section-164.308 | https://www.hhs.gov/hipaa/for-professionals/security/guidance/guidance-risk-analysis/index.html | https://www.hhs.gov/hipaa/for-professionals/security/guidance/cybersecurity-newsletter-october-2024/index.html</x:t>
        </x:is>
      </x:c>
      <x:c r="M16" s="5" t="inlineStr">
        <x:is>
          <x:t xml:space="preserve">Mapped as supporting evidence for risk analysis rather than as a standalone named HIPAA inventory control.</x:t>
        </x:is>
      </x:c>
      <x:c r="N16" s="5" t="inlineStr">
        <x:is>
          <x:t xml:space="preserve">0701.07a1 Organizational.8</x:t>
        </x:is>
      </x:c>
      <x:c r="O16" s="5" t="n">
        <x:v>1</x:v>
      </x:c>
      <x:c r="P16" s="5" t="n"/>
      <x:c r="Q16" s="5" t="inlineStr">
        <x:is>
          <x:t xml:space="preserve">List of All Production Systems (Servers</x:t>
        </x:is>
      </x:c>
      <x:c r="R16" s="5" t="inlineStr">
        <x:is>
          <x:t xml:space="preserve">Configuration</x:t>
        </x:is>
      </x:c>
      <x:c r="S16" s="5" t="n"/>
      <x:c r="T16" s="5" t="inlineStr">
        <x:is>
          <x:t xml:space="preserve">HITRUST e1.csv</x:t>
        </x:is>
      </x:c>
      <x:c r="U16" s="5" t="inlineStr">
        <x:is>
          <x:t xml:space="preserve">45 C.F.R. § 164.308(a)(1)(ii)(A)</x:t>
        </x:is>
      </x:c>
      <x:c r="V16" s="5" t="inlineStr">
        <x:is>
          <x:t xml:space="preserve">Security Management Process — Risk Analysis</x:t>
        </x:is>
      </x:c>
      <x:c r="W16" s="5" t="inlineStr">
        <x:is>
          <x:t xml:space="preserve">Conduct an accurate and thorough assessment of the potential risks and vulnerabilities to the confidentiality, integrity, and availability of ePHI.</x:t>
        </x:is>
      </x:c>
      <x:c r="X16" s="5" t="inlineStr">
        <x:is>
          <x:t xml:space="preserve">Required implementation specification</x:t>
        </x:is>
      </x:c>
      <x:c r="Y16" s="5" t="inlineStr">
        <x:is>
          <x:t xml:space="preserve">Administrative Safeguards</x:t>
        </x:is>
      </x:c>
      <x:c r="Z16" s="28" t="inlineStr">
        <x:is>
          <x:t xml:space="preserve">https://www.ecfr.gov/current/title-45/subtitle-A/subchapter-C/part-164/section-164.308</x:t>
        </x:is>
      </x:c>
      <x:c r="AA16" s="28" t="inlineStr">
        <x:is>
          <x:t xml:space="preserve">https://www.hhs.gov/hipaa/for-professionals/security/guidance/guidance-risk-analysis/index.html</x:t>
        </x:is>
      </x:c>
      <x:c r="AB16" s="5" t="n"/>
      <x:c r="AC16" s="5" t="n"/>
      <x:c r="AD16" s="5" t="n"/>
      <x:c r="AE16" s="5" t="n"/>
      <x:c r="AF16" s="5" t="n"/>
      <x:c r="AG16" s="5" t="n"/>
      <x:c r="AH16" s="5" t="n"/>
      <x:c r="AI16" s="5" t="n"/>
      <x:c r="AJ16" s="5" t="n"/>
      <x:c r="AK16" s="5" t="n"/>
      <x:c r="AL16" s="5" t="n"/>
      <x:c r="AM16" s="5" t="n"/>
      <x:c r="AN16" s="5" t="n"/>
      <x:c r="AO16" s="5" t="n"/>
      <x:c r="AP16" s="5" t="inlineStr">
        <x:is>
          <x:t xml:space="preserve">VMs</x:t>
        </x:is>
      </x:c>
      <x:c r="AQ16" s="5" t="inlineStr">
        <x:is>
          <x:t xml:space="preserve">Data Stores)</x:t>
        </x:is>
      </x:c>
    </x:row>
    <x:row r="17" ht="30" customHeight="1">
      <x:c r="A17" s="5" t="inlineStr">
        <x:is>
          <x:t xml:space="preserve">REQ-109-HIPAA</x:t>
        </x:is>
      </x:c>
      <x:c r="B17" s="5" t="inlineStr">
        <x:is>
          <x:t xml:space="preserve">0701.07a1Organizational.8</x:t>
        </x:is>
      </x:c>
      <x:c r="C17" s="5" t="n">
        <x:v>1</x:v>
      </x:c>
      <x:c r="D17" s="5" t="inlineStr">
        <x:is>
          <x:t xml:space="preserve">Asset Custody Log</x:t>
        </x:is>
      </x:c>
      <x:c r="E17" s="5" t="inlineStr">
        <x:is>
          <x:t xml:space="preserve">Operational</x:t>
        </x:is>
      </x:c>
      <x:c r="F17" s="5" t="inlineStr">
        <x:is>
          <x:t xml:space="preserve">HIPAA Security.csv</x:t>
        </x:is>
      </x:c>
      <x:c r="G17" s="5" t="inlineStr">
        <x:is>
          <x:t xml:space="preserve">1:Many</x:t>
        </x:is>
      </x:c>
      <x:c r="H17" s="5" t="inlineStr">
        <x:is>
          <x:t xml:space="preserve">45 CFR § 164.310(d)(2)(iii)</x:t>
        </x:is>
      </x:c>
      <x:c r="I17" s="5" t="inlineStr">
        <x:is>
          <x:t xml:space="preserve">Device and Media Controls — Accountability</x:t>
        </x:is>
      </x:c>
      <x:c r="J17" s="5" t="inlineStr">
        <x:is>
          <x:t xml:space="preserve">Direct</x:t>
        </x:is>
      </x:c>
      <x:c r="K17" s="5" t="inlineStr">
        <x:is>
          <x:t xml:space="preserve">Asset custody logs align directly to maintaining a record of the movements of hardware/electronic media and the person responsible.</x:t>
        </x:is>
      </x:c>
      <x:c r="L17" s="28"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M17" s="5" t="inlineStr">
        <x:is>
          <x:t xml:space="preserve">Used for custody/chain-of-responsibility evidence.</x:t>
        </x:is>
      </x:c>
      <x:c r="N17" s="5" t="inlineStr">
        <x:is>
          <x:t xml:space="preserve">0701.07a1 Organizational.8</x:t>
        </x:is>
      </x:c>
      <x:c r="O17" s="5" t="n">
        <x:v>1</x:v>
      </x:c>
      <x:c r="P17" s="5" t="n"/>
      <x:c r="Q17" s="5" t="inlineStr">
        <x:is>
          <x:t xml:space="preserve">Asset Custody Log</x:t>
        </x:is>
      </x:c>
      <x:c r="R17" s="5" t="inlineStr">
        <x:is>
          <x:t xml:space="preserve">Operational</x:t>
        </x:is>
      </x:c>
      <x:c r="S17" s="5" t="n"/>
      <x:c r="T17" s="5" t="inlineStr">
        <x:is>
          <x:t xml:space="preserve">HIPAA Security.csv</x:t>
        </x:is>
      </x:c>
      <x:c r="U17" s="5" t="inlineStr">
        <x:is>
          <x:t xml:space="preserve">45 C.F.R. § 164.310(d)(2)(iii)</x:t>
        </x:is>
      </x:c>
      <x:c r="V17" s="5" t="inlineStr">
        <x:is>
          <x:t xml:space="preserve">Device and Media Controls — Accountability</x:t>
        </x:is>
      </x:c>
      <x:c r="W17" s="5" t="inlineStr">
        <x:is>
          <x:t xml:space="preserve">Maintain a record of the movements of hardware and electronic media and the person responsible for them.</x:t>
        </x:is>
      </x:c>
      <x:c r="X17" s="5" t="inlineStr">
        <x:is>
          <x:t xml:space="preserve">Addressable implementation specification</x:t>
        </x:is>
      </x:c>
      <x:c r="Y17" s="5" t="inlineStr">
        <x:is>
          <x:t xml:space="preserve">Physical Safeguards</x:t>
        </x:is>
      </x:c>
      <x:c r="Z17" s="28" t="inlineStr">
        <x:is>
          <x:t xml:space="preserve">https://www.ecfr.gov/current/title-45/subtitle-A/subchapter-C/part-164/section-164.310</x:t>
        </x:is>
      </x:c>
      <x:c r="AA17" s="28" t="inlineStr">
        <x:is>
          <x:t xml:space="preserve">https://www.hhs.gov/sites/default/files/ocr/privacy/hipaa/administrative/combined/hipaa-simplification-201303.pdf</x:t>
        </x:is>
      </x:c>
      <x:c r="AB17" s="5" t="n"/>
      <x:c r="AC17" s="5" t="n"/>
      <x:c r="AD17" s="5" t="n"/>
      <x:c r="AE17" s="5" t="n"/>
      <x:c r="AF17" s="5" t="n"/>
      <x:c r="AG17" s="5" t="n"/>
      <x:c r="AH17" s="5" t="n"/>
      <x:c r="AI17" s="5" t="n"/>
      <x:c r="AJ17" s="5" t="n"/>
      <x:c r="AK17" s="5" t="n"/>
      <x:c r="AL17" s="5" t="n"/>
      <x:c r="AM17" s="5" t="n"/>
      <x:c r="AN17" s="5" t="n"/>
      <x:c r="AO17" s="5" t="n"/>
      <x:c r="AP17" s="5" t="n"/>
      <x:c r="AQ17" s="5" t="n"/>
    </x:row>
    <x:row r="18" ht="30" customHeight="1">
      <x:c r="A18" s="5" t="inlineStr">
        <x:is>
          <x:t xml:space="preserve">REQ-109-HIPAA</x:t>
        </x:is>
      </x:c>
      <x:c r="B18" s="5" t="inlineStr">
        <x:is>
          <x:t xml:space="preserve">0704.07a1Organizational.8</x:t>
        </x:is>
      </x:c>
      <x:c r="C18" s="5" t="n">
        <x:v>1</x:v>
      </x:c>
      <x:c r="D18" s="5" t="inlineStr">
        <x:is>
          <x:t xml:space="preserve">Asset Custody Log</x:t>
        </x:is>
      </x:c>
      <x:c r="E18" s="5" t="inlineStr">
        <x:is>
          <x:t xml:space="preserve">Operational</x:t>
        </x:is>
      </x:c>
      <x:c r="F18" s="5" t="inlineStr">
        <x:is>
          <x:t xml:space="preserve">HIPAA Security.csv</x:t>
        </x:is>
      </x:c>
      <x:c r="G18" s="5" t="inlineStr">
        <x:is>
          <x:t xml:space="preserve">1:Many</x:t>
        </x:is>
      </x:c>
      <x:c r="H18" s="5" t="inlineStr">
        <x:is>
          <x:t xml:space="preserve">45 CFR § 164.310(d)(2)(iii)</x:t>
        </x:is>
      </x:c>
      <x:c r="I18" s="5" t="inlineStr">
        <x:is>
          <x:t xml:space="preserve">Device and Media Controls — Accountability</x:t>
        </x:is>
      </x:c>
      <x:c r="J18" s="5" t="inlineStr">
        <x:is>
          <x:t xml:space="preserve">Direct</x:t>
        </x:is>
      </x:c>
      <x:c r="K18" s="5" t="inlineStr">
        <x:is>
          <x:t xml:space="preserve">Asset custody logs align directly to maintaining a record of the movements of hardware/electronic media and the person responsible.</x:t>
        </x:is>
      </x:c>
      <x:c r="L18" s="28" t="inlineStr">
        <x:is>
          <x:t xml:space="preserve">https://www.ecfr.gov/current/title-45/subtitle-A/subchapter-C/part-164/section-164.310 | https://www.hhs.gov/hipaa/for-professionals/compliance-enforcement/audit/protocol/index.html | https://www.hhs.gov/sites/default/files/ocr/privacy/hipaa/administrative/combined/hipaa-simplification-201303.pdf</x:t>
        </x:is>
      </x:c>
      <x:c r="M18" s="5" t="inlineStr">
        <x:is>
          <x:t xml:space="preserve">Used for custody/chain-of-responsibility evidence.</x:t>
        </x:is>
      </x:c>
      <x:c r="N18" s="5" t="inlineStr">
        <x:is>
          <x:t xml:space="preserve">0704.07a1 Organizational.8</x:t>
        </x:is>
      </x:c>
      <x:c r="O18" s="5" t="n">
        <x:v>1</x:v>
      </x:c>
      <x:c r="P18" s="5" t="n"/>
      <x:c r="Q18" s="5" t="inlineStr">
        <x:is>
          <x:t xml:space="preserve">Asset Custody Log</x:t>
        </x:is>
      </x:c>
      <x:c r="R18" s="5" t="inlineStr">
        <x:is>
          <x:t xml:space="preserve">Operational</x:t>
        </x:is>
      </x:c>
      <x:c r="S18" s="5" t="n"/>
      <x:c r="T18" s="5" t="inlineStr">
        <x:is>
          <x:t xml:space="preserve">HIPAA Security.csv</x:t>
        </x:is>
      </x:c>
      <x:c r="U18" s="5" t="inlineStr">
        <x:is>
          <x:t xml:space="preserve">45 C.F.R. § 164.310(d)(2)(iii)</x:t>
        </x:is>
      </x:c>
      <x:c r="V18" s="5" t="inlineStr">
        <x:is>
          <x:t xml:space="preserve">Device and Media Controls — Accountability</x:t>
        </x:is>
      </x:c>
      <x:c r="W18" s="5" t="inlineStr">
        <x:is>
          <x:t xml:space="preserve">Maintain a record of the movements of hardware and electronic media and the person responsible for them.</x:t>
        </x:is>
      </x:c>
      <x:c r="X18" s="5" t="inlineStr">
        <x:is>
          <x:t xml:space="preserve">Addressable implementation specification</x:t>
        </x:is>
      </x:c>
      <x:c r="Y18" s="5" t="inlineStr">
        <x:is>
          <x:t xml:space="preserve">Physical Safeguards</x:t>
        </x:is>
      </x:c>
      <x:c r="Z18" s="28" t="inlineStr">
        <x:is>
          <x:t xml:space="preserve">https://www.ecfr.gov/current/title-45/subtitle-A/subchapter-C/part-164/section-164.310</x:t>
        </x:is>
      </x:c>
      <x:c r="AA18" s="28" t="inlineStr">
        <x:is>
          <x:t xml:space="preserve">https://www.hhs.gov/sites/default/files/ocr/privacy/hipaa/administrative/combined/hipaa-simplification-201303.pdf</x:t>
        </x:is>
      </x:c>
      <x:c r="AB18" s="5" t="n"/>
      <x:c r="AC18" s="5" t="n"/>
      <x:c r="AD18" s="5" t="n"/>
      <x:c r="AE18" s="5" t="n"/>
      <x:c r="AF18" s="5" t="n"/>
      <x:c r="AG18" s="5" t="n"/>
      <x:c r="AH18" s="5" t="n"/>
      <x:c r="AI18" s="5" t="n"/>
      <x:c r="AJ18" s="5" t="n"/>
      <x:c r="AK18" s="5" t="n"/>
      <x:c r="AL18" s="5" t="n"/>
      <x:c r="AM18" s="5" t="n"/>
      <x:c r="AN18" s="5" t="n"/>
      <x:c r="AO18" s="5" t="n"/>
      <x:c r="AP18" s="5" t="n"/>
      <x:c r="AQ18" s="5" t="n"/>
    </x:row>
    <x:row r="19" ht="30" customHeight="1">
      <x:c r="A19" s="5" t="inlineStr">
        <x:is>
          <x:t xml:space="preserve">REQ-110-HIPAA</x:t>
        </x:is>
      </x:c>
      <x:c r="B19" s="5" t="inlineStr">
        <x:is>
          <x:t xml:space="preserve">1704.03b1Organizational.12</x:t>
        </x:is>
      </x:c>
      <x:c r="C19" s="5" t="n">
        <x:v>1</x:v>
      </x:c>
      <x:c r="D19" s="5" t="inlineStr">
        <x:is>
          <x:t xml:space="preserve">Risk Assessment</x:t>
        </x:is>
      </x:c>
      <x:c r="E19" s="5" t="inlineStr">
        <x:is>
          <x:t xml:space="preserve">Operational</x:t>
        </x:is>
      </x:c>
      <x:c r="F19" s="5" t="inlineStr">
        <x:is>
          <x:t xml:space="preserve">HITRUST e1.csv</x:t>
        </x:is>
      </x:c>
      <x:c r="G19" s="5" t="inlineStr">
        <x:is>
          <x:t xml:space="preserve">Many:1</x:t>
        </x:is>
      </x:c>
      <x:c r="H19" s="5" t="inlineStr">
        <x:is>
          <x:t xml:space="preserve">45 CFR § 164.308(a)(1)(ii)(A)</x:t>
        </x:is>
      </x:c>
      <x:c r="I19" s="5" t="inlineStr">
        <x:is>
          <x:t xml:space="preserve">Security Management Process — Risk Analysis</x:t>
        </x:is>
      </x:c>
      <x:c r="J19" s="5" t="inlineStr">
        <x:is>
          <x:t xml:space="preserve">Best-fit</x:t>
        </x:is>
      </x:c>
      <x:c r="K19" s="5" t="inlineStr">
        <x:is>
          <x:t xml:space="preserve">The source spreadsheet only exposes an internal control ID on the Risk Assessment action item, so the closest authoritative HIPAA citation is Risk Analysis.</x:t>
        </x:is>
      </x:c>
      <x:c r="L19" s="28" t="inlineStr">
        <x:is>
          <x:t xml:space="preserve">https://www.ecfr.gov/current/title-45/subtitle-A/subchapter-C/part-164/section-164.308 | https://www.hhs.gov/hipaa/for-professionals/security/guidance/guidance-risk-analysis/index.html | https://www.hhs.gov/sites/default/files/ocr/privacy/hipaa/administrative/combined/hipaa-simplification-201303.pdf</x:t>
        </x:is>
      </x:c>
      <x:c r="M19" s="5" t="inlineStr">
        <x:is>
          <x:t xml:space="preserve">Matched by action-item semantics because the internal control itself is not labeled with an official HIPAA section.</x:t>
        </x:is>
      </x:c>
      <x:c r="N19" s="5" t="inlineStr">
        <x:is>
          <x:t xml:space="preserve">1704.03b1 Organizational.12</x:t>
        </x:is>
      </x:c>
      <x:c r="O19" s="5" t="n">
        <x:v>1</x:v>
      </x:c>
      <x:c r="P19" s="5" t="n"/>
      <x:c r="Q19" s="5" t="inlineStr">
        <x:is>
          <x:t xml:space="preserve">Risk Assessment</x:t>
        </x:is>
      </x:c>
      <x:c r="R19" s="5" t="inlineStr">
        <x:is>
          <x:t xml:space="preserve">Operational</x:t>
        </x:is>
      </x:c>
      <x:c r="S19" s="5" t="n"/>
      <x:c r="T19" s="5" t="inlineStr">
        <x:is>
          <x:t xml:space="preserve">HITRUST e1.csv</x:t>
        </x:is>
      </x:c>
      <x:c r="U19" s="5" t="inlineStr">
        <x:is>
          <x:t xml:space="preserve">45 C.F.R. § 164.308(a)(1)(ii)(A)</x:t>
        </x:is>
      </x:c>
      <x:c r="V19" s="5" t="inlineStr">
        <x:is>
          <x:t xml:space="preserve">Security Management Process — Risk Analysis</x:t>
        </x:is>
      </x:c>
      <x:c r="W19" s="5" t="inlineStr">
        <x:is>
          <x:t xml:space="preserve">Conduct an accurate and thorough assessment of the potential risks and vulnerabilities to the confidentiality, integrity, and availability of ePHI.</x:t>
        </x:is>
      </x:c>
      <x:c r="X19" s="5" t="inlineStr">
        <x:is>
          <x:t xml:space="preserve">Required implementation specification</x:t>
        </x:is>
      </x:c>
      <x:c r="Y19" s="5" t="inlineStr">
        <x:is>
          <x:t xml:space="preserve">Administrative Safeguards</x:t>
        </x:is>
      </x:c>
      <x:c r="Z19" s="28" t="inlineStr">
        <x:is>
          <x:t xml:space="preserve">https://www.ecfr.gov/current/title-45/subtitle-A/subchapter-C/part-164/section-164.308</x:t>
        </x:is>
      </x:c>
      <x:c r="AA19" s="28" t="inlineStr">
        <x:is>
          <x:t xml:space="preserve">https://www.hhs.gov/hipaa/for-professionals/security/guidance/guidance-risk-analysis/index.html</x:t>
        </x:is>
      </x:c>
      <x:c r="AB19" s="5" t="n"/>
      <x:c r="AC19" s="5" t="n"/>
      <x:c r="AD19" s="5" t="n"/>
      <x:c r="AE19" s="5" t="n"/>
      <x:c r="AF19" s="5" t="n"/>
      <x:c r="AG19" s="5" t="n"/>
      <x:c r="AH19" s="5" t="n"/>
      <x:c r="AI19" s="5" t="n"/>
      <x:c r="AJ19" s="5" t="n"/>
      <x:c r="AK19" s="5" t="n"/>
      <x:c r="AL19" s="5" t="n"/>
      <x:c r="AM19" s="5" t="n"/>
      <x:c r="AN19" s="5" t="n"/>
      <x:c r="AO19" s="5" t="n"/>
      <x:c r="AP19" s="5" t="n"/>
      <x:c r="AQ19" s="5" t="n"/>
    </x:row>
    <x:row r="20" ht="30" customHeight="1">
      <x:c r="A20" s="5" t="inlineStr">
        <x:is>
          <x:t xml:space="preserve">REQ-12-HIPAA</x:t>
        </x:is>
      </x:c>
      <x:c r="B20" s="5" t="inlineStr">
        <x:is>
          <x:t xml:space="preserve">13.02e1Organizational.6</x:t>
        </x:is>
      </x:c>
      <x:c r="C20" s="5" t="n">
        <x:v>1</x:v>
      </x:c>
      <x:c r="D20" s="5" t="inlineStr">
        <x:is>
          <x:t xml:space="preserve">New Hire Security Awareness Training</x:t>
        </x:is>
      </x:c>
      <x:c r="E20" s="5" t="inlineStr">
        <x:is>
          <x:t xml:space="preserve">Sample</x:t>
        </x:is>
      </x:c>
      <x:c r="F20" s="5" t="inlineStr">
        <x:is>
          <x:t xml:space="preserve">HITRUST e1.csv</x:t>
        </x:is>
      </x:c>
      <x:c r="G20" s="5" t="inlineStr">
        <x:is>
          <x:t xml:space="preserve">1:Many</x:t>
        </x:is>
      </x:c>
      <x:c r="H20" s="5" t="inlineStr">
        <x:is>
          <x:t xml:space="preserve">45 CFR § 164.308(a)(5)</x:t>
        </x:is>
      </x:c>
      <x:c r="I20" s="5" t="inlineStr">
        <x:is>
          <x:t xml:space="preserve">Security Awareness and Training</x:t>
        </x:is>
      </x:c>
      <x:c r="J20" s="5" t="inlineStr">
        <x:is>
          <x:t xml:space="preserve">Direct</x:t>
        </x:is>
      </x:c>
      <x:c r="K20" s="5" t="inlineStr">
        <x:is>
          <x:t xml:space="preserve">Action item and control context align to workforce security-awareness training for new hires.</x:t>
        </x:is>
      </x:c>
      <x:c r="L20"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20" s="5" t="inlineStr">
        <x:is>
          <x:t xml:space="preserve">Mapped at the standard level because the spreadsheet does not break new-hire training into the more granular addressable sub-specifications.</x:t>
        </x:is>
      </x:c>
      <x:c r="N20" s="5" t="inlineStr">
        <x:is>
          <x:t xml:space="preserve">13.02e1 Organizational.6</x:t>
        </x:is>
      </x:c>
      <x:c r="O20" s="5" t="n">
        <x:v>1</x:v>
      </x:c>
      <x:c r="P20" s="5" t="n"/>
      <x:c r="Q20" s="5" t="inlineStr">
        <x:is>
          <x:t xml:space="preserve">New Hire Security Awareness Training</x:t>
        </x:is>
      </x:c>
      <x:c r="R20" s="5" t="inlineStr">
        <x:is>
          <x:t xml:space="preserve">Sample</x:t>
        </x:is>
      </x:c>
      <x:c r="S20" s="5" t="n"/>
      <x:c r="T20" s="5" t="inlineStr">
        <x:is>
          <x:t xml:space="preserve">HITRUST e1.csv</x:t>
        </x:is>
      </x:c>
      <x:c r="U20" s="5" t="inlineStr">
        <x:is>
          <x:t xml:space="preserve">45 C.F.R. § 164.308(a)(5)</x:t>
        </x:is>
      </x:c>
      <x:c r="V20" s="5" t="inlineStr">
        <x:is>
          <x:t xml:space="preserve">Security Awareness and Training</x:t>
        </x:is>
      </x:c>
      <x:c r="W20" s="5" t="inlineStr">
        <x:is>
          <x:t xml:space="preserve">Implement a security awareness and training program for all members of the workforce, including management.</x:t>
        </x:is>
      </x:c>
      <x:c r="X20" s="5" t="inlineStr">
        <x:is>
          <x:t xml:space="preserve">Standard</x:t>
        </x:is>
      </x:c>
      <x:c r="Y20" s="5" t="inlineStr">
        <x:is>
          <x:t xml:space="preserve">Administrative Safeguards</x:t>
        </x:is>
      </x:c>
      <x:c r="Z20" s="28" t="inlineStr">
        <x:is>
          <x:t xml:space="preserve">https://www.ecfr.gov/current/title-45/subtitle-A/subchapter-C/part-164/section-164.308</x:t>
        </x:is>
      </x:c>
      <x:c r="AA20" s="28" t="inlineStr">
        <x:is>
          <x:t xml:space="preserve">https://www.hhs.gov/sites/default/files/ocr/privacy/hipaa/administrative/securityrule/adminsafeguards.pdf</x:t>
        </x:is>
      </x:c>
      <x:c r="AB20" s="5" t="n"/>
      <x:c r="AC20" s="5" t="n"/>
      <x:c r="AD20" s="5" t="n"/>
      <x:c r="AE20" s="5" t="n"/>
      <x:c r="AF20" s="5" t="n"/>
      <x:c r="AG20" s="5" t="n"/>
      <x:c r="AH20" s="5" t="n"/>
      <x:c r="AI20" s="5" t="n"/>
      <x:c r="AJ20" s="5" t="n"/>
      <x:c r="AK20" s="5" t="n"/>
      <x:c r="AL20" s="5" t="n"/>
      <x:c r="AM20" s="5" t="n"/>
      <x:c r="AN20" s="5" t="n"/>
      <x:c r="AO20" s="5" t="n"/>
      <x:c r="AP20" s="5" t="n"/>
      <x:c r="AQ20" s="5" t="n"/>
    </x:row>
    <x:row r="21" ht="30" customHeight="1">
      <x:c r="A21" s="5" t="inlineStr">
        <x:is>
          <x:t xml:space="preserve">REQ-12-HIPAA</x:t>
        </x:is>
      </x:c>
      <x:c r="B21" s="5" t="inlineStr">
        <x:is>
          <x:t xml:space="preserve">1308.09j1Organizational.5.a</x:t>
        </x:is>
      </x:c>
      <x:c r="C21" s="5" t="n">
        <x:v>1</x:v>
      </x:c>
      <x:c r="D21" s="5" t="inlineStr">
        <x:is>
          <x:t xml:space="preserve">New Hire Security Awareness Training</x:t>
        </x:is>
      </x:c>
      <x:c r="E21" s="5" t="inlineStr">
        <x:is>
          <x:t xml:space="preserve">Sample</x:t>
        </x:is>
      </x:c>
      <x:c r="F21" s="5" t="inlineStr">
        <x:is>
          <x:t xml:space="preserve">HITRUST e1.csv</x:t>
        </x:is>
      </x:c>
      <x:c r="G21" s="5" t="inlineStr">
        <x:is>
          <x:t xml:space="preserve">1:Many</x:t>
        </x:is>
      </x:c>
      <x:c r="H21" s="5" t="inlineStr">
        <x:is>
          <x:t xml:space="preserve">45 CFR § 164.308(a)(5)</x:t>
        </x:is>
      </x:c>
      <x:c r="I21" s="5" t="inlineStr">
        <x:is>
          <x:t xml:space="preserve">Security Awareness and Training</x:t>
        </x:is>
      </x:c>
      <x:c r="J21" s="5" t="inlineStr">
        <x:is>
          <x:t xml:space="preserve">Direct</x:t>
        </x:is>
      </x:c>
      <x:c r="K21" s="5" t="inlineStr">
        <x:is>
          <x:t xml:space="preserve">Action item and control context align to workforce security-awareness training for new hires.</x:t>
        </x:is>
      </x:c>
      <x:c r="L21"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21" s="5" t="inlineStr">
        <x:is>
          <x:t xml:space="preserve">Mapped at the standard level because the spreadsheet does not break new-hire training into the more granular addressable sub-specifications.</x:t>
        </x:is>
      </x:c>
      <x:c r="N21" s="5" t="inlineStr">
        <x:is>
          <x:t xml:space="preserve">1308.09j1 Organizational.5.a</x:t>
        </x:is>
      </x:c>
      <x:c r="O21" s="5" t="n">
        <x:v>1</x:v>
      </x:c>
      <x:c r="P21" s="5" t="n"/>
      <x:c r="Q21" s="5" t="inlineStr">
        <x:is>
          <x:t xml:space="preserve">New Hire Security Awareness Training</x:t>
        </x:is>
      </x:c>
      <x:c r="R21" s="5" t="inlineStr">
        <x:is>
          <x:t xml:space="preserve">Sample</x:t>
        </x:is>
      </x:c>
      <x:c r="S21" s="5" t="n"/>
      <x:c r="T21" s="5" t="inlineStr">
        <x:is>
          <x:t xml:space="preserve">HITRUST e1.csv</x:t>
        </x:is>
      </x:c>
      <x:c r="U21" s="5" t="inlineStr">
        <x:is>
          <x:t xml:space="preserve">45 C.F.R. § 164.308(a)(5)</x:t>
        </x:is>
      </x:c>
      <x:c r="V21" s="5" t="inlineStr">
        <x:is>
          <x:t xml:space="preserve">Security Awareness and Training</x:t>
        </x:is>
      </x:c>
      <x:c r="W21" s="5" t="inlineStr">
        <x:is>
          <x:t xml:space="preserve">Implement a security awareness and training program for all members of the workforce, including management.</x:t>
        </x:is>
      </x:c>
      <x:c r="X21" s="5" t="inlineStr">
        <x:is>
          <x:t xml:space="preserve">Standard</x:t>
        </x:is>
      </x:c>
      <x:c r="Y21" s="5" t="inlineStr">
        <x:is>
          <x:t xml:space="preserve">Administrative Safeguards</x:t>
        </x:is>
      </x:c>
      <x:c r="Z21" s="28" t="inlineStr">
        <x:is>
          <x:t xml:space="preserve">https://www.ecfr.gov/current/title-45/subtitle-A/subchapter-C/part-164/section-164.308</x:t>
        </x:is>
      </x:c>
      <x:c r="AA21" s="28" t="inlineStr">
        <x:is>
          <x:t xml:space="preserve">https://www.hhs.gov/sites/default/files/ocr/privacy/hipaa/administrative/securityrule/adminsafeguards.pdf</x:t>
        </x:is>
      </x:c>
      <x:c r="AB21" s="5" t="n"/>
      <x:c r="AC21" s="5" t="n"/>
      <x:c r="AD21" s="5" t="n"/>
      <x:c r="AE21" s="5" t="n"/>
      <x:c r="AF21" s="5" t="n"/>
      <x:c r="AG21" s="5" t="n"/>
      <x:c r="AH21" s="5" t="n"/>
      <x:c r="AI21" s="5" t="n"/>
      <x:c r="AJ21" s="5" t="n"/>
      <x:c r="AK21" s="5" t="n"/>
      <x:c r="AL21" s="5" t="n"/>
      <x:c r="AM21" s="5" t="n"/>
      <x:c r="AN21" s="5" t="n"/>
      <x:c r="AO21" s="5" t="n"/>
      <x:c r="AP21" s="5" t="n"/>
      <x:c r="AQ21" s="5" t="n"/>
    </x:row>
    <x:row r="22" ht="30" customHeight="1">
      <x:c r="A22" s="5" t="inlineStr">
        <x:is>
          <x:t xml:space="preserve">REQ-12-HIPAA</x:t>
        </x:is>
      </x:c>
      <x:c r="B22" s="5" t="inlineStr">
        <x:is>
          <x:t xml:space="preserve">13998.02e1Organizational.2</x:t>
        </x:is>
      </x:c>
      <x:c r="C22" s="5" t="n">
        <x:v>1</x:v>
      </x:c>
      <x:c r="D22" s="5" t="inlineStr">
        <x:is>
          <x:t xml:space="preserve">New Hire Security Awareness Training</x:t>
        </x:is>
      </x:c>
      <x:c r="E22" s="5" t="inlineStr">
        <x:is>
          <x:t xml:space="preserve">Sample</x:t>
        </x:is>
      </x:c>
      <x:c r="F22" s="5" t="inlineStr">
        <x:is>
          <x:t xml:space="preserve">HITRUST e1.csv</x:t>
        </x:is>
      </x:c>
      <x:c r="G22" s="5" t="inlineStr">
        <x:is>
          <x:t xml:space="preserve">1:Many</x:t>
        </x:is>
      </x:c>
      <x:c r="H22" s="5" t="inlineStr">
        <x:is>
          <x:t xml:space="preserve">45 CFR § 164.308(a)(5)</x:t>
        </x:is>
      </x:c>
      <x:c r="I22" s="5" t="inlineStr">
        <x:is>
          <x:t xml:space="preserve">Security Awareness and Training</x:t>
        </x:is>
      </x:c>
      <x:c r="J22" s="5" t="inlineStr">
        <x:is>
          <x:t xml:space="preserve">Direct</x:t>
        </x:is>
      </x:c>
      <x:c r="K22" s="5" t="inlineStr">
        <x:is>
          <x:t xml:space="preserve">Action item and control context align to workforce security-awareness training for new hires.</x:t>
        </x:is>
      </x:c>
      <x:c r="L22" s="28" t="inlineStr">
        <x:is>
          <x:t xml:space="preserve">https://www.ecfr.gov/current/title-45/subtitle-A/subchapter-C/part-164/section-164.308 | https://www.hhs.gov/sites/default/files/ocr/privacy/hipaa/administrative/combined/hipaa-simplification-201303.pdf | https://www.hhs.gov/sites/default/files/ocr/privacy/hipaa/administrative/securityrule/adminsafeguards.pdf</x:t>
        </x:is>
      </x:c>
      <x:c r="M22" s="5" t="inlineStr">
        <x:is>
          <x:t xml:space="preserve">Mapped at the standard level because the spreadsheet does not break new-hire training into the more granular addressable sub-specifications.</x:t>
        </x:is>
      </x:c>
      <x:c r="N22" s="5" t="inlineStr">
        <x:is>
          <x:t xml:space="preserve">13998.02e1 Organizational.2</x:t>
        </x:is>
      </x:c>
      <x:c r="O22" s="5" t="n">
        <x:v>1</x:v>
      </x:c>
      <x:c r="P22" s="5" t="n"/>
      <x:c r="Q22" s="5" t="inlineStr">
        <x:is>
          <x:t xml:space="preserve">New Hire Security Awareness Training</x:t>
        </x:is>
      </x:c>
      <x:c r="R22" s="5" t="inlineStr">
        <x:is>
          <x:t xml:space="preserve">Sample</x:t>
        </x:is>
      </x:c>
      <x:c r="S22" s="5" t="n"/>
      <x:c r="T22" s="5" t="inlineStr">
        <x:is>
          <x:t xml:space="preserve">HITRUST e1.csv</x:t>
        </x:is>
      </x:c>
      <x:c r="U22" s="5" t="inlineStr">
        <x:is>
          <x:t xml:space="preserve">45 C.F.R. § 164.308(a)(5)</x:t>
        </x:is>
      </x:c>
      <x:c r="V22" s="5" t="inlineStr">
        <x:is>
          <x:t xml:space="preserve">Security Awareness and Training</x:t>
        </x:is>
      </x:c>
      <x:c r="W22" s="5" t="inlineStr">
        <x:is>
          <x:t xml:space="preserve">Implement a security awareness and training program for all members of the workforce, including management.</x:t>
        </x:is>
      </x:c>
      <x:c r="X22" s="5" t="inlineStr">
        <x:is>
          <x:t xml:space="preserve">Standard</x:t>
        </x:is>
      </x:c>
      <x:c r="Y22" s="5" t="inlineStr">
        <x:is>
          <x:t xml:space="preserve">Administrative Safeguards</x:t>
        </x:is>
      </x:c>
      <x:c r="Z22" s="28" t="inlineStr">
        <x:is>
          <x:t xml:space="preserve">https://www.ecfr.gov/current/title-45/subtitle-A/subchapter-C/part-164/section-164.308</x:t>
        </x:is>
      </x:c>
      <x:c r="AA22" s="28" t="inlineStr">
        <x:is>
          <x:t xml:space="preserve">https://www.hhs.gov/sites/default/files/ocr/privacy/hipaa/administrative/securityrule/adminsafeguards.pdf</x:t>
        </x:is>
      </x:c>
      <x:c r="AB22" s="5" t="n"/>
      <x:c r="AC22" s="5" t="n"/>
      <x:c r="AD22" s="5" t="n"/>
      <x:c r="AE22" s="5" t="n"/>
      <x:c r="AF22" s="5" t="n"/>
      <x:c r="AG22" s="5" t="n"/>
      <x:c r="AH22" s="5" t="n"/>
      <x:c r="AI22" s="5" t="n"/>
      <x:c r="AJ22" s="5" t="n"/>
      <x:c r="AK22" s="5" t="n"/>
      <x:c r="AL22" s="5" t="n"/>
      <x:c r="AM22" s="5" t="n"/>
      <x:c r="AN22" s="5" t="n"/>
      <x:c r="AO22" s="5" t="n"/>
      <x:c r="AP22" s="5" t="n"/>
      <x:c r="AQ22" s="5" t="n"/>
    </x:row>
    <x:row r="23" ht="30" customHeight="1">
      <x:c r="A23" s="5" t="inlineStr">
        <x:is>
          <x:t xml:space="preserve">REQ-17-HIPAA</x:t>
        </x:is>
      </x:c>
      <x:c r="B23" s="5" t="inlineStr">
        <x:is>
          <x:t xml:space="preserve">1701.03a1Organizational.12345678</x:t>
        </x:is>
      </x:c>
      <x:c r="C23" s="5" t="n">
        <x:v>1</x:v>
      </x:c>
      <x:c r="D23" s="5" t="inlineStr">
        <x:is>
          <x:t xml:space="preserve">Risk Management</x:t>
        </x:is>
      </x:c>
      <x:c r="E23" s="5" t="inlineStr">
        <x:is>
          <x:t xml:space="preserve">Policy</x:t>
        </x:is>
      </x:c>
      <x:c r="F23" s="5" t="inlineStr">
        <x:is>
          <x:t xml:space="preserve">HITRUST e1.csv</x:t>
        </x:is>
      </x:c>
      <x:c r="G23" s="5" t="inlineStr">
        <x:is>
          <x:t xml:space="preserve">Many:Many</x:t>
        </x:is>
      </x:c>
      <x:c r="H23" s="5" t="inlineStr">
        <x:is>
          <x:t xml:space="preserve">45 CFR § 164.308(a)(1)(ii)(A)</x:t>
        </x:is>
      </x:c>
      <x:c r="I23" s="5" t="inlineStr">
        <x:is>
          <x:t xml:space="preserve">Security Management Process — Risk Analysis</x:t>
        </x:is>
      </x:c>
      <x:c r="J23" s="5" t="inlineStr">
        <x:is>
          <x:t xml:space="preserve">Direct</x:t>
        </x:is>
      </x:c>
      <x:c r="K23" s="5" t="inlineStr">
        <x:is>
          <x:t xml:space="preserve">Control context aligns to identifying risks and vulnerabilities to ePHI.</x:t>
        </x:is>
      </x:c>
      <x:c r="L23"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23" s="5" t="inlineStr">
        <x:is>
          <x:t xml:space="preserve">Risk analysis is the most direct HIPAA citation for assessment-oriented rows.</x:t>
        </x:is>
      </x:c>
      <x:c r="N23" s="5" t="inlineStr">
        <x:is>
          <x:t xml:space="preserve">1701.03a1 Organizational.12345678</x:t>
        </x:is>
      </x:c>
      <x:c r="O23" s="5" t="n">
        <x:v>1</x:v>
      </x:c>
      <x:c r="P23" s="5" t="n"/>
      <x:c r="Q23" s="5" t="inlineStr">
        <x:is>
          <x:t xml:space="preserve">Risk Management</x:t>
        </x:is>
      </x:c>
      <x:c r="R23" s="5" t="inlineStr">
        <x:is>
          <x:t xml:space="preserve">Policy</x:t>
        </x:is>
      </x:c>
      <x:c r="S23" s="5" t="n"/>
      <x:c r="T23" s="5" t="inlineStr">
        <x:is>
          <x:t xml:space="preserve">HITRUST e1.csv</x:t>
        </x:is>
      </x:c>
      <x:c r="U23" s="5" t="inlineStr">
        <x:is>
          <x:t xml:space="preserve">45 C.F.R. § 164.308(a)(1)(ii)(A)</x:t>
        </x:is>
      </x:c>
      <x:c r="V23" s="5" t="inlineStr">
        <x:is>
          <x:t xml:space="preserve">Security Management Process — Risk Analysis</x:t>
        </x:is>
      </x:c>
      <x:c r="W23" s="5" t="inlineStr">
        <x:is>
          <x:t xml:space="preserve">Conduct an accurate and thorough assessment of the potential risks and vulnerabilities to the confidentiality, integrity, and availability of ePHI.</x:t>
        </x:is>
      </x:c>
      <x:c r="X23" s="5" t="inlineStr">
        <x:is>
          <x:t xml:space="preserve">Required implementation specification</x:t>
        </x:is>
      </x:c>
      <x:c r="Y23" s="5" t="inlineStr">
        <x:is>
          <x:t xml:space="preserve">Administrative Safeguards</x:t>
        </x:is>
      </x:c>
      <x:c r="Z23" s="28" t="inlineStr">
        <x:is>
          <x:t xml:space="preserve">https://www.ecfr.gov/current/title-45/subtitle-A/subchapter-C/part-164/section-164.308</x:t>
        </x:is>
      </x:c>
      <x:c r="AA23" s="28" t="inlineStr">
        <x:is>
          <x:t xml:space="preserve">https://www.hhs.gov/hipaa/for-professionals/security/guidance/guidance-risk-analysis/index.html</x:t>
        </x:is>
      </x:c>
      <x:c r="AB23" s="5" t="n"/>
      <x:c r="AC23" s="5" t="n"/>
      <x:c r="AD23" s="5" t="n"/>
      <x:c r="AE23" s="5" t="n"/>
      <x:c r="AF23" s="5" t="n"/>
      <x:c r="AG23" s="5" t="n"/>
      <x:c r="AH23" s="5" t="n"/>
      <x:c r="AI23" s="5" t="n"/>
      <x:c r="AJ23" s="5" t="n"/>
      <x:c r="AK23" s="5" t="n"/>
      <x:c r="AL23" s="5" t="n"/>
      <x:c r="AM23" s="5" t="n"/>
      <x:c r="AN23" s="5" t="n"/>
      <x:c r="AO23" s="5" t="n"/>
      <x:c r="AP23" s="5" t="n"/>
      <x:c r="AQ23" s="5" t="n"/>
    </x:row>
    <x:row r="24" ht="30" customHeight="1">
      <x:c r="A24" s="5" t="inlineStr">
        <x:is>
          <x:t xml:space="preserve">REQ-20-HIPAA</x:t>
        </x:is>
      </x:c>
      <x:c r="B24" s="5" t="inlineStr">
        <x:is>
          <x:t xml:space="preserve">1701.03a1Organizational.12345678</x:t>
        </x:is>
      </x:c>
      <x:c r="C24" s="5" t="n">
        <x:v>1</x:v>
      </x:c>
      <x:c r="D24" s="5" t="inlineStr">
        <x:is>
          <x:t xml:space="preserve">Risk Management</x:t>
        </x:is>
      </x:c>
      <x:c r="E24" s="5" t="inlineStr">
        <x:is>
          <x:t xml:space="preserve">Policy</x:t>
        </x:is>
      </x:c>
      <x:c r="F24" s="5" t="inlineStr">
        <x:is>
          <x:t xml:space="preserve">HITRUST e1.csv</x:t>
        </x:is>
      </x:c>
      <x:c r="G24" s="5" t="inlineStr">
        <x:is>
          <x:t xml:space="preserve">Many:Many</x:t>
        </x:is>
      </x:c>
      <x:c r="H24" s="5" t="inlineStr">
        <x:is>
          <x:t xml:space="preserve">45 CFR § 164.308(a)(1)(ii)(B)</x:t>
        </x:is>
      </x:c>
      <x:c r="I24" s="5" t="inlineStr">
        <x:is>
          <x:t xml:space="preserve">Security Management Process — Risk Management</x:t>
        </x:is>
      </x:c>
      <x:c r="J24" s="5" t="inlineStr">
        <x:is>
          <x:t xml:space="preserve">Direct</x:t>
        </x:is>
      </x:c>
      <x:c r="K24" s="5" t="inlineStr">
        <x:is>
          <x:t xml:space="preserve">Control context aligns to reducing identified risks and vulnerabilities to a reasonable and appropriate level.</x:t>
        </x:is>
      </x:c>
      <x:c r="L24" s="28" t="inlineStr">
        <x:is>
          <x:t xml:space="preserve">https://www.ecfr.gov/current/title-45/subtitle-A/subchapter-C/part-164/section-164.308 | https://www.hhs.gov/sites/default/files/ocr/privacy/hipaa/administrative/combined/hipaa-simplification-201303.pdf | https://www.hhs.gov/hipaa/for-professionals/security/guidance/guidance-risk-analysis/index.html</x:t>
        </x:is>
      </x:c>
      <x:c r="M24" s="5" t="inlineStr">
        <x:is>
          <x:t xml:space="preserve">Used for policy and operational rows focused on treatment/mitigation of identified risks.</x:t>
        </x:is>
      </x:c>
      <x:c r="N24" s="5" t="inlineStr">
        <x:is>
          <x:t xml:space="preserve">1701.03a1 Organizational.12345678</x:t>
        </x:is>
      </x:c>
      <x:c r="O24" s="5" t="n">
        <x:v>1</x:v>
      </x:c>
      <x:c r="P24" s="5" t="n"/>
      <x:c r="Q24" s="5" t="inlineStr">
        <x:is>
          <x:t xml:space="preserve">Risk Management</x:t>
        </x:is>
      </x:c>
      <x:c r="R24" s="5" t="inlineStr">
        <x:is>
          <x:t xml:space="preserve">Policy</x:t>
        </x:is>
      </x:c>
      <x:c r="S24" s="5" t="n"/>
      <x:c r="T24" s="5" t="inlineStr">
        <x:is>
          <x:t xml:space="preserve">HITRUST e1.csv</x:t>
        </x:is>
      </x:c>
      <x:c r="U24" s="5" t="inlineStr">
        <x:is>
          <x:t xml:space="preserve">45 C.F.R. § 164.308(a)(1)(ii)(B)</x:t>
        </x:is>
      </x:c>
      <x:c r="V24" s="5" t="inlineStr">
        <x:is>
          <x:t xml:space="preserve">Security Management Process — Risk Management</x:t>
        </x:is>
      </x:c>
      <x:c r="W24" s="5" t="inlineStr">
        <x:is>
          <x:t xml:space="preserve">Implement security measures sufficient to reduce identified risks and vulnerabilities to a reasonable and appropriate level.</x:t>
        </x:is>
      </x:c>
      <x:c r="X24" s="5" t="inlineStr">
        <x:is>
          <x:t xml:space="preserve">Required implementation specification</x:t>
        </x:is>
      </x:c>
      <x:c r="Y24" s="5" t="inlineStr">
        <x:is>
          <x:t xml:space="preserve">Administrative Safeguards</x:t>
        </x:is>
      </x:c>
      <x:c r="Z24" s="28" t="inlineStr">
        <x:is>
          <x:t xml:space="preserve">https://www.ecfr.gov/current/title-45/subtitle-A/subchapter-C/part-164/section-164.308</x:t>
        </x:is>
      </x:c>
      <x:c r="AA24" s="28" t="inlineStr">
        <x:is>
          <x:t xml:space="preserve">https://www.hhs.gov/hipaa/for-professionals/security/guidance/guidance-risk-analysis/index.html</x:t>
        </x:is>
      </x:c>
      <x:c r="AB24" s="5" t="n"/>
      <x:c r="AC24" s="5" t="n"/>
      <x:c r="AD24" s="5" t="n"/>
      <x:c r="AE24" s="5" t="n"/>
      <x:c r="AF24" s="5" t="n"/>
      <x:c r="AG24" s="5" t="n"/>
      <x:c r="AH24" s="5" t="n"/>
      <x:c r="AI24" s="5" t="n"/>
      <x:c r="AJ24" s="5" t="n"/>
      <x:c r="AK24" s="5" t="n"/>
      <x:c r="AL24" s="5" t="n"/>
      <x:c r="AM24" s="5" t="n"/>
      <x:c r="AN24" s="5" t="n"/>
      <x:c r="AO24" s="5" t="n"/>
      <x:c r="AP24" s="5" t="n"/>
      <x:c r="AQ24" s="5" t="n"/>
    </x:row>
    <x:row r="25" ht="30" customHeight="1">
      <x:c r="A25" s="5" t="inlineStr">
        <x:is>
          <x:t xml:space="preserve">REQ-24-HIPAA</x:t>
        </x:is>
      </x:c>
      <x:c r="B25" s="5" t="inlineStr">
        <x:is>
          <x:t xml:space="preserve">11.01e1System.2</x:t>
        </x:is>
      </x:c>
      <x:c r="C25" s="5" t="n">
        <x:v>1</x:v>
      </x:c>
      <x:c r="D25" s="5" t="inlineStr">
        <x:is>
          <x:t xml:space="preserve">Access Control</x:t>
        </x:is>
      </x:c>
      <x:c r="E25" s="5" t="inlineStr">
        <x:is>
          <x:t xml:space="preserve">Policy</x:t>
        </x:is>
      </x:c>
      <x:c r="F25" s="5" t="inlineStr">
        <x:is>
          <x:t xml:space="preserve">HITRUST e1.csv</x:t>
        </x:is>
      </x:c>
      <x:c r="G25" s="5" t="inlineStr">
        <x:is>
          <x:t xml:space="preserve">Many:1</x:t>
        </x:is>
      </x:c>
      <x:c r="H25" s="5" t="inlineStr">
        <x:is>
          <x:t xml:space="preserve">45 CFR § 164.312(a)(1) | 45 CFR § 164.308(a)(4)(i)</x:t>
        </x:is>
      </x:c>
      <x:c r="I25" s="5" t="inlineStr">
        <x:is>
          <x:t xml:space="preserve">Access Control | Information Access Management</x:t>
        </x:is>
      </x:c>
      <x:c r="J25" s="5" t="inlineStr">
        <x:is>
          <x:t xml:space="preserve">Composite</x:t>
        </x:is>
      </x:c>
      <x:c r="K25" s="5" t="inlineStr">
        <x:is>
          <x:t xml:space="preserve">Broad access-control policy control spans both the technical access-control standard and the administrative information-access-management standard.</x:t>
        </x:is>
      </x:c>
      <x:c r="L25" s="28"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https://www.hhs.gov/sites/default/files/ocr/privacy/hipaa/administrative/combined/hipaa-simplification-201303.pdf</x:t>
        </x:is>
      </x:c>
      <x:c r="M25" s="5" t="inlineStr">
        <x:is>
          <x:t xml:space="preserve">Used when the spreadsheet row is a general access-control policy without a narrower authorization/review/termination artifact.</x:t>
        </x:is>
      </x:c>
      <x:c r="N25" s="5" t="inlineStr">
        <x:is>
          <x:t xml:space="preserve">11.01e1 System.2</x:t>
        </x:is>
      </x:c>
      <x:c r="O25" s="5" t="n">
        <x:v>2</x:v>
      </x:c>
      <x:c r="P25" s="5" t="inlineStr">
        <x:is>
          <x:t xml:space="preserve">45 CFR § 164.308(a)(4)(i) -&gt; 45 C.F.R. § 164.308(a)(4): Standard-level citation used in enhanced sheets because the underlying Thoropass control is general information-access management, not a health-care-clearinghouse-only function.</x:t>
        </x:is>
      </x:c>
      <x:c r="Q25" s="5" t="inlineStr">
        <x:is>
          <x:t xml:space="preserve">Access Control</x:t>
        </x:is>
      </x:c>
      <x:c r="R25" s="5" t="inlineStr">
        <x:is>
          <x:t xml:space="preserve">Policy</x:t>
        </x:is>
      </x:c>
      <x:c r="S25" s="5" t="n"/>
      <x:c r="T25" s="5" t="inlineStr">
        <x:is>
          <x:t xml:space="preserve">HITRUST e1.csv</x:t>
        </x:is>
      </x:c>
      <x:c r="U25" s="5" t="inlineStr">
        <x:is>
          <x:t xml:space="preserve">45 C.F.R. § 164.312(a)(1)</x:t>
        </x:is>
      </x:c>
      <x:c r="V25" s="5" t="inlineStr">
        <x:is>
          <x:t xml:space="preserve">Access Control</x:t>
        </x:is>
      </x:c>
      <x:c r="W25" s="5" t="inlineStr">
        <x:is>
          <x:t xml:space="preserve">Implement technical policies and procedures for electronic information systems that maintain ePHI to allow access only to persons or software programs with authorized access rights.</x:t>
        </x:is>
      </x:c>
      <x:c r="X25" s="5" t="inlineStr">
        <x:is>
          <x:t xml:space="preserve">Standard</x:t>
        </x:is>
      </x:c>
      <x:c r="Y25" s="5" t="inlineStr">
        <x:is>
          <x:t xml:space="preserve">Technical Safeguards</x:t>
        </x:is>
      </x:c>
      <x:c r="Z25" s="28" t="inlineStr">
        <x:is>
          <x:t xml:space="preserve">https://www.ecfr.gov/current/title-45/subtitle-A/subchapter-C/part-164/section-164.312</x:t>
        </x:is>
      </x:c>
      <x:c r="AA25" s="28" t="inlineStr">
        <x:is>
          <x:t xml:space="preserve">https://www.hhs.gov/hipaa/for-professionals/compliance-enforcement/audit/protocol-edited/index.html</x:t>
        </x:is>
      </x:c>
      <x:c r="AB25" s="5" t="inlineStr">
        <x:is>
          <x:t xml:space="preserve">45 C.F.R. § 164.308(a)(4)</x:t>
        </x:is>
      </x:c>
      <x:c r="AC25" s="5" t="inlineStr">
        <x:is>
          <x:t xml:space="preserve">Information Access Management</x:t>
        </x:is>
      </x:c>
      <x:c r="AD25" s="5" t="inlineStr">
        <x:is>
          <x:t xml:space="preserve">Implement policies and procedures for authorizing access to ePHI that are consistent with the applicable requirements of the HIPAA Privacy Rule.</x:t>
        </x:is>
      </x:c>
      <x:c r="AE25" s="5" t="inlineStr">
        <x:is>
          <x:t xml:space="preserve">Standard</x:t>
        </x:is>
      </x:c>
      <x:c r="AF25" s="5" t="inlineStr">
        <x:is>
          <x:t xml:space="preserve">Administrative Safeguards</x:t>
        </x:is>
      </x:c>
      <x:c r="AG25" s="28" t="inlineStr">
        <x:is>
          <x:t xml:space="preserve">https://www.ecfr.gov/current/title-45/subtitle-A/subchapter-C/part-164/section-164.308</x:t>
        </x:is>
      </x:c>
      <x:c r="AH25" s="28" t="inlineStr">
        <x:is>
          <x:t xml:space="preserve">https://www.hhs.gov/hipaa/for-professionals/compliance-enforcement/audit/protocol-edited/index.html</x:t>
        </x:is>
      </x:c>
      <x:c r="AI25" s="5" t="n"/>
      <x:c r="AJ25" s="5" t="n"/>
      <x:c r="AK25" s="5" t="n"/>
      <x:c r="AL25" s="5" t="n"/>
      <x:c r="AM25" s="5" t="n"/>
      <x:c r="AN25" s="5" t="n"/>
      <x:c r="AO25" s="5" t="n"/>
      <x:c r="AP25" s="5" t="n"/>
      <x:c r="AQ25" s="5" t="n"/>
    </x:row>
    <x:row r="26" ht="30" customHeight="1">
      <x:c r="A26" s="5" t="inlineStr">
        <x:is>
          <x:t xml:space="preserve">REQ-26-HIPAA</x:t>
        </x:is>
      </x:c>
      <x:c r="B26" s="5" t="inlineStr">
        <x:is>
          <x:t xml:space="preserve">11.01p1System.5</x:t>
        </x:is>
      </x:c>
      <x:c r="C26" s="5" t="n">
        <x:v>1</x:v>
      </x:c>
      <x:c r="D26" s="5" t="inlineStr">
        <x:is>
          <x:t xml:space="preserve">Password and Multi-Factor Authentication</x:t>
        </x:is>
      </x:c>
      <x:c r="E26" s="5" t="inlineStr">
        <x:is>
          <x:t xml:space="preserve">Policy</x:t>
        </x:is>
      </x:c>
      <x:c r="F26" s="5" t="inlineStr">
        <x:is>
          <x:t xml:space="preserve">HITRUST e1.csv</x:t>
        </x:is>
      </x:c>
      <x:c r="G26" s="5" t="inlineStr">
        <x:is>
          <x:t xml:space="preserve">1:Many</x:t>
        </x:is>
      </x:c>
      <x:c r="H26" s="5" t="inlineStr">
        <x:is>
          <x:t xml:space="preserve">45 CFR § 164.308(a)(5)(ii)(D) | 45 CFR § 164.312(d)</x:t>
        </x:is>
      </x:c>
      <x:c r="I26" s="5" t="inlineStr">
        <x:is>
          <x:t xml:space="preserve">Security Awareness and Training — Password Management | Person or Entity Authentication</x:t>
        </x:is>
      </x:c>
      <x:c r="J26" s="5" t="inlineStr">
        <x:is>
          <x:t xml:space="preserve">Composite</x:t>
        </x:is>
      </x:c>
      <x:c r="K26" s="5" t="inlineStr">
        <x:is>
          <x:t xml:space="preserve">Action item explicitly combines password controls with MFA, so both password management and authentication verification are cited.</x:t>
        </x:is>
      </x:c>
      <x:c r="L26" s="28" t="inlineStr">
        <x:is>
          <x:t xml:space="preserve">https://www.ecfr.gov/current/title-45/subtitle-A/subchapter-C/part-164/section-164.308 | https://www.ecfr.gov/current/title-45/subtitle-A/subchapter-C/part-164/section-164.312 | https://www.hhs.gov/sites/default/files/ocr/privacy/hipaa/administrative/securityrule/adminsafeguards.pdf | https://www.hhs.gov/hipaa/for-professionals/compliance-enforcement/audit/protocol/index.html</x:t>
        </x:is>
      </x:c>
      <x:c r="M26" s="5" t="inlineStr">
        <x:is>
          <x:t xml:space="preserve">Covers password creation/change/safeguarding and MFA-style authentication evidence.</x:t>
        </x:is>
      </x:c>
      <x:c r="N26" s="5" t="inlineStr">
        <x:is>
          <x:t xml:space="preserve">11.01p1 System.5</x:t>
        </x:is>
      </x:c>
      <x:c r="O26" s="5" t="n">
        <x:v>2</x:v>
      </x:c>
      <x:c r="P26" s="5" t="n"/>
      <x:c r="Q26" s="5" t="inlineStr">
        <x:is>
          <x:t xml:space="preserve">Password and Multi-Factor Authentication</x:t>
        </x:is>
      </x:c>
      <x:c r="R26" s="5" t="inlineStr">
        <x:is>
          <x:t xml:space="preserve">Policy</x:t>
        </x:is>
      </x:c>
      <x:c r="S26" s="5" t="n"/>
      <x:c r="T26" s="5" t="inlineStr">
        <x:is>
          <x:t xml:space="preserve">HITRUST e1.csv</x:t>
        </x:is>
      </x:c>
      <x:c r="U26" s="5" t="inlineStr">
        <x:is>
          <x:t xml:space="preserve">45 C.F.R. § 164.308(a)(5)(ii)(D)</x:t>
        </x:is>
      </x:c>
      <x:c r="V26" s="5" t="inlineStr">
        <x:is>
          <x:t xml:space="preserve">Security Awareness and Training — Password Management</x:t>
        </x:is>
      </x:c>
      <x:c r="W26" s="5" t="inlineStr">
        <x:is>
          <x:t xml:space="preserve">Implement procedures for creating, changing, and safeguarding passwords.</x:t>
        </x:is>
      </x:c>
      <x:c r="X26" s="5" t="inlineStr">
        <x:is>
          <x:t xml:space="preserve">Addressable implementation specification</x:t>
        </x:is>
      </x:c>
      <x:c r="Y26" s="5" t="inlineStr">
        <x:is>
          <x:t xml:space="preserve">Administrative Safeguards</x:t>
        </x:is>
      </x:c>
      <x:c r="Z26" s="28" t="inlineStr">
        <x:is>
          <x:t xml:space="preserve">https://www.ecfr.gov/current/title-45/subtitle-A/subchapter-C/part-164/section-164.308</x:t>
        </x:is>
      </x:c>
      <x:c r="AA26" s="28" t="inlineStr">
        <x:is>
          <x:t xml:space="preserve">https://www.hhs.gov/sites/default/files/ocr/privacy/hipaa/administrative/securityrule/adminsafeguards.pdf</x:t>
        </x:is>
      </x:c>
      <x:c r="AB26" s="5" t="inlineStr">
        <x:is>
          <x:t xml:space="preserve">45 C.F.R. § 164.312(d)</x:t>
        </x:is>
      </x:c>
      <x:c r="AC26" s="5" t="inlineStr">
        <x:is>
          <x:t xml:space="preserve">Person or Entity Authentication</x:t>
        </x:is>
      </x:c>
      <x:c r="AD26" s="5" t="inlineStr">
        <x:is>
          <x:t xml:space="preserve">Implement procedures to verify that a person or entity seeking access to ePHI is the one claimed.</x:t>
        </x:is>
      </x:c>
      <x:c r="AE26" s="5" t="inlineStr">
        <x:is>
          <x:t xml:space="preserve">Required standard</x:t>
        </x:is>
      </x:c>
      <x:c r="AF26" s="5" t="inlineStr">
        <x:is>
          <x:t xml:space="preserve">Technical Safeguards</x:t>
        </x:is>
      </x:c>
      <x:c r="AG26" s="28" t="inlineStr">
        <x:is>
          <x:t xml:space="preserve">https://www.ecfr.gov/current/title-45/subtitle-A/subchapter-C/part-164/section-164.312</x:t>
        </x:is>
      </x:c>
      <x:c r="AH26" s="28" t="inlineStr">
        <x:is>
          <x:t xml:space="preserve">https://www.hhs.gov/hipaa/for-professionals/compliance-enforcement/audit/protocol-edited/index.html</x:t>
        </x:is>
      </x:c>
      <x:c r="AI26" s="5" t="n"/>
      <x:c r="AJ26" s="5" t="n"/>
      <x:c r="AK26" s="5" t="n"/>
      <x:c r="AL26" s="5" t="n"/>
      <x:c r="AM26" s="5" t="n"/>
      <x:c r="AN26" s="5" t="n"/>
      <x:c r="AO26" s="5" t="n"/>
      <x:c r="AP26" s="5" t="n"/>
      <x:c r="AQ26" s="5" t="n"/>
    </x:row>
    <x:row r="27" ht="30" customHeight="1">
      <x:c r="A27" s="5" t="inlineStr">
        <x:is>
          <x:t xml:space="preserve">REQ-27-HIPAA</x:t>
        </x:is>
      </x:c>
      <x:c r="B27" s="5" t="inlineStr">
        <x:is>
          <x:t xml:space="preserve">11.01q1System.3</x:t>
        </x:is>
      </x:c>
      <x:c r="C27" s="5" t="n">
        <x:v>1</x:v>
      </x:c>
      <x:c r="D27" s="5" t="inlineStr">
        <x:is>
          <x:t xml:space="preserve">Evidence of Multi-Factor Authentication</x:t>
        </x:is>
      </x:c>
      <x:c r="E27" s="5" t="inlineStr">
        <x:is>
          <x:t xml:space="preserve">Configuration</x:t>
        </x:is>
      </x:c>
      <x:c r="F27" s="5" t="inlineStr">
        <x:is>
          <x:t xml:space="preserve">HITRUST e1.csv</x:t>
        </x:is>
      </x:c>
      <x:c r="G27" s="5" t="inlineStr">
        <x:is>
          <x:t xml:space="preserve">1:Many</x:t>
        </x:is>
      </x:c>
      <x:c r="H27" s="5" t="inlineStr">
        <x:is>
          <x:t xml:space="preserve">45 CFR § 164.312(d)</x:t>
        </x:is>
      </x:c>
      <x:c r="I27" s="5" t="inlineStr">
        <x:is>
          <x:t xml:space="preserve">Person or Entity Authentication</x:t>
        </x:is>
      </x:c>
      <x:c r="J27" s="5" t="inlineStr">
        <x:is>
          <x:t xml:space="preserve">Direct</x:t>
        </x:is>
      </x:c>
      <x:c r="K27" s="5" t="inlineStr">
        <x:is>
          <x:t xml:space="preserve">MFA evidence most directly supports verifying that the person or entity seeking access is the one claimed.</x:t>
        </x:is>
      </x:c>
      <x:c r="L27" s="28"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M27" s="5" t="inlineStr">
        <x:is>
          <x:t xml:space="preserve">HIPAA does not mandate a specific technology such as MFA in all cases, but MFA evidence is a strong implementation of this standard.</x:t>
        </x:is>
      </x:c>
      <x:c r="N27" s="5" t="inlineStr">
        <x:is>
          <x:t xml:space="preserve">11.01q1 System.3</x:t>
        </x:is>
      </x:c>
      <x:c r="O27" s="5" t="n">
        <x:v>1</x:v>
      </x:c>
      <x:c r="P27" s="5" t="n"/>
      <x:c r="Q27" s="5" t="inlineStr">
        <x:is>
          <x:t xml:space="preserve">Evidence of Multi-Factor Authentication</x:t>
        </x:is>
      </x:c>
      <x:c r="R27" s="5" t="inlineStr">
        <x:is>
          <x:t xml:space="preserve">Configuration</x:t>
        </x:is>
      </x:c>
      <x:c r="S27" s="5" t="n"/>
      <x:c r="T27" s="5" t="inlineStr">
        <x:is>
          <x:t xml:space="preserve">HITRUST e1.csv</x:t>
        </x:is>
      </x:c>
      <x:c r="U27" s="5" t="inlineStr">
        <x:is>
          <x:t xml:space="preserve">45 C.F.R. § 164.312(d)</x:t>
        </x:is>
      </x:c>
      <x:c r="V27" s="5" t="inlineStr">
        <x:is>
          <x:t xml:space="preserve">Person or Entity Authentication</x:t>
        </x:is>
      </x:c>
      <x:c r="W27" s="5" t="inlineStr">
        <x:is>
          <x:t xml:space="preserve">Implement procedures to verify that a person or entity seeking access to ePHI is the one claimed.</x:t>
        </x:is>
      </x:c>
      <x:c r="X27" s="5" t="inlineStr">
        <x:is>
          <x:t xml:space="preserve">Required standard</x:t>
        </x:is>
      </x:c>
      <x:c r="Y27" s="5" t="inlineStr">
        <x:is>
          <x:t xml:space="preserve">Technical Safeguards</x:t>
        </x:is>
      </x:c>
      <x:c r="Z27" s="28" t="inlineStr">
        <x:is>
          <x:t xml:space="preserve">https://www.ecfr.gov/current/title-45/subtitle-A/subchapter-C/part-164/section-164.312</x:t>
        </x:is>
      </x:c>
      <x:c r="AA27" s="28" t="inlineStr">
        <x:is>
          <x:t xml:space="preserve">https://www.hhs.gov/hipaa/for-professionals/compliance-enforcement/audit/protocol-edited/index.html</x:t>
        </x:is>
      </x:c>
      <x:c r="AB27" s="5" t="n"/>
      <x:c r="AC27" s="5" t="n"/>
      <x:c r="AD27" s="5" t="n"/>
      <x:c r="AE27" s="5" t="n"/>
      <x:c r="AF27" s="5" t="n"/>
      <x:c r="AG27" s="5" t="n"/>
      <x:c r="AH27" s="5" t="n"/>
      <x:c r="AI27" s="5" t="n"/>
      <x:c r="AJ27" s="5" t="n"/>
      <x:c r="AK27" s="5" t="n"/>
      <x:c r="AL27" s="5" t="n"/>
      <x:c r="AM27" s="5" t="n"/>
      <x:c r="AN27" s="5" t="n"/>
      <x:c r="AO27" s="5" t="n"/>
      <x:c r="AP27" s="5" t="n"/>
      <x:c r="AQ27" s="5" t="n"/>
    </x:row>
    <x:row r="28" ht="30" customHeight="1">
      <x:c r="A28" s="5" t="inlineStr">
        <x:is>
          <x:t xml:space="preserve">REQ-27-HIPAA</x:t>
        </x:is>
      </x:c>
      <x:c r="B28" s="5" t="inlineStr">
        <x:is>
          <x:t xml:space="preserve">11.01q1System.4</x:t>
        </x:is>
      </x:c>
      <x:c r="C28" s="5" t="n">
        <x:v>1</x:v>
      </x:c>
      <x:c r="D28" s="5" t="inlineStr">
        <x:is>
          <x:t xml:space="preserve">Evidence of Multi-Factor Authentication</x:t>
        </x:is>
      </x:c>
      <x:c r="E28" s="5" t="inlineStr">
        <x:is>
          <x:t xml:space="preserve">Configuration</x:t>
        </x:is>
      </x:c>
      <x:c r="F28" s="5" t="inlineStr">
        <x:is>
          <x:t xml:space="preserve">HITRUST e1.csv</x:t>
        </x:is>
      </x:c>
      <x:c r="G28" s="5" t="inlineStr">
        <x:is>
          <x:t xml:space="preserve">1:Many</x:t>
        </x:is>
      </x:c>
      <x:c r="H28" s="5" t="inlineStr">
        <x:is>
          <x:t xml:space="preserve">45 CFR § 164.312(d)</x:t>
        </x:is>
      </x:c>
      <x:c r="I28" s="5" t="inlineStr">
        <x:is>
          <x:t xml:space="preserve">Person or Entity Authentication</x:t>
        </x:is>
      </x:c>
      <x:c r="J28" s="5" t="inlineStr">
        <x:is>
          <x:t xml:space="preserve">Direct</x:t>
        </x:is>
      </x:c>
      <x:c r="K28" s="5" t="inlineStr">
        <x:is>
          <x:t xml:space="preserve">MFA evidence most directly supports verifying that the person or entity seeking access is the one claimed.</x:t>
        </x:is>
      </x:c>
      <x:c r="L28" s="28" t="inlineStr">
        <x:is>
          <x:t xml:space="preserve">https://www.ecfr.gov/current/title-45/subtitle-A/subchapter-C/part-164/section-164.312 | https://www.hhs.gov/hipaa/for-professionals/compliance-enforcement/audit/protocol/index.html | https://www.hhs.gov/hipaa/for-professionals/security/guidance/cybersecurity-newsletter-january-2026/index.html</x:t>
        </x:is>
      </x:c>
      <x:c r="M28" s="5" t="inlineStr">
        <x:is>
          <x:t xml:space="preserve">HIPAA does not mandate a specific technology such as MFA in all cases, but MFA evidence is a strong implementation of this standard.</x:t>
        </x:is>
      </x:c>
      <x:c r="N28" s="5" t="inlineStr">
        <x:is>
          <x:t xml:space="preserve">11.01q1 System.4</x:t>
        </x:is>
      </x:c>
      <x:c r="O28" s="5" t="n">
        <x:v>1</x:v>
      </x:c>
      <x:c r="P28" s="5" t="n"/>
      <x:c r="Q28" s="5" t="inlineStr">
        <x:is>
          <x:t xml:space="preserve">Evidence of Multi-Factor Authentication</x:t>
        </x:is>
      </x:c>
      <x:c r="R28" s="5" t="inlineStr">
        <x:is>
          <x:t xml:space="preserve">Configuration</x:t>
        </x:is>
      </x:c>
      <x:c r="S28" s="5" t="n"/>
      <x:c r="T28" s="5" t="inlineStr">
        <x:is>
          <x:t xml:space="preserve">HITRUST e1.csv</x:t>
        </x:is>
      </x:c>
      <x:c r="U28" s="5" t="inlineStr">
        <x:is>
          <x:t xml:space="preserve">45 C.F.R. § 164.312(d)</x:t>
        </x:is>
      </x:c>
      <x:c r="V28" s="5" t="inlineStr">
        <x:is>
          <x:t xml:space="preserve">Person or Entity Authentication</x:t>
        </x:is>
      </x:c>
      <x:c r="W28" s="5" t="inlineStr">
        <x:is>
          <x:t xml:space="preserve">Implement procedures to verify that a person or entity seeking access to ePHI is the one claimed.</x:t>
        </x:is>
      </x:c>
      <x:c r="X28" s="5" t="inlineStr">
        <x:is>
          <x:t xml:space="preserve">Required standard</x:t>
        </x:is>
      </x:c>
      <x:c r="Y28" s="5" t="inlineStr">
        <x:is>
          <x:t xml:space="preserve">Technical Safeguards</x:t>
        </x:is>
      </x:c>
      <x:c r="Z28" s="28" t="inlineStr">
        <x:is>
          <x:t xml:space="preserve">https://www.ecfr.gov/current/title-45/subtitle-A/subchapter-C/part-164/section-164.312</x:t>
        </x:is>
      </x:c>
      <x:c r="AA28" s="28" t="inlineStr">
        <x:is>
          <x:t xml:space="preserve">https://www.hhs.gov/hipaa/for-professionals/compliance-enforcement/audit/protocol-edited/index.html</x:t>
        </x:is>
      </x:c>
      <x:c r="AB28" s="5" t="n"/>
      <x:c r="AC28" s="5" t="n"/>
      <x:c r="AD28" s="5" t="n"/>
      <x:c r="AE28" s="5" t="n"/>
      <x:c r="AF28" s="5" t="n"/>
      <x:c r="AG28" s="5" t="n"/>
      <x:c r="AH28" s="5" t="n"/>
      <x:c r="AI28" s="5" t="n"/>
      <x:c r="AJ28" s="5" t="n"/>
      <x:c r="AK28" s="5" t="n"/>
      <x:c r="AL28" s="5" t="n"/>
      <x:c r="AM28" s="5" t="n"/>
      <x:c r="AN28" s="5" t="n"/>
      <x:c r="AO28" s="5" t="n"/>
      <x:c r="AP28" s="5" t="n"/>
      <x:c r="AQ28" s="5" t="n"/>
    </x:row>
    <x:row r="29" ht="30" customHeight="1">
      <x:c r="A29" s="5" t="inlineStr">
        <x:is>
          <x:t xml:space="preserve">REQ-28-HIPAA</x:t>
        </x:is>
      </x:c>
      <x:c r="B29" s="5" t="inlineStr">
        <x:is>
          <x:t xml:space="preserve">1123.01q1System.2</x:t>
        </x:is>
      </x:c>
      <x:c r="C29" s="5" t="n">
        <x:v>1</x:v>
      </x:c>
      <x:c r="D29" s="5" t="inlineStr">
        <x:is>
          <x:t xml:space="preserve">Password Vault and Shared Accounts</x:t>
        </x:is>
      </x:c>
      <x:c r="E29" s="5" t="inlineStr">
        <x:is>
          <x:t xml:space="preserve">Configuration</x:t>
        </x:is>
      </x:c>
      <x:c r="F29" s="5" t="inlineStr">
        <x:is>
          <x:t xml:space="preserve">HITRUST e1.csv</x:t>
        </x:is>
      </x:c>
      <x:c r="G29" s="5" t="inlineStr">
        <x:is>
          <x:t xml:space="preserve">Many:1</x:t>
        </x:is>
      </x:c>
      <x:c r="H29" s="5" t="inlineStr">
        <x:is>
          <x:t xml:space="preserve">45 CFR § 164.312(a)(2)(i) | 45 CFR § 164.308(a)(4)(ii)(C)</x:t>
        </x:is>
      </x:c>
      <x:c r="I29" s="5" t="inlineStr">
        <x:is>
          <x:t xml:space="preserve">Access Control — Unique User Identification | Information Access Management — Access Establishment and Modification</x:t>
        </x:is>
      </x:c>
      <x:c r="J29" s="5" t="inlineStr">
        <x:is>
          <x:t xml:space="preserve">Composite</x:t>
        </x:is>
      </x:c>
      <x:c r="K29" s="5" t="inlineStr">
        <x:is>
          <x:t xml:space="preserve">Password-vault/shared-account and privileged-access evidence supports unique attribution of user activity and management of privileged rights.</x:t>
        </x:is>
      </x:c>
      <x:c r="L29" s="28" t="inlineStr">
        <x:is>
          <x:t xml:space="preserve">https://www.ecfr.gov/current/title-45/subtitle-A/subchapter-C/part-164/section-164.312 | https://www.ecfr.gov/current/title-45/subtitle-A/subchapter-C/part-164/section-164.308 | https://www.hhs.gov/hipaa/for-professionals/compliance-enforcement/audit/protocol/index.html | https://www.hhs.gov/sites/default/files/ocr/privacy/hipaa/administrative/securityrule/adminsafeguards.pdf</x:t>
        </x:is>
      </x:c>
      <x:c r="M29" s="5" t="inlineStr">
        <x:is>
          <x:t xml:space="preserve">Shared or generic-account controls are best matched to unique user identification, with access-right administration as a secondary basis.</x:t>
        </x:is>
      </x:c>
      <x:c r="N29" s="5" t="inlineStr">
        <x:is>
          <x:t xml:space="preserve">1123.01q1 System.2</x:t>
        </x:is>
      </x:c>
      <x:c r="O29" s="5" t="n">
        <x:v>2</x:v>
      </x:c>
      <x:c r="P29" s="5" t="n"/>
      <x:c r="Q29" s="5" t="inlineStr">
        <x:is>
          <x:t xml:space="preserve">Password Vault and Shared Accounts</x:t>
        </x:is>
      </x:c>
      <x:c r="R29" s="5" t="inlineStr">
        <x:is>
          <x:t xml:space="preserve">Configuration</x:t>
        </x:is>
      </x:c>
      <x:c r="S29" s="5" t="n"/>
      <x:c r="T29" s="5" t="inlineStr">
        <x:is>
          <x:t xml:space="preserve">HITRUST e1.csv</x:t>
        </x:is>
      </x:c>
      <x:c r="U29" s="5" t="inlineStr">
        <x:is>
          <x:t xml:space="preserve">45 C.F.R. § 164.312(a)(2)(i)</x:t>
        </x:is>
      </x:c>
      <x:c r="V29" s="5" t="inlineStr">
        <x:is>
          <x:t xml:space="preserve">Access Control — Unique User Identification</x:t>
        </x:is>
      </x:c>
      <x:c r="W29" s="5" t="inlineStr">
        <x:is>
          <x:t xml:space="preserve">Assign a unique name and/or number for identifying and tracking user identity.</x:t>
        </x:is>
      </x:c>
      <x:c r="X29" s="5" t="inlineStr">
        <x:is>
          <x:t xml:space="preserve">Required implementation specification</x:t>
        </x:is>
      </x:c>
      <x:c r="Y29" s="5" t="inlineStr">
        <x:is>
          <x:t xml:space="preserve">Technical Safeguards</x:t>
        </x:is>
      </x:c>
      <x:c r="Z29" s="28" t="inlineStr">
        <x:is>
          <x:t xml:space="preserve">https://www.ecfr.gov/current/title-45/subtitle-A/subchapter-C/part-164/section-164.312</x:t>
        </x:is>
      </x:c>
      <x:c r="AA29" s="28" t="inlineStr">
        <x:is>
          <x:t xml:space="preserve">https://www.hhs.gov/hipaa/for-professionals/compliance-enforcement/audit/protocol-edited/index.html</x:t>
        </x:is>
      </x:c>
      <x:c r="AB29" s="5" t="inlineStr">
        <x:is>
          <x:t xml:space="preserve">45 C.F.R. § 164.308(a)(4)(ii)(C)</x:t>
        </x:is>
      </x:c>
      <x:c r="AC29" s="5" t="inlineStr">
        <x:is>
          <x:t xml:space="preserve">Information Access Management — Access Establishment and Modification</x:t>
        </x:is>
      </x:c>
      <x:c r="AD29" s="5" t="inlineStr">
        <x:is>
          <x:t xml:space="preserve">Implement policies and procedures to establish, document, review, and modify a user’s right of access to a workstation, transaction, program, or process.</x:t>
        </x:is>
      </x:c>
      <x:c r="AE29" s="5" t="inlineStr">
        <x:is>
          <x:t xml:space="preserve">Addressable implementation specification</x:t>
        </x:is>
      </x:c>
      <x:c r="AF29" s="5" t="inlineStr">
        <x:is>
          <x:t xml:space="preserve">Administrative Safeguards</x:t>
        </x:is>
      </x:c>
      <x:c r="AG29" s="28" t="inlineStr">
        <x:is>
          <x:t xml:space="preserve">https://www.ecfr.gov/current/title-45/subtitle-A/subchapter-C/part-164/section-164.308</x:t>
        </x:is>
      </x:c>
      <x:c r="AH29" s="28" t="inlineStr">
        <x:is>
          <x:t xml:space="preserve">https://www.hhs.gov/hipaa/for-professionals/compliance-enforcement/audit/protocol-edited/index.html</x:t>
        </x:is>
      </x:c>
      <x:c r="AI29" s="5" t="n"/>
      <x:c r="AJ29" s="5" t="n"/>
      <x:c r="AK29" s="5" t="n"/>
      <x:c r="AL29" s="5" t="n"/>
      <x:c r="AM29" s="5" t="n"/>
      <x:c r="AN29" s="5" t="n"/>
      <x:c r="AO29" s="5" t="n"/>
      <x:c r="AP29" s="5" t="n"/>
      <x:c r="AQ29" s="5" t="n"/>
    </x:row>
    <x:row r="30" ht="30" customHeight="1">
      <x:c r="A30" s="5" t="inlineStr">
        <x:is>
          <x:t xml:space="preserve">REQ-30-HIPAA</x:t>
        </x:is>
      </x:c>
      <x:c r="B30" s="5" t="inlineStr">
        <x:is>
          <x:t xml:space="preserve">11.01e1System.2</x:t>
        </x:is>
      </x:c>
      <x:c r="C30" s="5" t="n">
        <x:v>1</x:v>
      </x:c>
      <x:c r="D30" s="5" t="inlineStr">
        <x:is>
          <x:t xml:space="preserve">Access Control</x:t>
        </x:is>
      </x:c>
      <x:c r="E30" s="5" t="inlineStr">
        <x:is>
          <x:t xml:space="preserve">Policy</x:t>
        </x:is>
      </x:c>
      <x:c r="F30" s="5" t="inlineStr">
        <x:is>
          <x:t xml:space="preserve">HITRUST e1.csv</x:t>
        </x:is>
      </x:c>
      <x:c r="G30" s="5" t="inlineStr">
        <x:is>
          <x:t xml:space="preserve">Many:1</x:t>
        </x:is>
      </x:c>
      <x:c r="H30" s="5" t="inlineStr">
        <x:is>
          <x:t xml:space="preserve">45 CFR § 164.308(a)(4)(ii)(B)</x:t>
        </x:is>
      </x:c>
      <x:c r="I30" s="5" t="inlineStr">
        <x:is>
          <x:t xml:space="preserve">Information Access Management — Access Authorization</x:t>
        </x:is>
      </x:c>
      <x:c r="J30" s="5" t="inlineStr">
        <x:is>
          <x:t xml:space="preserve">Direct</x:t>
        </x:is>
      </x:c>
      <x:c r="K30" s="5" t="inlineStr">
        <x:is>
          <x:t xml:space="preserve">New-hire access request and approval evidence aligns directly to access authorization.</x:t>
        </x:is>
      </x:c>
      <x:c r="L30"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M30" s="5" t="inlineStr">
        <x:is>
          <x:t xml:space="preserve">Used for access-request forms/templates and access-control rows that center on approvals.</x:t>
        </x:is>
      </x:c>
      <x:c r="N30" s="5" t="inlineStr">
        <x:is>
          <x:t xml:space="preserve">11.01e1 System.2</x:t>
        </x:is>
      </x:c>
      <x:c r="O30" s="5" t="n">
        <x:v>1</x:v>
      </x:c>
      <x:c r="P30" s="5" t="n"/>
      <x:c r="Q30" s="5" t="inlineStr">
        <x:is>
          <x:t xml:space="preserve">Access Control</x:t>
        </x:is>
      </x:c>
      <x:c r="R30" s="5" t="inlineStr">
        <x:is>
          <x:t xml:space="preserve">Policy</x:t>
        </x:is>
      </x:c>
      <x:c r="S30" s="5" t="n"/>
      <x:c r="T30" s="5" t="inlineStr">
        <x:is>
          <x:t xml:space="preserve">HITRUST e1.csv</x:t>
        </x:is>
      </x:c>
      <x:c r="U30" s="5" t="inlineStr">
        <x:is>
          <x:t xml:space="preserve">45 C.F.R. § 164.308(a)(4)(ii)(B)</x:t>
        </x:is>
      </x:c>
      <x:c r="V30" s="5" t="inlineStr">
        <x:is>
          <x:t xml:space="preserve">Information Access Management — Access Authorization</x:t>
        </x:is>
      </x:c>
      <x:c r="W30" s="5" t="inlineStr">
        <x:is>
          <x:t xml:space="preserve">Implement policies and procedures for granting access to ePHI through appropriate mechanisms such as workstations, transactions, programs, or processes.</x:t>
        </x:is>
      </x:c>
      <x:c r="X30" s="5" t="inlineStr">
        <x:is>
          <x:t xml:space="preserve">Addressable implementation specification</x:t>
        </x:is>
      </x:c>
      <x:c r="Y30" s="5" t="inlineStr">
        <x:is>
          <x:t xml:space="preserve">Administrative Safeguards</x:t>
        </x:is>
      </x:c>
      <x:c r="Z30" s="28" t="inlineStr">
        <x:is>
          <x:t xml:space="preserve">https://www.ecfr.gov/current/title-45/subtitle-A/subchapter-C/part-164/section-164.308</x:t>
        </x:is>
      </x:c>
      <x:c r="AA30" s="28" t="inlineStr">
        <x:is>
          <x:t xml:space="preserve">https://www.hhs.gov/hipaa/for-professionals/compliance-enforcement/audit/protocol-edited/index.html</x:t>
        </x:is>
      </x:c>
      <x:c r="AB30" s="5" t="n"/>
      <x:c r="AC30" s="5" t="n"/>
      <x:c r="AD30" s="5" t="n"/>
      <x:c r="AE30" s="5" t="n"/>
      <x:c r="AF30" s="5" t="n"/>
      <x:c r="AG30" s="5" t="n"/>
      <x:c r="AH30" s="5" t="n"/>
      <x:c r="AI30" s="5" t="n"/>
      <x:c r="AJ30" s="5" t="n"/>
      <x:c r="AK30" s="5" t="n"/>
      <x:c r="AL30" s="5" t="n"/>
      <x:c r="AM30" s="5" t="n"/>
      <x:c r="AN30" s="5" t="n"/>
      <x:c r="AO30" s="5" t="n"/>
      <x:c r="AP30" s="5" t="n"/>
      <x:c r="AQ30" s="5" t="n"/>
    </x:row>
    <x:row r="31" ht="30" customHeight="1">
      <x:c r="A31" s="5" t="inlineStr">
        <x:is>
          <x:t xml:space="preserve">REQ-30-HIPAA</x:t>
        </x:is>
      </x:c>
      <x:c r="B31" s="5" t="inlineStr">
        <x:is>
          <x:t xml:space="preserve">1143.01c1System.123</x:t>
        </x:is>
      </x:c>
      <x:c r="C31" s="5" t="n">
        <x:v>1</x:v>
      </x:c>
      <x:c r="D31" s="5" t="inlineStr">
        <x:is>
          <x:t xml:space="preserve">New Hire Access Request Form</x:t>
        </x:is>
      </x:c>
      <x:c r="E31" s="5" t="inlineStr">
        <x:is>
          <x:t xml:space="preserve">Sample</x:t>
        </x:is>
      </x:c>
      <x:c r="F31" s="5" t="inlineStr">
        <x:is>
          <x:t xml:space="preserve">HITRUST e1.csv</x:t>
        </x:is>
      </x:c>
      <x:c r="G31" s="5" t="inlineStr">
        <x:is>
          <x:t xml:space="preserve">1:1</x:t>
        </x:is>
      </x:c>
      <x:c r="H31" s="5" t="inlineStr">
        <x:is>
          <x:t xml:space="preserve">45 CFR § 164.308(a)(4)(ii)(B)</x:t>
        </x:is>
      </x:c>
      <x:c r="I31" s="5" t="inlineStr">
        <x:is>
          <x:t xml:space="preserve">Information Access Management — Access Authorization</x:t>
        </x:is>
      </x:c>
      <x:c r="J31" s="5" t="inlineStr">
        <x:is>
          <x:t xml:space="preserve">Direct</x:t>
        </x:is>
      </x:c>
      <x:c r="K31" s="5" t="inlineStr">
        <x:is>
          <x:t xml:space="preserve">New-hire access request and approval evidence aligns directly to access authorization.</x:t>
        </x:is>
      </x:c>
      <x:c r="L31" s="28" t="inlineStr">
        <x:is>
          <x:t xml:space="preserve">https://www.ecfr.gov/current/title-45/subtitle-A/subchapter-C/part-164/section-164.308 | https://www.hhs.gov/hipaa/for-professionals/compliance-enforcement/audit/protocol/index.html | https://www.hhs.gov/sites/default/files/ocr/privacy/hipaa/administrative/securityrule/adminsafeguards.pdf</x:t>
        </x:is>
      </x:c>
      <x:c r="M31" s="5" t="inlineStr">
        <x:is>
          <x:t xml:space="preserve">Used for access-request forms/templates and access-control rows that center on approvals.</x:t>
        </x:is>
      </x:c>
      <x:c r="N31" s="5" t="inlineStr">
        <x:is>
          <x:t xml:space="preserve">1143.01c1 System.123</x:t>
        </x:is>
      </x:c>
      <x:c r="O31" s="5" t="n">
        <x:v>1</x:v>
      </x:c>
      <x:c r="P31" s="5" t="n"/>
      <x:c r="Q31" s="5" t="inlineStr">
        <x:is>
          <x:t xml:space="preserve">New Hire Access Request Form</x:t>
        </x:is>
      </x:c>
      <x:c r="R31" s="5" t="inlineStr">
        <x:is>
          <x:t xml:space="preserve">Sample</x:t>
        </x:is>
      </x:c>
      <x:c r="S31" s="5" t="n"/>
      <x:c r="T31" s="5" t="inlineStr">
        <x:is>
          <x:t xml:space="preserve">HITRUST e1.csv</x:t>
        </x:is>
      </x:c>
      <x:c r="U31" s="5" t="inlineStr">
        <x:is>
          <x:t xml:space="preserve">45 C.F.R. § 164.308(a)(4)(ii)(B)</x:t>
        </x:is>
      </x:c>
      <x:c r="V31" s="5" t="inlineStr">
        <x:is>
          <x:t xml:space="preserve">Information Access Management — Access Authorization</x:t>
        </x:is>
      </x:c>
      <x:c r="W31" s="5" t="inlineStr">
        <x:is>
          <x:t xml:space="preserve">Implement policies and procedures for granting access to ePHI through appropriate mechanisms such as workstations, transactions, programs, or processes.</x:t>
        </x:is>
      </x:c>
      <x:c r="X31" s="5" t="inlineStr">
        <x:is>
          <x:t xml:space="preserve">Addressable implementation specification</x:t>
        </x:is>
      </x:c>
      <x:c r="Y31" s="5" t="inlineStr">
        <x:is>
          <x:t xml:space="preserve">Administrative Safeguards</x:t>
        </x:is>
      </x:c>
      <x:c r="Z31" s="28" t="inlineStr">
        <x:is>
          <x:t xml:space="preserve">https://www.ecfr.gov/current/title-45/subtitle-A/subchapter-C/part-164/section-164.308</x:t>
        </x:is>
      </x:c>
      <x:c r="AA31" s="28" t="inlineStr">
        <x:is>
          <x:t xml:space="preserve">https://www.hhs.gov/hipaa/for-professionals/compliance-enforcement/audit/protocol-edited/index.html</x:t>
        </x:is>
      </x:c>
      <x:c r="AB31" s="5" t="n"/>
      <x:c r="AC31" s="5" t="n"/>
      <x:c r="AD31" s="5" t="n"/>
      <x:c r="AE31" s="5" t="n"/>
      <x:c r="AF31" s="5" t="n"/>
      <x:c r="AG31" s="5" t="n"/>
      <x:c r="AH31" s="5" t="n"/>
      <x:c r="AI31" s="5" t="n"/>
      <x:c r="AJ31" s="5" t="n"/>
      <x:c r="AK31" s="5" t="n"/>
      <x:c r="AL31" s="5" t="n"/>
      <x:c r="AM31" s="5" t="n"/>
      <x:c r="AN31" s="5" t="n"/>
      <x:c r="AO31" s="5" t="n"/>
      <x:c r="AP31" s="5" t="n"/>
      <x:c r="AQ31" s="5" t="n"/>
    </x:row>
    <x:row r="32" ht="30" customHeight="1">
      <x:c r="A32" s="5" t="inlineStr">
        <x:is>
          <x:t xml:space="preserve">REQ-31-HIPAA</x:t>
        </x:is>
      </x:c>
      <x:c r="B32" s="5" t="inlineStr">
        <x:is>
          <x:t xml:space="preserve">11.01e1System.2</x:t>
        </x:is>
      </x:c>
      <x:c r="C32" s="5" t="n">
        <x:v>1</x:v>
      </x:c>
      <x:c r="D32" s="5" t="inlineStr">
        <x:is>
          <x:t xml:space="preserve">Access Control</x:t>
        </x:is>
      </x:c>
      <x:c r="E32" s="5" t="inlineStr">
        <x:is>
          <x:t xml:space="preserve">Policy</x:t>
        </x:is>
      </x:c>
      <x:c r="F32" s="5" t="inlineStr">
        <x:is>
          <x:t xml:space="preserve">HITRUST e1.csv</x:t>
        </x:is>
      </x:c>
      <x:c r="G32" s="5" t="inlineStr">
        <x:is>
          <x:t xml:space="preserve">Many:1</x:t>
        </x:is>
      </x:c>
      <x:c r="H32" s="5" t="inlineStr">
        <x:is>
          <x:t xml:space="preserve">45 CFR § 164.308(a)(3)(ii)(C) | 45 CFR § 164.308(a)(4)(ii)(C)</x:t>
        </x:is>
      </x:c>
      <x:c r="I32" s="5" t="inlineStr">
        <x:is>
          <x:t xml:space="preserve">Workforce Security — Termination Procedures | Information Access Management — Access Establishment and Modification</x:t>
        </x:is>
      </x:c>
      <x:c r="J32" s="5" t="inlineStr">
        <x:is>
          <x:t xml:space="preserve">Composite</x:t>
        </x:is>
      </x:c>
      <x:c r="K32" s="5" t="inlineStr">
        <x:is>
          <x:t xml:space="preserve">The same internal control appears within a general access-control policy row; termination remains the most likely HIPAA basis, with access-right modification as supporting context.</x:t>
        </x:is>
      </x:c>
      <x:c r="L32" s="28" t="inlineStr">
        <x:is>
          <x:t xml:space="preserve">https://www.ecfr.gov/current/title-45/subtitle-A/subchapter-C/part-164/section-164.308 | https://www.hhs.gov/hipaa/for-professionals/compliance-enforcement/audit/protocol/index.html | https://www.hhs.gov/hipaa/for-professionals/security/guidance/cybersecurity-newsletter-summer-2019/index.html</x:t>
        </x:is>
      </x:c>
      <x:c r="M32" s="5" t="inlineStr">
        <x:is>
          <x:t xml:space="preserve">Mapped conservatively because the internal control ID spans both termination evidence and access-control policy language.</x:t>
        </x:is>
      </x:c>
      <x:c r="N32" s="5" t="inlineStr">
        <x:is>
          <x:t xml:space="preserve">11.01e1 System.2</x:t>
        </x:is>
      </x:c>
      <x:c r="O32" s="5" t="n">
        <x:v>2</x:v>
      </x:c>
      <x:c r="P32" s="5" t="n"/>
      <x:c r="Q32" s="5" t="inlineStr">
        <x:is>
          <x:t xml:space="preserve">Access Control</x:t>
        </x:is>
      </x:c>
      <x:c r="R32" s="5" t="inlineStr">
        <x:is>
          <x:t xml:space="preserve">Policy</x:t>
        </x:is>
      </x:c>
      <x:c r="S32" s="5" t="n"/>
      <x:c r="T32" s="5" t="inlineStr">
        <x:is>
          <x:t xml:space="preserve">HITRUST e1.csv</x:t>
        </x:is>
      </x:c>
      <x:c r="U32" s="5" t="inlineStr">
        <x:is>
          <x:t xml:space="preserve">45 C.F.R. § 164.308(a)(3)(ii)(C)</x:t>
        </x:is>
      </x:c>
      <x:c r="V32" s="5" t="inlineStr">
        <x:is>
          <x:t xml:space="preserve">Workforce Security — Termination Procedures</x:t>
        </x:is>
      </x:c>
      <x:c r="W32" s="5" t="inlineStr">
        <x:is>
          <x:t xml:space="preserve">Implement procedures for terminating a workforce member’s access to ePHI when employment ends or when access should otherwise be removed.</x:t>
        </x:is>
      </x:c>
      <x:c r="X32" s="5" t="inlineStr">
        <x:is>
          <x:t xml:space="preserve">Addressable implementation specification</x:t>
        </x:is>
      </x:c>
      <x:c r="Y32" s="5" t="inlineStr">
        <x:is>
          <x:t xml:space="preserve">Administrative Safeguards</x:t>
        </x:is>
      </x:c>
      <x:c r="Z32" s="28" t="inlineStr">
        <x:is>
          <x:t xml:space="preserve">https://www.ecfr.gov/current/title-45/subtitle-A/subchapter-C/part-164/section-164.308</x:t>
        </x:is>
      </x:c>
      <x:c r="AA32" s="28" t="inlineStr">
        <x:is>
          <x:t xml:space="preserve">https://www.hhs.gov/hipaa/for-professionals/security/guidance/cybersecurity-newsletter-summer-2019/index.html</x:t>
        </x:is>
      </x:c>
      <x:c r="AB32" s="5" t="inlineStr">
        <x:is>
          <x:t xml:space="preserve">45 C.F.R. § 164.308(a)(4)(ii)(C)</x:t>
        </x:is>
      </x:c>
      <x:c r="AC32" s="5" t="inlineStr">
        <x:is>
          <x:t xml:space="preserve">Information Access Management — Access Establishment and Modification</x:t>
        </x:is>
      </x:c>
      <x:c r="AD32" s="5" t="inlineStr">
        <x:is>
          <x:t xml:space="preserve">Implement policies and procedures to establish, document, review, and modify a user’s right of access to a workstation, transaction, program, or process.</x:t>
        </x:is>
      </x:c>
      <x:c r="AE32" s="5" t="inlineStr">
        <x:is>
          <x:t xml:space="preserve">Addressable implementation specification</x:t>
        </x:is>
      </x:c>
      <x:c r="AF32" s="5" t="inlineStr">
        <x:is>
          <x:t xml:space="preserve">Administrative Safeguards</x:t>
        </x:is>
      </x:c>
      <x:c r="AG32" s="28" t="inlineStr">
        <x:is>
          <x:t xml:space="preserve">https://www.ecfr.gov/current/title-45/subtitle-A/subchapter-C/part-164/section-164.308</x:t>
        </x:is>
      </x:c>
      <x:c r="AH32" s="28" t="inlineStr">
        <x:is>
          <x:t xml:space="preserve">https://www.hhs.gov/hipaa/for-professionals/compliance-enforcement/audit/protocol-edited/index.html</x:t>
        </x:is>
      </x:c>
      <x:c r="AI32" s="5" t="n"/>
      <x:c r="AJ32" s="5" t="n"/>
      <x:c r="AK32" s="5" t="n"/>
      <x:c r="AL32" s="5" t="n"/>
      <x:c r="AM32" s="5" t="n"/>
      <x:c r="AN32" s="5" t="n"/>
      <x:c r="AO32" s="5" t="n"/>
      <x:c r="AP32" s="5" t="n"/>
      <x:c r="AQ32" s="5" t="n"/>
    </x:row>
    <x:row r="33" ht="30" customHeight="1">
      <x:c r="A33" s="5" t="inlineStr">
        <x:is>
          <x:t xml:space="preserve">REQ-31-HIPAA</x:t>
        </x:is>
      </x:c>
      <x:c r="B33" s="5" t="inlineStr">
        <x:is>
          <x:t xml:space="preserve">1123.01q1System.2</x:t>
        </x:is>
      </x:c>
      <x:c r="C33" s="5" t="n">
        <x:v>1</x:v>
      </x:c>
      <x:c r="D33" s="5" t="inlineStr">
        <x:is>
          <x:t xml:space="preserve">Password Vault and Shared Accounts</x:t>
        </x:is>
      </x:c>
      <x:c r="E33" s="5" t="inlineStr">
        <x:is>
          <x:t xml:space="preserve">Configuration</x:t>
        </x:is>
      </x:c>
      <x:c r="F33" s="5" t="inlineStr">
        <x:is>
          <x:t xml:space="preserve">HITRUST e1.csv</x:t>
        </x:is>
      </x:c>
      <x:c r="G33" s="5" t="inlineStr">
        <x:is>
          <x:t xml:space="preserve">Many:1</x:t>
        </x:is>
      </x:c>
      <x:c r="H33" s="5" t="inlineStr">
        <x:is>
          <x:t xml:space="preserve">45 CFR § 164.308(a)(3)(ii)(C) | 45 CFR § 164.312(a)(2)(i)</x:t>
        </x:is>
      </x:c>
      <x:c r="I33" s="5" t="inlineStr">
        <x:is>
          <x:t xml:space="preserve">Workforce Security — Termination Procedures | Access Control — Unique User Identification</x:t>
        </x:is>
      </x:c>
      <x:c r="J33" s="5" t="inlineStr">
        <x:is>
          <x:t xml:space="preserve">Composite</x:t>
        </x:is>
      </x:c>
      <x:c r="K33" s="5" t="inlineStr">
        <x:is>
          <x:t xml:space="preserve">Shared-account and privileged-access listings support timely removal of departing users and accountability for access tied to individuals.</x:t>
        </x:is>
      </x:c>
      <x:c r="L33" s="28" t="inlineStr">
        <x:is>
          <x:t xml:space="preserve">https://www.ecfr.gov/current/title-45/subtitle-A/subchapter-C/part-164/section-164.308 | https://www.ecfr.gov/current/title-45/subtitle-A/subchapter-C/part-164/section-164.312 | https://www.hhs.gov/hipaa/for-professionals/compliance-enforcement/audit/protocol/index.html | https://www.hhs.gov/hipaa/for-professionals/security/guidance/cybersecurity-newsletter-summer-2019/index.html</x:t>
        </x:is>
      </x:c>
      <x:c r="M33" s="5" t="inlineStr">
        <x:is>
          <x:t xml:space="preserve">Best read as supporting evidence that terminated users are removed from shared/privileged access paths.</x:t>
        </x:is>
      </x:c>
      <x:c r="N33" s="5" t="inlineStr">
        <x:is>
          <x:t xml:space="preserve">1123.01q1 System.2</x:t>
        </x:is>
      </x:c>
      <x:c r="O33" s="5" t="n">
        <x:v>2</x:v>
      </x:c>
      <x:c r="P33" s="5" t="n"/>
      <x:c r="Q33" s="5" t="inlineStr">
        <x:is>
          <x:t xml:space="preserve">Password Vault and Shared Accounts</x:t>
        </x:is>
      </x:c>
      <x:c r="R33" s="5" t="inlineStr">
        <x:is>
          <x:t xml:space="preserve">Configuration</x:t>
        </x:is>
      </x:c>
      <x:c r="S33" s="5" t="n"/>
      <x:c r="T33" s="5" t="inlineStr">
        <x:is>
          <x:t xml:space="preserve">HITRUST e1.csv</x:t>
        </x:is>
      </x:c>
      <x:c r="U33" s="5" t="inlineStr">
        <x:is>
          <x:t xml:space="preserve">45 C.F.R. § 164.308(a)(3)(ii)(C)</x:t>
        </x:is>
      </x:c>
      <x:c r="V33" s="5" t="inlineStr">
        <x:is>
          <x:t xml:space="preserve">Workforce Security — Termination Procedures</x:t>
        </x:is>
      </x:c>
      <x:c r="W33" s="5" t="inlineStr">
        <x:is>
          <x:t xml:space="preserve">Implement procedures for terminating a workforce member’s access to ePHI when employment ends or when access should otherwise be removed.</x:t>
        </x:is>
      </x:c>
      <x:c r="X33" s="5" t="inlineStr">
        <x:is>
          <x:t xml:space="preserve">Addressable implementation specification</x:t>
        </x:is>
      </x:c>
      <x:c r="Y33" s="5" t="inlineStr">
        <x:is>
          <x:t xml:space="preserve">Administrative Safeguards</x:t>
        </x:is>
      </x:c>
      <x:c r="Z33" s="28" t="inlineStr">
        <x:is>
          <x:t xml:space="preserve">https://www.ecfr.gov/current/title-45/subtitle-A/subchapter-C/part-164/section-164.308</x:t>
        </x:is>
      </x:c>
      <x:c r="AA33" s="28" t="inlineStr">
        <x:is>
          <x:t xml:space="preserve">https://www.hhs.gov/hipaa/for-professionals/security/guidance/cybersecurity-newsletter-summer-2019/index.html</x:t>
        </x:is>
      </x:c>
      <x:c r="AB33" s="5" t="inlineStr">
        <x:is>
          <x:t xml:space="preserve">45 C.F.R. § 164.312(a)(2)(i)</x:t>
        </x:is>
      </x:c>
      <x:c r="AC33" s="5" t="inlineStr">
        <x:is>
          <x:t xml:space="preserve">Access Control — Unique User Identification</x:t>
        </x:is>
      </x:c>
      <x:c r="AD33" s="5" t="inlineStr">
        <x:is>
          <x:t xml:space="preserve">Assign a unique name and/or number for identifying and tracking user identity.</x:t>
        </x:is>
      </x:c>
      <x:c r="AE33" s="5" t="inlineStr">
        <x:is>
          <x:t xml:space="preserve">Required implementation specification</x:t>
        </x:is>
      </x:c>
      <x:c r="AF33" s="5" t="inlineStr">
        <x:is>
          <x:t xml:space="preserve">Technical Safeguards</x:t>
        </x:is>
      </x:c>
      <x:c r="AG33" s="28" t="inlineStr">
        <x:is>
          <x:t xml:space="preserve">https://www.ecfr.gov/current/title-45/subtitle-A/subchapter-C/part-164/section-164.312</x:t>
        </x:is>
      </x:c>
      <x:c r="AH33" s="28" t="inlineStr">
        <x:is>
          <x:t xml:space="preserve">https://www.hhs.gov/hipaa/for-professionals/compliance-enforcement/audit/protocol-edited/index.html</x:t>
        </x:is>
      </x:c>
      <x:c r="AI33" s="5" t="n"/>
      <x:c r="AJ33" s="5" t="n"/>
      <x:c r="AK33" s="5" t="n"/>
      <x:c r="AL33" s="5" t="n"/>
      <x:c r="AM33" s="5" t="n"/>
      <x:c r="AN33" s="5" t="n"/>
      <x:c r="AO33" s="5" t="n"/>
      <x:c r="AP33" s="5" t="n"/>
      <x:c r="AQ33" s="5" t="n"/>
    </x:row>
    <x:row r="34" ht="30" customHeight="1">
      <x:c r="A34" s="5" t="inlineStr">
        <x:is>
          <x:t xml:space="preserve">REQ-32-HIPAA</x:t>
        </x:is>
      </x:c>
      <x:c r="B34" s="5" t="inlineStr">
        <x:is>
          <x:t xml:space="preserve">0305.09q1Organizational.12</x:t>
        </x:is>
      </x:c>
      <x:c r="C34" s="5" t="n">
        <x:v>1</x:v>
      </x:c>
      <x:c r="D34" s="5" t="inlineStr">
        <x:is>
          <x:t xml:space="preserve">Data Classification, Retention and Disposal</x:t>
        </x:is>
      </x:c>
      <x:c r="E34" s="5" t="inlineStr">
        <x:is>
          <x:t xml:space="preserve">Policy</x:t>
        </x:is>
      </x:c>
      <x:c r="F34" s="5" t="inlineStr">
        <x:is>
          <x:t xml:space="preserve">HITRUST e1.csv</x:t>
        </x:is>
      </x:c>
      <x:c r="G34" s="5" t="inlineStr">
        <x:is>
          <x:t xml:space="preserve">Many:Many</x:t>
        </x:is>
      </x:c>
      <x:c r="H34" s="5" t="inlineStr">
        <x:is>
          <x:t xml:space="preserve">45 CFR § 164.310(d)(2)(i)</x:t>
        </x:is>
      </x:c>
      <x:c r="I34" s="5" t="inlineStr">
        <x:is>
          <x:t xml:space="preserve">Device and Media Controls — Disposal</x:t>
        </x:is>
      </x:c>
      <x:c r="J34" s="5" t="inlineStr">
        <x:is>
          <x:t xml:space="preserve">Best-fit</x:t>
        </x:is>
      </x:c>
      <x:c r="K34" s="5" t="inlineStr">
        <x:is>
          <x:t xml:space="preserve">The direct HIPAA overlap in this action item is final disposition/disposal; HIPAA does not explicitly name data classification or retention as standalone Security Rule specifications.</x:t>
        </x:is>
      </x:c>
      <x:c r="L34"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4" s="5" t="inlineStr">
        <x:is>
          <x:t xml:space="preserve">Only the disposal portion of the action item maps directly to an express HIPAA implementation specification.</x:t>
        </x:is>
      </x:c>
      <x:c r="N34" s="5" t="inlineStr">
        <x:is>
          <x:t xml:space="preserve">0305.09q1 Organizational.12</x:t>
        </x:is>
      </x:c>
      <x:c r="O34" s="5" t="n">
        <x:v>1</x:v>
      </x:c>
      <x:c r="P34" s="5" t="n"/>
      <x:c r="Q34" s="5" t="inlineStr">
        <x:is>
          <x:t xml:space="preserve">Data Classification</x:t>
        </x:is>
      </x:c>
      <x:c r="R34" s="5" t="inlineStr">
        <x:is>
          <x:t xml:space="preserve">Policy</x:t>
        </x:is>
      </x:c>
      <x:c r="S34" s="5" t="n"/>
      <x:c r="T34" s="5" t="inlineStr">
        <x:is>
          <x:t xml:space="preserve">HITRUST e1.csv</x:t>
        </x:is>
      </x:c>
      <x:c r="U34" s="5" t="inlineStr">
        <x:is>
          <x:t xml:space="preserve">45 C.F.R. § 164.310(d)(2)(i)</x:t>
        </x:is>
      </x:c>
      <x:c r="V34" s="5" t="inlineStr">
        <x:is>
          <x:t xml:space="preserve">Device and Media Controls — Disposal</x:t>
        </x:is>
      </x:c>
      <x:c r="W34" s="5" t="inlineStr">
        <x:is>
          <x:t xml:space="preserve">Implement policies and procedures to address the final disposition of ePHI and the hardware or electronic media on which it is stored.</x:t>
        </x:is>
      </x:c>
      <x:c r="X34" s="5" t="inlineStr">
        <x:is>
          <x:t xml:space="preserve">Required implementation specification</x:t>
        </x:is>
      </x:c>
      <x:c r="Y34" s="5" t="inlineStr">
        <x:is>
          <x:t xml:space="preserve">Physical Safeguards</x:t>
        </x:is>
      </x:c>
      <x:c r="Z34" s="28" t="inlineStr">
        <x:is>
          <x:t xml:space="preserve">https://www.ecfr.gov/current/title-45/subtitle-A/subchapter-C/part-164/section-164.310</x:t>
        </x:is>
      </x:c>
      <x:c r="AA34" s="28" t="inlineStr">
        <x:is>
          <x:t xml:space="preserve">https://www.hhs.gov/hipaa/for-professionals/faq/575/what-does-hipaa-require-of-covered-entities-when-they-dispose-information/index.html</x:t>
        </x:is>
      </x:c>
      <x:c r="AB34" s="5" t="n"/>
      <x:c r="AC34" s="5" t="n"/>
      <x:c r="AD34" s="5" t="n"/>
      <x:c r="AE34" s="5" t="n"/>
      <x:c r="AF34" s="5" t="n"/>
      <x:c r="AG34" s="5" t="n"/>
      <x:c r="AH34" s="5" t="n"/>
      <x:c r="AI34" s="5" t="n"/>
      <x:c r="AJ34" s="5" t="n"/>
      <x:c r="AK34" s="5" t="n"/>
      <x:c r="AL34" s="5" t="n"/>
      <x:c r="AM34" s="5" t="n"/>
      <x:c r="AN34" s="5" t="n"/>
      <x:c r="AO34" s="5" t="n"/>
      <x:c r="AP34" s="5" t="inlineStr">
        <x:is>
          <x:t xml:space="preserve">Retention and Disposal</x:t>
        </x:is>
      </x:c>
      <x:c r="AQ34" s="5" t="n"/>
    </x:row>
    <x:row r="35" ht="30" customHeight="1">
      <x:c r="A35" s="5" t="inlineStr">
        <x:is>
          <x:t xml:space="preserve">REQ-32-HIPAA</x:t>
        </x:is>
      </x:c>
      <x:c r="B35" s="5" t="inlineStr">
        <x:is>
          <x:t xml:space="preserve">1239.09aa1System.4</x:t>
        </x:is>
      </x:c>
      <x:c r="C35" s="5" t="n">
        <x:v>1</x:v>
      </x:c>
      <x:c r="D35" s="5" t="inlineStr">
        <x:is>
          <x:t xml:space="preserve">Data Classification, Retention and Disposal</x:t>
        </x:is>
      </x:c>
      <x:c r="E35" s="5" t="inlineStr">
        <x:is>
          <x:t xml:space="preserve">Policy</x:t>
        </x:is>
      </x:c>
      <x:c r="F35" s="5" t="inlineStr">
        <x:is>
          <x:t xml:space="preserve">HITRUST e1.csv</x:t>
        </x:is>
      </x:c>
      <x:c r="G35" s="5" t="inlineStr">
        <x:is>
          <x:t xml:space="preserve">Many:Many</x:t>
        </x:is>
      </x:c>
      <x:c r="H35" s="5" t="inlineStr">
        <x:is>
          <x:t xml:space="preserve">45 CFR § 164.310(d)(2)(i)</x:t>
        </x:is>
      </x:c>
      <x:c r="I35" s="5" t="inlineStr">
        <x:is>
          <x:t xml:space="preserve">Device and Media Controls — Disposal</x:t>
        </x:is>
      </x:c>
      <x:c r="J35" s="5" t="inlineStr">
        <x:is>
          <x:t xml:space="preserve">Best-fit</x:t>
        </x:is>
      </x:c>
      <x:c r="K35" s="5" t="inlineStr">
        <x:is>
          <x:t xml:space="preserve">The direct HIPAA overlap in this action item is final disposition/disposal; HIPAA does not explicitly name data classification or retention as standalone Security Rule specifications.</x:t>
        </x:is>
      </x:c>
      <x:c r="L35"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5" s="5" t="inlineStr">
        <x:is>
          <x:t xml:space="preserve">Only the disposal portion of the action item maps directly to an express HIPAA implementation specification.</x:t>
        </x:is>
      </x:c>
      <x:c r="N35" s="5" t="inlineStr">
        <x:is>
          <x:t xml:space="preserve">1239.09aa1 System.4</x:t>
        </x:is>
      </x:c>
      <x:c r="O35" s="5" t="n">
        <x:v>1</x:v>
      </x:c>
      <x:c r="P35" s="5" t="n"/>
      <x:c r="Q35" s="5" t="inlineStr">
        <x:is>
          <x:t xml:space="preserve">Data Classification</x:t>
        </x:is>
      </x:c>
      <x:c r="R35" s="5" t="inlineStr">
        <x:is>
          <x:t xml:space="preserve">Policy</x:t>
        </x:is>
      </x:c>
      <x:c r="S35" s="5" t="n"/>
      <x:c r="T35" s="5" t="inlineStr">
        <x:is>
          <x:t xml:space="preserve">HITRUST e1.csv</x:t>
        </x:is>
      </x:c>
      <x:c r="U35" s="5" t="inlineStr">
        <x:is>
          <x:t xml:space="preserve">45 C.F.R. § 164.310(d)(2)(i)</x:t>
        </x:is>
      </x:c>
      <x:c r="V35" s="5" t="inlineStr">
        <x:is>
          <x:t xml:space="preserve">Device and Media Controls — Disposal</x:t>
        </x:is>
      </x:c>
      <x:c r="W35" s="5" t="inlineStr">
        <x:is>
          <x:t xml:space="preserve">Implement policies and procedures to address the final disposition of ePHI and the hardware or electronic media on which it is stored.</x:t>
        </x:is>
      </x:c>
      <x:c r="X35" s="5" t="inlineStr">
        <x:is>
          <x:t xml:space="preserve">Required implementation specification</x:t>
        </x:is>
      </x:c>
      <x:c r="Y35" s="5" t="inlineStr">
        <x:is>
          <x:t xml:space="preserve">Physical Safeguards</x:t>
        </x:is>
      </x:c>
      <x:c r="Z35" s="28" t="inlineStr">
        <x:is>
          <x:t xml:space="preserve">https://www.ecfr.gov/current/title-45/subtitle-A/subchapter-C/part-164/section-164.310</x:t>
        </x:is>
      </x:c>
      <x:c r="AA35" s="28" t="inlineStr">
        <x:is>
          <x:t xml:space="preserve">https://www.hhs.gov/hipaa/for-professionals/faq/575/what-does-hipaa-require-of-covered-entities-when-they-dispose-information/index.html</x:t>
        </x:is>
      </x:c>
      <x:c r="AB35" s="5" t="n"/>
      <x:c r="AC35" s="5" t="n"/>
      <x:c r="AD35" s="5" t="n"/>
      <x:c r="AE35" s="5" t="n"/>
      <x:c r="AF35" s="5" t="n"/>
      <x:c r="AG35" s="5" t="n"/>
      <x:c r="AH35" s="5" t="n"/>
      <x:c r="AI35" s="5" t="n"/>
      <x:c r="AJ35" s="5" t="n"/>
      <x:c r="AK35" s="5" t="n"/>
      <x:c r="AL35" s="5" t="n"/>
      <x:c r="AM35" s="5" t="n"/>
      <x:c r="AN35" s="5" t="n"/>
      <x:c r="AO35" s="5" t="n"/>
      <x:c r="AP35" s="5" t="inlineStr">
        <x:is>
          <x:t xml:space="preserve">Retention and Disposal</x:t>
        </x:is>
      </x:c>
      <x:c r="AQ35" s="5" t="n"/>
    </x:row>
    <x:row r="36" ht="30" customHeight="1">
      <x:c r="A36" s="5" t="inlineStr">
        <x:is>
          <x:t xml:space="preserve">REQ-32-HIPAA</x:t>
        </x:is>
      </x:c>
      <x:c r="B36" s="5" t="inlineStr">
        <x:is>
          <x:t xml:space="preserve">1616.09l1Organizational.16</x:t>
        </x:is>
      </x:c>
      <x:c r="C36" s="5" t="n">
        <x:v>1</x:v>
      </x:c>
      <x:c r="D36" s="5" t="inlineStr">
        <x:is>
          <x:t xml:space="preserve">Data Classification, Retention and Disposal</x:t>
        </x:is>
      </x:c>
      <x:c r="E36" s="5" t="inlineStr">
        <x:is>
          <x:t xml:space="preserve">Policy</x:t>
        </x:is>
      </x:c>
      <x:c r="F36" s="5" t="inlineStr">
        <x:is>
          <x:t xml:space="preserve">HITRUST e1.csv</x:t>
        </x:is>
      </x:c>
      <x:c r="G36" s="5" t="inlineStr">
        <x:is>
          <x:t xml:space="preserve">Many:Many</x:t>
        </x:is>
      </x:c>
      <x:c r="H36" s="5" t="inlineStr">
        <x:is>
          <x:t xml:space="preserve">45 CFR § 164.310(d)(2)(i)</x:t>
        </x:is>
      </x:c>
      <x:c r="I36" s="5" t="inlineStr">
        <x:is>
          <x:t xml:space="preserve">Device and Media Controls — Disposal</x:t>
        </x:is>
      </x:c>
      <x:c r="J36" s="5" t="inlineStr">
        <x:is>
          <x:t xml:space="preserve">Best-fit</x:t>
        </x:is>
      </x:c>
      <x:c r="K36" s="5" t="inlineStr">
        <x:is>
          <x:t xml:space="preserve">The direct HIPAA overlap in this action item is final disposition/disposal; HIPAA does not explicitly name data classification or retention as standalone Security Rule specifications.</x:t>
        </x:is>
      </x:c>
      <x:c r="L36"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6" s="5" t="inlineStr">
        <x:is>
          <x:t xml:space="preserve">Only the disposal portion of the action item maps directly to an express HIPAA implementation specification.</x:t>
        </x:is>
      </x:c>
      <x:c r="N36" s="5" t="inlineStr">
        <x:is>
          <x:t xml:space="preserve">1616.09l1 Organizational.16</x:t>
        </x:is>
      </x:c>
      <x:c r="O36" s="5" t="n">
        <x:v>1</x:v>
      </x:c>
      <x:c r="P36" s="5" t="n"/>
      <x:c r="Q36" s="5" t="inlineStr">
        <x:is>
          <x:t xml:space="preserve">Data Classification</x:t>
        </x:is>
      </x:c>
      <x:c r="R36" s="5" t="inlineStr">
        <x:is>
          <x:t xml:space="preserve">Policy</x:t>
        </x:is>
      </x:c>
      <x:c r="S36" s="5" t="n"/>
      <x:c r="T36" s="5" t="inlineStr">
        <x:is>
          <x:t xml:space="preserve">HITRUST e1.csv</x:t>
        </x:is>
      </x:c>
      <x:c r="U36" s="5" t="inlineStr">
        <x:is>
          <x:t xml:space="preserve">45 C.F.R. § 164.310(d)(2)(i)</x:t>
        </x:is>
      </x:c>
      <x:c r="V36" s="5" t="inlineStr">
        <x:is>
          <x:t xml:space="preserve">Device and Media Controls — Disposal</x:t>
        </x:is>
      </x:c>
      <x:c r="W36" s="5" t="inlineStr">
        <x:is>
          <x:t xml:space="preserve">Implement policies and procedures to address the final disposition of ePHI and the hardware or electronic media on which it is stored.</x:t>
        </x:is>
      </x:c>
      <x:c r="X36" s="5" t="inlineStr">
        <x:is>
          <x:t xml:space="preserve">Required implementation specification</x:t>
        </x:is>
      </x:c>
      <x:c r="Y36" s="5" t="inlineStr">
        <x:is>
          <x:t xml:space="preserve">Physical Safeguards</x:t>
        </x:is>
      </x:c>
      <x:c r="Z36" s="28" t="inlineStr">
        <x:is>
          <x:t xml:space="preserve">https://www.ecfr.gov/current/title-45/subtitle-A/subchapter-C/part-164/section-164.310</x:t>
        </x:is>
      </x:c>
      <x:c r="AA36" s="28" t="inlineStr">
        <x:is>
          <x:t xml:space="preserve">https://www.hhs.gov/hipaa/for-professionals/faq/575/what-does-hipaa-require-of-covered-entities-when-they-dispose-information/index.html</x:t>
        </x:is>
      </x:c>
      <x:c r="AB36" s="5" t="n"/>
      <x:c r="AC36" s="5" t="n"/>
      <x:c r="AD36" s="5" t="n"/>
      <x:c r="AE36" s="5" t="n"/>
      <x:c r="AF36" s="5" t="n"/>
      <x:c r="AG36" s="5" t="n"/>
      <x:c r="AH36" s="5" t="n"/>
      <x:c r="AI36" s="5" t="n"/>
      <x:c r="AJ36" s="5" t="n"/>
      <x:c r="AK36" s="5" t="n"/>
      <x:c r="AL36" s="5" t="n"/>
      <x:c r="AM36" s="5" t="n"/>
      <x:c r="AN36" s="5" t="n"/>
      <x:c r="AO36" s="5" t="n"/>
      <x:c r="AP36" s="5" t="inlineStr">
        <x:is>
          <x:t xml:space="preserve">Retention and Disposal</x:t>
        </x:is>
      </x:c>
      <x:c r="AQ36" s="5" t="n"/>
    </x:row>
    <x:row r="37" ht="30" customHeight="1">
      <x:c r="A37" s="5" t="inlineStr">
        <x:is>
          <x:t xml:space="preserve">REQ-32-HIPAA</x:t>
        </x:is>
      </x:c>
      <x:c r="B37" s="5" t="inlineStr">
        <x:is>
          <x:t xml:space="preserve">1767.07d1Organizational.2</x:t>
        </x:is>
      </x:c>
      <x:c r="C37" s="5" t="n">
        <x:v>1</x:v>
      </x:c>
      <x:c r="D37" s="5" t="inlineStr">
        <x:is>
          <x:t xml:space="preserve">Data Classification, Retention and Disposal</x:t>
        </x:is>
      </x:c>
      <x:c r="E37" s="5" t="inlineStr">
        <x:is>
          <x:t xml:space="preserve">Policy</x:t>
        </x:is>
      </x:c>
      <x:c r="F37" s="5" t="inlineStr">
        <x:is>
          <x:t xml:space="preserve">HITRUST e1.csv</x:t>
        </x:is>
      </x:c>
      <x:c r="G37" s="5" t="inlineStr">
        <x:is>
          <x:t xml:space="preserve">Many:Many</x:t>
        </x:is>
      </x:c>
      <x:c r="H37" s="5" t="inlineStr">
        <x:is>
          <x:t xml:space="preserve">45 CFR § 164.310(d)(2)(i)</x:t>
        </x:is>
      </x:c>
      <x:c r="I37" s="5" t="inlineStr">
        <x:is>
          <x:t xml:space="preserve">Device and Media Controls — Disposal</x:t>
        </x:is>
      </x:c>
      <x:c r="J37" s="5" t="inlineStr">
        <x:is>
          <x:t xml:space="preserve">Best-fit</x:t>
        </x:is>
      </x:c>
      <x:c r="K37" s="5" t="inlineStr">
        <x:is>
          <x:t xml:space="preserve">The direct HIPAA overlap in this action item is final disposition/disposal; HIPAA does not explicitly name data classification or retention as standalone Security Rule specifications.</x:t>
        </x:is>
      </x:c>
      <x:c r="L37"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7" s="5" t="inlineStr">
        <x:is>
          <x:t xml:space="preserve">Only the disposal portion of the action item maps directly to an express HIPAA implementation specification.</x:t>
        </x:is>
      </x:c>
      <x:c r="N37" s="5" t="inlineStr">
        <x:is>
          <x:t xml:space="preserve">1767.07d1 Organizational.2</x:t>
        </x:is>
      </x:c>
      <x:c r="O37" s="5" t="n">
        <x:v>1</x:v>
      </x:c>
      <x:c r="P37" s="5" t="n"/>
      <x:c r="Q37" s="5" t="inlineStr">
        <x:is>
          <x:t xml:space="preserve">Data Classification</x:t>
        </x:is>
      </x:c>
      <x:c r="R37" s="5" t="inlineStr">
        <x:is>
          <x:t xml:space="preserve">Policy</x:t>
        </x:is>
      </x:c>
      <x:c r="S37" s="5" t="n"/>
      <x:c r="T37" s="5" t="inlineStr">
        <x:is>
          <x:t xml:space="preserve">HITRUST e1.csv</x:t>
        </x:is>
      </x:c>
      <x:c r="U37" s="5" t="inlineStr">
        <x:is>
          <x:t xml:space="preserve">45 C.F.R. § 164.310(d)(2)(i)</x:t>
        </x:is>
      </x:c>
      <x:c r="V37" s="5" t="inlineStr">
        <x:is>
          <x:t xml:space="preserve">Device and Media Controls — Disposal</x:t>
        </x:is>
      </x:c>
      <x:c r="W37" s="5" t="inlineStr">
        <x:is>
          <x:t xml:space="preserve">Implement policies and procedures to address the final disposition of ePHI and the hardware or electronic media on which it is stored.</x:t>
        </x:is>
      </x:c>
      <x:c r="X37" s="5" t="inlineStr">
        <x:is>
          <x:t xml:space="preserve">Required implementation specification</x:t>
        </x:is>
      </x:c>
      <x:c r="Y37" s="5" t="inlineStr">
        <x:is>
          <x:t xml:space="preserve">Physical Safeguards</x:t>
        </x:is>
      </x:c>
      <x:c r="Z37" s="28" t="inlineStr">
        <x:is>
          <x:t xml:space="preserve">https://www.ecfr.gov/current/title-45/subtitle-A/subchapter-C/part-164/section-164.310</x:t>
        </x:is>
      </x:c>
      <x:c r="AA37" s="28" t="inlineStr">
        <x:is>
          <x:t xml:space="preserve">https://www.hhs.gov/hipaa/for-professionals/faq/575/what-does-hipaa-require-of-covered-entities-when-they-dispose-information/index.html</x:t>
        </x:is>
      </x:c>
      <x:c r="AB37" s="5" t="n"/>
      <x:c r="AC37" s="5" t="n"/>
      <x:c r="AD37" s="5" t="n"/>
      <x:c r="AE37" s="5" t="n"/>
      <x:c r="AF37" s="5" t="n"/>
      <x:c r="AG37" s="5" t="n"/>
      <x:c r="AH37" s="5" t="n"/>
      <x:c r="AI37" s="5" t="n"/>
      <x:c r="AJ37" s="5" t="n"/>
      <x:c r="AK37" s="5" t="n"/>
      <x:c r="AL37" s="5" t="n"/>
      <x:c r="AM37" s="5" t="n"/>
      <x:c r="AN37" s="5" t="n"/>
      <x:c r="AO37" s="5" t="n"/>
      <x:c r="AP37" s="5" t="inlineStr">
        <x:is>
          <x:t xml:space="preserve">Retention and Disposal</x:t>
        </x:is>
      </x:c>
      <x:c r="AQ37" s="5" t="n"/>
    </x:row>
    <x:row r="38" ht="30" customHeight="1">
      <x:c r="A38" s="5" t="inlineStr">
        <x:is>
          <x:t xml:space="preserve">REQ-32-HIPAA</x:t>
        </x:is>
      </x:c>
      <x:c r="B38" s="5" t="inlineStr">
        <x:is>
          <x:t xml:space="preserve">19142.06c1Organizational.8</x:t>
        </x:is>
      </x:c>
      <x:c r="C38" s="5" t="n">
        <x:v>1</x:v>
      </x:c>
      <x:c r="D38" s="5" t="inlineStr">
        <x:is>
          <x:t xml:space="preserve">Data Classification, Retention and Disposal</x:t>
        </x:is>
      </x:c>
      <x:c r="E38" s="5" t="inlineStr">
        <x:is>
          <x:t xml:space="preserve">Policy</x:t>
        </x:is>
      </x:c>
      <x:c r="F38" s="5" t="inlineStr">
        <x:is>
          <x:t xml:space="preserve">HITRUST e1.csv</x:t>
        </x:is>
      </x:c>
      <x:c r="G38" s="5" t="inlineStr">
        <x:is>
          <x:t xml:space="preserve">Many:Many</x:t>
        </x:is>
      </x:c>
      <x:c r="H38" s="5" t="inlineStr">
        <x:is>
          <x:t xml:space="preserve">45 CFR § 164.310(d)(2)(i)</x:t>
        </x:is>
      </x:c>
      <x:c r="I38" s="5" t="inlineStr">
        <x:is>
          <x:t xml:space="preserve">Device and Media Controls — Disposal</x:t>
        </x:is>
      </x:c>
      <x:c r="J38" s="5" t="inlineStr">
        <x:is>
          <x:t xml:space="preserve">Best-fit</x:t>
        </x:is>
      </x:c>
      <x:c r="K38" s="5" t="inlineStr">
        <x:is>
          <x:t xml:space="preserve">The direct HIPAA overlap in this action item is final disposition/disposal; HIPAA does not explicitly name data classification or retention as standalone Security Rule specifications.</x:t>
        </x:is>
      </x:c>
      <x:c r="L38"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38" s="5" t="inlineStr">
        <x:is>
          <x:t xml:space="preserve">Only the disposal portion of the action item maps directly to an express HIPAA implementation specification.</x:t>
        </x:is>
      </x:c>
      <x:c r="N38" s="5" t="inlineStr">
        <x:is>
          <x:t xml:space="preserve">19142.06c1 Organizational.8</x:t>
        </x:is>
      </x:c>
      <x:c r="O38" s="5" t="n">
        <x:v>1</x:v>
      </x:c>
      <x:c r="P38" s="5" t="n"/>
      <x:c r="Q38" s="5" t="inlineStr">
        <x:is>
          <x:t xml:space="preserve">Data Classification</x:t>
        </x:is>
      </x:c>
      <x:c r="R38" s="5" t="inlineStr">
        <x:is>
          <x:t xml:space="preserve">Policy</x:t>
        </x:is>
      </x:c>
      <x:c r="S38" s="5" t="n"/>
      <x:c r="T38" s="5" t="inlineStr">
        <x:is>
          <x:t xml:space="preserve">HITRUST e1.csv</x:t>
        </x:is>
      </x:c>
      <x:c r="U38" s="5" t="inlineStr">
        <x:is>
          <x:t xml:space="preserve">45 C.F.R. § 164.310(d)(2)(i)</x:t>
        </x:is>
      </x:c>
      <x:c r="V38" s="5" t="inlineStr">
        <x:is>
          <x:t xml:space="preserve">Device and Media Controls — Disposal</x:t>
        </x:is>
      </x:c>
      <x:c r="W38" s="5" t="inlineStr">
        <x:is>
          <x:t xml:space="preserve">Implement policies and procedures to address the final disposition of ePHI and the hardware or electronic media on which it is stored.</x:t>
        </x:is>
      </x:c>
      <x:c r="X38" s="5" t="inlineStr">
        <x:is>
          <x:t xml:space="preserve">Required implementation specification</x:t>
        </x:is>
      </x:c>
      <x:c r="Y38" s="5" t="inlineStr">
        <x:is>
          <x:t xml:space="preserve">Physical Safeguards</x:t>
        </x:is>
      </x:c>
      <x:c r="Z38" s="28" t="inlineStr">
        <x:is>
          <x:t xml:space="preserve">https://www.ecfr.gov/current/title-45/subtitle-A/subchapter-C/part-164/section-164.310</x:t>
        </x:is>
      </x:c>
      <x:c r="AA38" s="28" t="inlineStr">
        <x:is>
          <x:t xml:space="preserve">https://www.hhs.gov/hipaa/for-professionals/faq/575/what-does-hipaa-require-of-covered-entities-when-they-dispose-information/index.html</x:t>
        </x:is>
      </x:c>
      <x:c r="AB38" s="5" t="n"/>
      <x:c r="AC38" s="5" t="n"/>
      <x:c r="AD38" s="5" t="n"/>
      <x:c r="AE38" s="5" t="n"/>
      <x:c r="AF38" s="5" t="n"/>
      <x:c r="AG38" s="5" t="n"/>
      <x:c r="AH38" s="5" t="n"/>
      <x:c r="AI38" s="5" t="n"/>
      <x:c r="AJ38" s="5" t="n"/>
      <x:c r="AK38" s="5" t="n"/>
      <x:c r="AL38" s="5" t="n"/>
      <x:c r="AM38" s="5" t="n"/>
      <x:c r="AN38" s="5" t="n"/>
      <x:c r="AO38" s="5" t="n"/>
      <x:c r="AP38" s="5" t="inlineStr">
        <x:is>
          <x:t xml:space="preserve">Retention and Disposal</x:t>
        </x:is>
      </x:c>
      <x:c r="AQ38" s="5" t="n"/>
    </x:row>
    <x:row r="39" ht="30" customHeight="1">
      <x:c r="A39" s="5" t="inlineStr">
        <x:is>
          <x:t xml:space="preserve">REQ-33-HIPAA</x:t>
        </x:is>
      </x:c>
      <x:c r="B39" s="5" t="inlineStr">
        <x:is>
          <x:t xml:space="preserve">07.07a1Organizational.8</x:t>
        </x:is>
      </x:c>
      <x:c r="C39" s="5" t="n">
        <x:v>1</x:v>
      </x:c>
      <x:c r="D39" s="5" t="inlineStr">
        <x:is>
          <x:t xml:space="preserve">List of All Production Systems (Servers, VMs, Data Stores)</x:t>
        </x:is>
      </x:c>
      <x:c r="E39" s="5" t="inlineStr">
        <x:is>
          <x:t xml:space="preserve">Configuration</x:t>
        </x:is>
      </x:c>
      <x:c r="F39" s="5" t="inlineStr">
        <x:is>
          <x:t xml:space="preserve">HITRUST e1.csv</x:t>
        </x:is>
      </x:c>
      <x:c r="G39" s="5" t="inlineStr">
        <x:is>
          <x:t xml:space="preserve">Many:Many</x:t>
        </x:is>
      </x:c>
      <x:c r="H39" s="5" t="inlineStr">
        <x:is>
          <x:t xml:space="preserve">45 CFR § 164.308(a)(1)(ii)(A) | 45 CFR § 164.312(a)(2)(iv) | 45 CFR § 164.312(e)(2)(ii)</x:t>
        </x:is>
      </x:c>
      <x:c r="I39" s="5" t="inlineStr">
        <x:is>
          <x:t xml:space="preserve">Security Management Process — Risk Analysis | Access Control — Encryption and Decryption | Transmission Security — Encryption</x:t>
        </x:is>
      </x:c>
      <x:c r="J39" s="5" t="inlineStr">
        <x:is>
          <x:t xml:space="preserve">Best-fit composite</x:t>
        </x:is>
      </x:c>
      <x:c r="K39" s="5" t="inlineStr">
        <x:is>
          <x:t xml:space="preserve">System-inventory evidence is not explicitly named in the Security Rule, but OCR guidance treats asset inventories and system scoping as supporting accurate risk analysis and implementation of encryption safeguards.</x:t>
        </x:is>
      </x:c>
      <x:c r="L39"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M39" s="5" t="inlineStr">
        <x:is>
          <x:t xml:space="preserve">Inventory/list-of-systems evidence is supporting evidence for encryption coverage, not a standalone named HIPAA inventory mandate.</x:t>
        </x:is>
      </x:c>
      <x:c r="N39" s="5" t="inlineStr">
        <x:is>
          <x:t xml:space="preserve">07.07a1 Organizational.8</x:t>
        </x:is>
      </x:c>
      <x:c r="O39" s="5" t="n">
        <x:v>3</x:v>
      </x:c>
      <x:c r="P39" s="5" t="n"/>
      <x:c r="Q39" s="5" t="inlineStr">
        <x:is>
          <x:t xml:space="preserve">List of All Production Systems (Servers</x:t>
        </x:is>
      </x:c>
      <x:c r="R39" s="5" t="inlineStr">
        <x:is>
          <x:t xml:space="preserve">Configuration</x:t>
        </x:is>
      </x:c>
      <x:c r="S39" s="5" t="n"/>
      <x:c r="T39" s="5" t="inlineStr">
        <x:is>
          <x:t xml:space="preserve">HITRUST e1.csv</x:t>
        </x:is>
      </x:c>
      <x:c r="U39" s="5" t="inlineStr">
        <x:is>
          <x:t xml:space="preserve">45 C.F.R. § 164.308(a)(1)(ii)(A)</x:t>
        </x:is>
      </x:c>
      <x:c r="V39" s="5" t="inlineStr">
        <x:is>
          <x:t xml:space="preserve">Security Management Process — Risk Analysis</x:t>
        </x:is>
      </x:c>
      <x:c r="W39" s="5" t="inlineStr">
        <x:is>
          <x:t xml:space="preserve">Conduct an accurate and thorough assessment of the potential risks and vulnerabilities to the confidentiality, integrity, and availability of ePHI.</x:t>
        </x:is>
      </x:c>
      <x:c r="X39" s="5" t="inlineStr">
        <x:is>
          <x:t xml:space="preserve">Required implementation specification</x:t>
        </x:is>
      </x:c>
      <x:c r="Y39" s="5" t="inlineStr">
        <x:is>
          <x:t xml:space="preserve">Administrative Safeguards</x:t>
        </x:is>
      </x:c>
      <x:c r="Z39" s="28" t="inlineStr">
        <x:is>
          <x:t xml:space="preserve">https://www.ecfr.gov/current/title-45/subtitle-A/subchapter-C/part-164/section-164.308</x:t>
        </x:is>
      </x:c>
      <x:c r="AA39" s="28" t="inlineStr">
        <x:is>
          <x:t xml:space="preserve">https://www.hhs.gov/hipaa/for-professionals/security/guidance/guidance-risk-analysis/index.html</x:t>
        </x:is>
      </x:c>
      <x:c r="AB39" s="5" t="inlineStr">
        <x:is>
          <x:t xml:space="preserve">45 C.F.R. § 164.312(a)(2)(iv)</x:t>
        </x:is>
      </x:c>
      <x:c r="AC39" s="5" t="inlineStr">
        <x:is>
          <x:t xml:space="preserve">Access Control — Encryption and Decryption</x:t>
        </x:is>
      </x:c>
      <x:c r="AD39" s="5" t="inlineStr">
        <x:is>
          <x:t xml:space="preserve">Implement a mechanism to encrypt and decrypt ePHI.</x:t>
        </x:is>
      </x:c>
      <x:c r="AE39" s="5" t="inlineStr">
        <x:is>
          <x:t xml:space="preserve">Addressable implementation specification</x:t>
        </x:is>
      </x:c>
      <x:c r="AF39" s="5" t="inlineStr">
        <x:is>
          <x:t xml:space="preserve">Technical Safeguards</x:t>
        </x:is>
      </x:c>
      <x:c r="AG39" s="28" t="inlineStr">
        <x:is>
          <x:t xml:space="preserve">https://www.ecfr.gov/current/title-45/subtitle-A/subchapter-C/part-164/section-164.312</x:t>
        </x:is>
      </x:c>
      <x:c r="AH39" s="28" t="inlineStr">
        <x:is>
          <x:t xml:space="preserve">https://www.hhs.gov/hipaa/for-professionals/faq/2001/is-the-use-of-encryption-mandatory-in-the-security-rule/index.html</x:t>
        </x:is>
      </x:c>
      <x:c r="AI39" s="5" t="inlineStr">
        <x:is>
          <x:t xml:space="preserve">45 C.F.R. § 164.312(e)(2)(ii)</x:t>
        </x:is>
      </x:c>
      <x:c r="AJ39" s="5" t="inlineStr">
        <x:is>
          <x:t xml:space="preserve">Transmission Security — Encryption</x:t>
        </x:is>
      </x:c>
      <x:c r="AK39" s="5" t="inlineStr">
        <x:is>
          <x:t xml:space="preserve">Implement a mechanism to encrypt ePHI whenever deemed appropriate during electronic transmission.</x:t>
        </x:is>
      </x:c>
      <x:c r="AL39" s="5" t="inlineStr">
        <x:is>
          <x:t xml:space="preserve">Addressable implementation specification</x:t>
        </x:is>
      </x:c>
      <x:c r="AM39" s="5" t="inlineStr">
        <x:is>
          <x:t xml:space="preserve">Technical Safeguards</x:t>
        </x:is>
      </x:c>
      <x:c r="AN39" s="28" t="inlineStr">
        <x:is>
          <x:t xml:space="preserve">https://www.ecfr.gov/current/title-45/subtitle-A/subchapter-C/part-164/section-164.312</x:t>
        </x:is>
      </x:c>
      <x:c r="AO39" s="28" t="inlineStr">
        <x:is>
          <x:t xml:space="preserve">https://www.hhs.gov/hipaa/for-professionals/faq/2001/is-the-use-of-encryption-mandatory-in-the-security-rule/index.html</x:t>
        </x:is>
      </x:c>
      <x:c r="AP39" s="5" t="inlineStr">
        <x:is>
          <x:t xml:space="preserve">VMs</x:t>
        </x:is>
      </x:c>
      <x:c r="AQ39" s="5" t="inlineStr">
        <x:is>
          <x:t xml:space="preserve">Data Stores)</x:t>
        </x:is>
      </x:c>
    </x:row>
    <x:row r="40" ht="30" customHeight="1">
      <x:c r="A40" s="5" t="inlineStr">
        <x:is>
          <x:t xml:space="preserve">REQ-33-HIPAA</x:t>
        </x:is>
      </x:c>
      <x:c r="B40" s="5" t="inlineStr">
        <x:is>
          <x:t xml:space="preserve">0701.07a1Organizational.7</x:t>
        </x:is>
      </x:c>
      <x:c r="C40" s="5" t="n">
        <x:v>1</x:v>
      </x:c>
      <x:c r="D40" s="5" t="inlineStr">
        <x:is>
          <x:t xml:space="preserve">List of All Production Systems (Servers, VMs, Data Stores)</x:t>
        </x:is>
      </x:c>
      <x:c r="E40" s="5" t="inlineStr">
        <x:is>
          <x:t xml:space="preserve">Configuration</x:t>
        </x:is>
      </x:c>
      <x:c r="F40" s="5" t="inlineStr">
        <x:is>
          <x:t xml:space="preserve">HITRUST e1.csv</x:t>
        </x:is>
      </x:c>
      <x:c r="G40" s="5" t="inlineStr">
        <x:is>
          <x:t xml:space="preserve">Many:Many</x:t>
        </x:is>
      </x:c>
      <x:c r="H40" s="5" t="inlineStr">
        <x:is>
          <x:t xml:space="preserve">45 CFR § 164.308(a)(1)(ii)(A) | 45 CFR § 164.312(a)(2)(iv) | 45 CFR § 164.312(e)(2)(ii)</x:t>
        </x:is>
      </x:c>
      <x:c r="I40" s="5" t="inlineStr">
        <x:is>
          <x:t xml:space="preserve">Security Management Process — Risk Analysis | Access Control — Encryption and Decryption | Transmission Security — Encryption</x:t>
        </x:is>
      </x:c>
      <x:c r="J40" s="5" t="inlineStr">
        <x:is>
          <x:t xml:space="preserve">Best-fit composite</x:t>
        </x:is>
      </x:c>
      <x:c r="K40" s="5" t="inlineStr">
        <x:is>
          <x:t xml:space="preserve">System-inventory evidence is not explicitly named in the Security Rule, but OCR guidance treats asset inventories and system scoping as supporting accurate risk analysis and implementation of encryption safeguards.</x:t>
        </x:is>
      </x:c>
      <x:c r="L40"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M40" s="5" t="inlineStr">
        <x:is>
          <x:t xml:space="preserve">Inventory/list-of-systems evidence is supporting evidence for encryption coverage, not a standalone named HIPAA inventory mandate.</x:t>
        </x:is>
      </x:c>
      <x:c r="N40" s="5" t="inlineStr">
        <x:is>
          <x:t xml:space="preserve">0701.07a1 Organizational.7</x:t>
        </x:is>
      </x:c>
      <x:c r="O40" s="5" t="n">
        <x:v>3</x:v>
      </x:c>
      <x:c r="P40" s="5" t="n"/>
      <x:c r="Q40" s="5" t="inlineStr">
        <x:is>
          <x:t xml:space="preserve">List of All Production Systems (Servers</x:t>
        </x:is>
      </x:c>
      <x:c r="R40" s="5" t="inlineStr">
        <x:is>
          <x:t xml:space="preserve">Configuration</x:t>
        </x:is>
      </x:c>
      <x:c r="S40" s="5" t="n"/>
      <x:c r="T40" s="5" t="inlineStr">
        <x:is>
          <x:t xml:space="preserve">HITRUST e1.csv</x:t>
        </x:is>
      </x:c>
      <x:c r="U40" s="5" t="inlineStr">
        <x:is>
          <x:t xml:space="preserve">45 C.F.R. § 164.308(a)(1)(ii)(A)</x:t>
        </x:is>
      </x:c>
      <x:c r="V40" s="5" t="inlineStr">
        <x:is>
          <x:t xml:space="preserve">Security Management Process — Risk Analysis</x:t>
        </x:is>
      </x:c>
      <x:c r="W40" s="5" t="inlineStr">
        <x:is>
          <x:t xml:space="preserve">Conduct an accurate and thorough assessment of the potential risks and vulnerabilities to the confidentiality, integrity, and availability of ePHI.</x:t>
        </x:is>
      </x:c>
      <x:c r="X40" s="5" t="inlineStr">
        <x:is>
          <x:t xml:space="preserve">Required implementation specification</x:t>
        </x:is>
      </x:c>
      <x:c r="Y40" s="5" t="inlineStr">
        <x:is>
          <x:t xml:space="preserve">Administrative Safeguards</x:t>
        </x:is>
      </x:c>
      <x:c r="Z40" s="28" t="inlineStr">
        <x:is>
          <x:t xml:space="preserve">https://www.ecfr.gov/current/title-45/subtitle-A/subchapter-C/part-164/section-164.308</x:t>
        </x:is>
      </x:c>
      <x:c r="AA40" s="28" t="inlineStr">
        <x:is>
          <x:t xml:space="preserve">https://www.hhs.gov/hipaa/for-professionals/security/guidance/guidance-risk-analysis/index.html</x:t>
        </x:is>
      </x:c>
      <x:c r="AB40" s="5" t="inlineStr">
        <x:is>
          <x:t xml:space="preserve">45 C.F.R. § 164.312(a)(2)(iv)</x:t>
        </x:is>
      </x:c>
      <x:c r="AC40" s="5" t="inlineStr">
        <x:is>
          <x:t xml:space="preserve">Access Control — Encryption and Decryption</x:t>
        </x:is>
      </x:c>
      <x:c r="AD40" s="5" t="inlineStr">
        <x:is>
          <x:t xml:space="preserve">Implement a mechanism to encrypt and decrypt ePHI.</x:t>
        </x:is>
      </x:c>
      <x:c r="AE40" s="5" t="inlineStr">
        <x:is>
          <x:t xml:space="preserve">Addressable implementation specification</x:t>
        </x:is>
      </x:c>
      <x:c r="AF40" s="5" t="inlineStr">
        <x:is>
          <x:t xml:space="preserve">Technical Safeguards</x:t>
        </x:is>
      </x:c>
      <x:c r="AG40" s="28" t="inlineStr">
        <x:is>
          <x:t xml:space="preserve">https://www.ecfr.gov/current/title-45/subtitle-A/subchapter-C/part-164/section-164.312</x:t>
        </x:is>
      </x:c>
      <x:c r="AH40" s="28" t="inlineStr">
        <x:is>
          <x:t xml:space="preserve">https://www.hhs.gov/hipaa/for-professionals/faq/2001/is-the-use-of-encryption-mandatory-in-the-security-rule/index.html</x:t>
        </x:is>
      </x:c>
      <x:c r="AI40" s="5" t="inlineStr">
        <x:is>
          <x:t xml:space="preserve">45 C.F.R. § 164.312(e)(2)(ii)</x:t>
        </x:is>
      </x:c>
      <x:c r="AJ40" s="5" t="inlineStr">
        <x:is>
          <x:t xml:space="preserve">Transmission Security — Encryption</x:t>
        </x:is>
      </x:c>
      <x:c r="AK40" s="5" t="inlineStr">
        <x:is>
          <x:t xml:space="preserve">Implement a mechanism to encrypt ePHI whenever deemed appropriate during electronic transmission.</x:t>
        </x:is>
      </x:c>
      <x:c r="AL40" s="5" t="inlineStr">
        <x:is>
          <x:t xml:space="preserve">Addressable implementation specification</x:t>
        </x:is>
      </x:c>
      <x:c r="AM40" s="5" t="inlineStr">
        <x:is>
          <x:t xml:space="preserve">Technical Safeguards</x:t>
        </x:is>
      </x:c>
      <x:c r="AN40" s="28" t="inlineStr">
        <x:is>
          <x:t xml:space="preserve">https://www.ecfr.gov/current/title-45/subtitle-A/subchapter-C/part-164/section-164.312</x:t>
        </x:is>
      </x:c>
      <x:c r="AO40" s="28" t="inlineStr">
        <x:is>
          <x:t xml:space="preserve">https://www.hhs.gov/hipaa/for-professionals/faq/2001/is-the-use-of-encryption-mandatory-in-the-security-rule/index.html</x:t>
        </x:is>
      </x:c>
      <x:c r="AP40" s="5" t="inlineStr">
        <x:is>
          <x:t xml:space="preserve">VMs</x:t>
        </x:is>
      </x:c>
      <x:c r="AQ40" s="5" t="inlineStr">
        <x:is>
          <x:t xml:space="preserve">Data Stores)</x:t>
        </x:is>
      </x:c>
    </x:row>
    <x:row r="41" ht="30" customHeight="1">
      <x:c r="A41" s="5" t="inlineStr">
        <x:is>
          <x:t xml:space="preserve">REQ-33-HIPAA</x:t>
        </x:is>
      </x:c>
      <x:c r="B41" s="5" t="inlineStr">
        <x:is>
          <x:t xml:space="preserve">0701.07a1Organizational.8</x:t>
        </x:is>
      </x:c>
      <x:c r="C41" s="5" t="n">
        <x:v>1</x:v>
      </x:c>
      <x:c r="D41" s="5" t="inlineStr">
        <x:is>
          <x:t xml:space="preserve">List of All Production Systems (Servers, VMs, Data Stores)</x:t>
        </x:is>
      </x:c>
      <x:c r="E41" s="5" t="inlineStr">
        <x:is>
          <x:t xml:space="preserve">Configuration</x:t>
        </x:is>
      </x:c>
      <x:c r="F41" s="5" t="inlineStr">
        <x:is>
          <x:t xml:space="preserve">HITRUST e1.csv</x:t>
        </x:is>
      </x:c>
      <x:c r="G41" s="5" t="inlineStr">
        <x:is>
          <x:t xml:space="preserve">Many:Many</x:t>
        </x:is>
      </x:c>
      <x:c r="H41" s="5" t="inlineStr">
        <x:is>
          <x:t xml:space="preserve">45 CFR § 164.308(a)(1)(ii)(A) | 45 CFR § 164.312(a)(2)(iv) | 45 CFR § 164.312(e)(2)(ii)</x:t>
        </x:is>
      </x:c>
      <x:c r="I41" s="5" t="inlineStr">
        <x:is>
          <x:t xml:space="preserve">Security Management Process — Risk Analysis | Access Control — Encryption and Decryption | Transmission Security — Encryption</x:t>
        </x:is>
      </x:c>
      <x:c r="J41" s="5" t="inlineStr">
        <x:is>
          <x:t xml:space="preserve">Best-fit composite</x:t>
        </x:is>
      </x:c>
      <x:c r="K41" s="5" t="inlineStr">
        <x:is>
          <x:t xml:space="preserve">System-inventory evidence is not explicitly named in the Security Rule, but OCR guidance treats asset inventories and system scoping as supporting accurate risk analysis and implementation of encryption safeguards.</x:t>
        </x:is>
      </x:c>
      <x:c r="L41"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 | https://www.hhs.gov/hipaa/for-professionals/security/guidance/cybersecurity-newsletter-january-2026/index.html</x:t>
        </x:is>
      </x:c>
      <x:c r="M41" s="5" t="inlineStr">
        <x:is>
          <x:t xml:space="preserve">Inventory/list-of-systems evidence is supporting evidence for encryption coverage, not a standalone named HIPAA inventory mandate.</x:t>
        </x:is>
      </x:c>
      <x:c r="N41" s="5" t="inlineStr">
        <x:is>
          <x:t xml:space="preserve">0701.07a1 Organizational.8</x:t>
        </x:is>
      </x:c>
      <x:c r="O41" s="5" t="n">
        <x:v>3</x:v>
      </x:c>
      <x:c r="P41" s="5" t="n"/>
      <x:c r="Q41" s="5" t="inlineStr">
        <x:is>
          <x:t xml:space="preserve">List of All Production Systems (Servers</x:t>
        </x:is>
      </x:c>
      <x:c r="R41" s="5" t="inlineStr">
        <x:is>
          <x:t xml:space="preserve">Configuration</x:t>
        </x:is>
      </x:c>
      <x:c r="S41" s="5" t="n"/>
      <x:c r="T41" s="5" t="inlineStr">
        <x:is>
          <x:t xml:space="preserve">HITRUST e1.csv</x:t>
        </x:is>
      </x:c>
      <x:c r="U41" s="5" t="inlineStr">
        <x:is>
          <x:t xml:space="preserve">45 C.F.R. § 164.308(a)(1)(ii)(A)</x:t>
        </x:is>
      </x:c>
      <x:c r="V41" s="5" t="inlineStr">
        <x:is>
          <x:t xml:space="preserve">Security Management Process — Risk Analysis</x:t>
        </x:is>
      </x:c>
      <x:c r="W41" s="5" t="inlineStr">
        <x:is>
          <x:t xml:space="preserve">Conduct an accurate and thorough assessment of the potential risks and vulnerabilities to the confidentiality, integrity, and availability of ePHI.</x:t>
        </x:is>
      </x:c>
      <x:c r="X41" s="5" t="inlineStr">
        <x:is>
          <x:t xml:space="preserve">Required implementation specification</x:t>
        </x:is>
      </x:c>
      <x:c r="Y41" s="5" t="inlineStr">
        <x:is>
          <x:t xml:space="preserve">Administrative Safeguards</x:t>
        </x:is>
      </x:c>
      <x:c r="Z41" s="28" t="inlineStr">
        <x:is>
          <x:t xml:space="preserve">https://www.ecfr.gov/current/title-45/subtitle-A/subchapter-C/part-164/section-164.308</x:t>
        </x:is>
      </x:c>
      <x:c r="AA41" s="28" t="inlineStr">
        <x:is>
          <x:t xml:space="preserve">https://www.hhs.gov/hipaa/for-professionals/security/guidance/guidance-risk-analysis/index.html</x:t>
        </x:is>
      </x:c>
      <x:c r="AB41" s="5" t="inlineStr">
        <x:is>
          <x:t xml:space="preserve">45 C.F.R. § 164.312(a)(2)(iv)</x:t>
        </x:is>
      </x:c>
      <x:c r="AC41" s="5" t="inlineStr">
        <x:is>
          <x:t xml:space="preserve">Access Control — Encryption and Decryption</x:t>
        </x:is>
      </x:c>
      <x:c r="AD41" s="5" t="inlineStr">
        <x:is>
          <x:t xml:space="preserve">Implement a mechanism to encrypt and decrypt ePHI.</x:t>
        </x:is>
      </x:c>
      <x:c r="AE41" s="5" t="inlineStr">
        <x:is>
          <x:t xml:space="preserve">Addressable implementation specification</x:t>
        </x:is>
      </x:c>
      <x:c r="AF41" s="5" t="inlineStr">
        <x:is>
          <x:t xml:space="preserve">Technical Safeguards</x:t>
        </x:is>
      </x:c>
      <x:c r="AG41" s="28" t="inlineStr">
        <x:is>
          <x:t xml:space="preserve">https://www.ecfr.gov/current/title-45/subtitle-A/subchapter-C/part-164/section-164.312</x:t>
        </x:is>
      </x:c>
      <x:c r="AH41" s="28" t="inlineStr">
        <x:is>
          <x:t xml:space="preserve">https://www.hhs.gov/hipaa/for-professionals/faq/2001/is-the-use-of-encryption-mandatory-in-the-security-rule/index.html</x:t>
        </x:is>
      </x:c>
      <x:c r="AI41" s="5" t="inlineStr">
        <x:is>
          <x:t xml:space="preserve">45 C.F.R. § 164.312(e)(2)(ii)</x:t>
        </x:is>
      </x:c>
      <x:c r="AJ41" s="5" t="inlineStr">
        <x:is>
          <x:t xml:space="preserve">Transmission Security — Encryption</x:t>
        </x:is>
      </x:c>
      <x:c r="AK41" s="5" t="inlineStr">
        <x:is>
          <x:t xml:space="preserve">Implement a mechanism to encrypt ePHI whenever deemed appropriate during electronic transmission.</x:t>
        </x:is>
      </x:c>
      <x:c r="AL41" s="5" t="inlineStr">
        <x:is>
          <x:t xml:space="preserve">Addressable implementation specification</x:t>
        </x:is>
      </x:c>
      <x:c r="AM41" s="5" t="inlineStr">
        <x:is>
          <x:t xml:space="preserve">Technical Safeguards</x:t>
        </x:is>
      </x:c>
      <x:c r="AN41" s="28" t="inlineStr">
        <x:is>
          <x:t xml:space="preserve">https://www.ecfr.gov/current/title-45/subtitle-A/subchapter-C/part-164/section-164.312</x:t>
        </x:is>
      </x:c>
      <x:c r="AO41" s="28" t="inlineStr">
        <x:is>
          <x:t xml:space="preserve">https://www.hhs.gov/hipaa/for-professionals/faq/2001/is-the-use-of-encryption-mandatory-in-the-security-rule/index.html</x:t>
        </x:is>
      </x:c>
      <x:c r="AP41" s="5" t="inlineStr">
        <x:is>
          <x:t xml:space="preserve">VMs</x:t>
        </x:is>
      </x:c>
      <x:c r="AQ41" s="5" t="inlineStr">
        <x:is>
          <x:t xml:space="preserve">Data Stores)</x:t>
        </x:is>
      </x:c>
    </x:row>
    <x:row r="42" ht="30" customHeight="1">
      <x:c r="A42" s="5" t="inlineStr">
        <x:is>
          <x:t xml:space="preserve">REQ-33-HIPAA</x:t>
        </x:is>
      </x:c>
      <x:c r="B42" s="5" t="inlineStr">
        <x:is>
          <x:t xml:space="preserve">0862.09m2Organizational.8</x:t>
        </x:is>
      </x:c>
      <x:c r="C42" s="5" t="n">
        <x:v>1</x:v>
      </x:c>
      <x:c r="D42" s="5" t="inlineStr">
        <x:is>
          <x:t xml:space="preserve">Encryption In Transit (Ex. TLS Protocols)</x:t>
        </x:is>
      </x:c>
      <x:c r="E42" s="5" t="inlineStr">
        <x:is>
          <x:t xml:space="preserve">Configuration</x:t>
        </x:is>
      </x:c>
      <x:c r="F42" s="5" t="inlineStr">
        <x:is>
          <x:t xml:space="preserve">HITRUST e1.csv</x:t>
        </x:is>
      </x:c>
      <x:c r="G42" s="5" t="inlineStr">
        <x:is>
          <x:t xml:space="preserve">Many:Many</x:t>
        </x:is>
      </x:c>
      <x:c r="H42" s="5" t="inlineStr">
        <x:is>
          <x:t xml:space="preserve">45 CFR § 164.312(e)(2)(ii)</x:t>
        </x:is>
      </x:c>
      <x:c r="I42" s="5" t="inlineStr">
        <x:is>
          <x:t xml:space="preserve">Transmission Security — Encryption</x:t>
        </x:is>
      </x:c>
      <x:c r="J42" s="5" t="inlineStr">
        <x:is>
          <x:t xml:space="preserve">Direct</x:t>
        </x:is>
      </x:c>
      <x:c r="K42" s="5" t="inlineStr">
        <x:is>
          <x:t xml:space="preserve">Transmission-encryption evidence aligns directly to the transmission-security encryption implementation specification.</x:t>
        </x:is>
      </x:c>
      <x:c r="L42"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2" s="5" t="inlineStr">
        <x:is>
          <x:t xml:space="preserve">Used when the shared action item is explicitly in-transit encryption.</x:t>
        </x:is>
      </x:c>
      <x:c r="N42" s="5" t="inlineStr">
        <x:is>
          <x:t xml:space="preserve">0862.09m2 Organizational.8</x:t>
        </x:is>
      </x:c>
      <x:c r="O42" s="5" t="n">
        <x:v>1</x:v>
      </x:c>
      <x:c r="P42" s="5" t="n"/>
      <x:c r="Q42" s="5" t="inlineStr">
        <x:is>
          <x:t xml:space="preserve">Encryption In Transit (Ex. TLS Protocols)</x:t>
        </x:is>
      </x:c>
      <x:c r="R42" s="5" t="inlineStr">
        <x:is>
          <x:t xml:space="preserve">Configuration</x:t>
        </x:is>
      </x:c>
      <x:c r="S42" s="5" t="n"/>
      <x:c r="T42" s="5" t="inlineStr">
        <x:is>
          <x:t xml:space="preserve">HITRUST e1.csv</x:t>
        </x:is>
      </x:c>
      <x:c r="U42" s="5" t="inlineStr">
        <x:is>
          <x:t xml:space="preserve">45 C.F.R. § 164.312(e)(2)(ii)</x:t>
        </x:is>
      </x:c>
      <x:c r="V42" s="5" t="inlineStr">
        <x:is>
          <x:t xml:space="preserve">Transmission Security — Encryption</x:t>
        </x:is>
      </x:c>
      <x:c r="W42" s="5" t="inlineStr">
        <x:is>
          <x:t xml:space="preserve">Implement a mechanism to encrypt ePHI whenever deemed appropriate during electronic transmission.</x:t>
        </x:is>
      </x:c>
      <x:c r="X42" s="5" t="inlineStr">
        <x:is>
          <x:t xml:space="preserve">Addressable implementation specification</x:t>
        </x:is>
      </x:c>
      <x:c r="Y42" s="5" t="inlineStr">
        <x:is>
          <x:t xml:space="preserve">Technical Safeguards</x:t>
        </x:is>
      </x:c>
      <x:c r="Z42" s="28" t="inlineStr">
        <x:is>
          <x:t xml:space="preserve">https://www.ecfr.gov/current/title-45/subtitle-A/subchapter-C/part-164/section-164.312</x:t>
        </x:is>
      </x:c>
      <x:c r="AA42" s="28" t="inlineStr">
        <x:is>
          <x:t xml:space="preserve">https://www.hhs.gov/hipaa/for-professionals/faq/2001/is-the-use-of-encryption-mandatory-in-the-security-rule/index.html</x:t>
        </x:is>
      </x:c>
      <x:c r="AB42" s="5" t="n"/>
      <x:c r="AC42" s="5" t="n"/>
      <x:c r="AD42" s="5" t="n"/>
      <x:c r="AE42" s="5" t="n"/>
      <x:c r="AF42" s="5" t="n"/>
      <x:c r="AG42" s="5" t="n"/>
      <x:c r="AH42" s="5" t="n"/>
      <x:c r="AI42" s="5" t="n"/>
      <x:c r="AJ42" s="5" t="n"/>
      <x:c r="AK42" s="5" t="n"/>
      <x:c r="AL42" s="5" t="n"/>
      <x:c r="AM42" s="5" t="n"/>
      <x:c r="AN42" s="5" t="n"/>
      <x:c r="AO42" s="5" t="n"/>
      <x:c r="AP42" s="5" t="n"/>
      <x:c r="AQ42" s="5" t="n"/>
    </x:row>
    <x:row r="43" ht="30" customHeight="1">
      <x:c r="A43" s="5" t="inlineStr">
        <x:is>
          <x:t xml:space="preserve">REQ-33-HIPAA</x:t>
        </x:is>
      </x:c>
      <x:c r="B43" s="5" t="inlineStr">
        <x:is>
          <x:t xml:space="preserve">0903.10f1Organizational.1.a</x:t>
        </x:is>
      </x:c>
      <x:c r="C43" s="5" t="n">
        <x:v>1</x:v>
      </x:c>
      <x:c r="D43" s="5" t="inlineStr">
        <x:is>
          <x:t xml:space="preserve">Encryption In Transit (Ex. TLS Protocols)</x:t>
        </x:is>
      </x:c>
      <x:c r="E43" s="5" t="inlineStr">
        <x:is>
          <x:t xml:space="preserve">Configuration</x:t>
        </x:is>
      </x:c>
      <x:c r="F43" s="5" t="inlineStr">
        <x:is>
          <x:t xml:space="preserve">HITRUST e1.csv</x:t>
        </x:is>
      </x:c>
      <x:c r="G43" s="5" t="inlineStr">
        <x:is>
          <x:t xml:space="preserve">Many:Many</x:t>
        </x:is>
      </x:c>
      <x:c r="H43" s="5" t="inlineStr">
        <x:is>
          <x:t xml:space="preserve">45 CFR § 164.312(e)(2)(ii)</x:t>
        </x:is>
      </x:c>
      <x:c r="I43" s="5" t="inlineStr">
        <x:is>
          <x:t xml:space="preserve">Transmission Security — Encryption</x:t>
        </x:is>
      </x:c>
      <x:c r="J43" s="5" t="inlineStr">
        <x:is>
          <x:t xml:space="preserve">Direct</x:t>
        </x:is>
      </x:c>
      <x:c r="K43" s="5" t="inlineStr">
        <x:is>
          <x:t xml:space="preserve">Transmission-encryption evidence aligns directly to the transmission-security encryption implementation specification.</x:t>
        </x:is>
      </x:c>
      <x:c r="L43"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3" s="5" t="inlineStr">
        <x:is>
          <x:t xml:space="preserve">Used when the shared action item is explicitly in-transit encryption.</x:t>
        </x:is>
      </x:c>
      <x:c r="N43" s="5" t="inlineStr">
        <x:is>
          <x:t xml:space="preserve">0903.10f1 Organizational.1.a</x:t>
        </x:is>
      </x:c>
      <x:c r="O43" s="5" t="n">
        <x:v>1</x:v>
      </x:c>
      <x:c r="P43" s="5" t="n"/>
      <x:c r="Q43" s="5" t="inlineStr">
        <x:is>
          <x:t xml:space="preserve">Encryption In Transit (Ex. TLS Protocols)</x:t>
        </x:is>
      </x:c>
      <x:c r="R43" s="5" t="inlineStr">
        <x:is>
          <x:t xml:space="preserve">Configuration</x:t>
        </x:is>
      </x:c>
      <x:c r="S43" s="5" t="n"/>
      <x:c r="T43" s="5" t="inlineStr">
        <x:is>
          <x:t xml:space="preserve">HITRUST e1.csv</x:t>
        </x:is>
      </x:c>
      <x:c r="U43" s="5" t="inlineStr">
        <x:is>
          <x:t xml:space="preserve">45 C.F.R. § 164.312(e)(2)(ii)</x:t>
        </x:is>
      </x:c>
      <x:c r="V43" s="5" t="inlineStr">
        <x:is>
          <x:t xml:space="preserve">Transmission Security — Encryption</x:t>
        </x:is>
      </x:c>
      <x:c r="W43" s="5" t="inlineStr">
        <x:is>
          <x:t xml:space="preserve">Implement a mechanism to encrypt ePHI whenever deemed appropriate during electronic transmission.</x:t>
        </x:is>
      </x:c>
      <x:c r="X43" s="5" t="inlineStr">
        <x:is>
          <x:t xml:space="preserve">Addressable implementation specification</x:t>
        </x:is>
      </x:c>
      <x:c r="Y43" s="5" t="inlineStr">
        <x:is>
          <x:t xml:space="preserve">Technical Safeguards</x:t>
        </x:is>
      </x:c>
      <x:c r="Z43" s="28" t="inlineStr">
        <x:is>
          <x:t xml:space="preserve">https://www.ecfr.gov/current/title-45/subtitle-A/subchapter-C/part-164/section-164.312</x:t>
        </x:is>
      </x:c>
      <x:c r="AA43" s="28" t="inlineStr">
        <x:is>
          <x:t xml:space="preserve">https://www.hhs.gov/hipaa/for-professionals/faq/2001/is-the-use-of-encryption-mandatory-in-the-security-rule/index.html</x:t>
        </x:is>
      </x:c>
      <x:c r="AB43" s="5" t="n"/>
      <x:c r="AC43" s="5" t="n"/>
      <x:c r="AD43" s="5" t="n"/>
      <x:c r="AE43" s="5" t="n"/>
      <x:c r="AF43" s="5" t="n"/>
      <x:c r="AG43" s="5" t="n"/>
      <x:c r="AH43" s="5" t="n"/>
      <x:c r="AI43" s="5" t="n"/>
      <x:c r="AJ43" s="5" t="n"/>
      <x:c r="AK43" s="5" t="n"/>
      <x:c r="AL43" s="5" t="n"/>
      <x:c r="AM43" s="5" t="n"/>
      <x:c r="AN43" s="5" t="n"/>
      <x:c r="AO43" s="5" t="n"/>
      <x:c r="AP43" s="5" t="n"/>
      <x:c r="AQ43" s="5" t="n"/>
    </x:row>
    <x:row r="44" ht="30" customHeight="1">
      <x:c r="A44" s="5" t="inlineStr">
        <x:is>
          <x:t xml:space="preserve">REQ-33-HIPAA</x:t>
        </x:is>
      </x:c>
      <x:c r="B44" s="5" t="inlineStr">
        <x:is>
          <x:t xml:space="preserve">0913.09s1Organizational.5</x:t>
        </x:is>
      </x:c>
      <x:c r="C44" s="5" t="n">
        <x:v>1</x:v>
      </x:c>
      <x:c r="D44" s="5" t="inlineStr">
        <x:is>
          <x:t xml:space="preserve">Encryption In Transit (Ex. TLS Protocols)</x:t>
        </x:is>
      </x:c>
      <x:c r="E44" s="5" t="inlineStr">
        <x:is>
          <x:t xml:space="preserve">Configuration</x:t>
        </x:is>
      </x:c>
      <x:c r="F44" s="5" t="inlineStr">
        <x:is>
          <x:t xml:space="preserve">HITRUST e1.csv</x:t>
        </x:is>
      </x:c>
      <x:c r="G44" s="5" t="inlineStr">
        <x:is>
          <x:t xml:space="preserve">Many:Many</x:t>
        </x:is>
      </x:c>
      <x:c r="H44" s="5" t="inlineStr">
        <x:is>
          <x:t xml:space="preserve">45 CFR § 164.312(e)(2)(ii)</x:t>
        </x:is>
      </x:c>
      <x:c r="I44" s="5" t="inlineStr">
        <x:is>
          <x:t xml:space="preserve">Transmission Security — Encryption</x:t>
        </x:is>
      </x:c>
      <x:c r="J44" s="5" t="inlineStr">
        <x:is>
          <x:t xml:space="preserve">Direct</x:t>
        </x:is>
      </x:c>
      <x:c r="K44" s="5" t="inlineStr">
        <x:is>
          <x:t xml:space="preserve">Transmission-encryption evidence aligns directly to the transmission-security encryption implementation specification.</x:t>
        </x:is>
      </x:c>
      <x:c r="L44"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4" s="5" t="inlineStr">
        <x:is>
          <x:t xml:space="preserve">Used when the shared action item is explicitly in-transit encryption.</x:t>
        </x:is>
      </x:c>
      <x:c r="N44" s="5" t="inlineStr">
        <x:is>
          <x:t xml:space="preserve">0913.09s1 Organizational.5</x:t>
        </x:is>
      </x:c>
      <x:c r="O44" s="5" t="n">
        <x:v>1</x:v>
      </x:c>
      <x:c r="P44" s="5" t="n"/>
      <x:c r="Q44" s="5" t="inlineStr">
        <x:is>
          <x:t xml:space="preserve">Encryption In Transit (Ex. TLS Protocols)</x:t>
        </x:is>
      </x:c>
      <x:c r="R44" s="5" t="inlineStr">
        <x:is>
          <x:t xml:space="preserve">Configuration</x:t>
        </x:is>
      </x:c>
      <x:c r="S44" s="5" t="n"/>
      <x:c r="T44" s="5" t="inlineStr">
        <x:is>
          <x:t xml:space="preserve">HITRUST e1.csv</x:t>
        </x:is>
      </x:c>
      <x:c r="U44" s="5" t="inlineStr">
        <x:is>
          <x:t xml:space="preserve">45 C.F.R. § 164.312(e)(2)(ii)</x:t>
        </x:is>
      </x:c>
      <x:c r="V44" s="5" t="inlineStr">
        <x:is>
          <x:t xml:space="preserve">Transmission Security — Encryption</x:t>
        </x:is>
      </x:c>
      <x:c r="W44" s="5" t="inlineStr">
        <x:is>
          <x:t xml:space="preserve">Implement a mechanism to encrypt ePHI whenever deemed appropriate during electronic transmission.</x:t>
        </x:is>
      </x:c>
      <x:c r="X44" s="5" t="inlineStr">
        <x:is>
          <x:t xml:space="preserve">Addressable implementation specification</x:t>
        </x:is>
      </x:c>
      <x:c r="Y44" s="5" t="inlineStr">
        <x:is>
          <x:t xml:space="preserve">Technical Safeguards</x:t>
        </x:is>
      </x:c>
      <x:c r="Z44" s="28" t="inlineStr">
        <x:is>
          <x:t xml:space="preserve">https://www.ecfr.gov/current/title-45/subtitle-A/subchapter-C/part-164/section-164.312</x:t>
        </x:is>
      </x:c>
      <x:c r="AA44" s="28" t="inlineStr">
        <x:is>
          <x:t xml:space="preserve">https://www.hhs.gov/hipaa/for-professionals/faq/2001/is-the-use-of-encryption-mandatory-in-the-security-rule/index.html</x:t>
        </x:is>
      </x:c>
      <x:c r="AB44" s="5" t="n"/>
      <x:c r="AC44" s="5" t="n"/>
      <x:c r="AD44" s="5" t="n"/>
      <x:c r="AE44" s="5" t="n"/>
      <x:c r="AF44" s="5" t="n"/>
      <x:c r="AG44" s="5" t="n"/>
      <x:c r="AH44" s="5" t="n"/>
      <x:c r="AI44" s="5" t="n"/>
      <x:c r="AJ44" s="5" t="n"/>
      <x:c r="AK44" s="5" t="n"/>
      <x:c r="AL44" s="5" t="n"/>
      <x:c r="AM44" s="5" t="n"/>
      <x:c r="AN44" s="5" t="n"/>
      <x:c r="AO44" s="5" t="n"/>
      <x:c r="AP44" s="5" t="n"/>
      <x:c r="AQ44" s="5" t="n"/>
    </x:row>
    <x:row r="45" ht="30" customHeight="1">
      <x:c r="A45" s="5" t="inlineStr">
        <x:is>
          <x:t xml:space="preserve">REQ-33-HIPAA</x:t>
        </x:is>
      </x:c>
      <x:c r="B45" s="5" t="inlineStr">
        <x:is>
          <x:t xml:space="preserve">0928.09v2Organizational.1</x:t>
        </x:is>
      </x:c>
      <x:c r="C45" s="5" t="n">
        <x:v>1</x:v>
      </x:c>
      <x:c r="D45" s="5" t="inlineStr">
        <x:is>
          <x:t xml:space="preserve">Encryption In Transit (Ex. TLS Protocols)</x:t>
        </x:is>
      </x:c>
      <x:c r="E45" s="5" t="inlineStr">
        <x:is>
          <x:t xml:space="preserve">Configuration</x:t>
        </x:is>
      </x:c>
      <x:c r="F45" s="5" t="inlineStr">
        <x:is>
          <x:t xml:space="preserve">HITRUST e1.csv</x:t>
        </x:is>
      </x:c>
      <x:c r="G45" s="5" t="inlineStr">
        <x:is>
          <x:t xml:space="preserve">Many:Many</x:t>
        </x:is>
      </x:c>
      <x:c r="H45" s="5" t="inlineStr">
        <x:is>
          <x:t xml:space="preserve">45 CFR § 164.312(e)(2)(ii)</x:t>
        </x:is>
      </x:c>
      <x:c r="I45" s="5" t="inlineStr">
        <x:is>
          <x:t xml:space="preserve">Transmission Security — Encryption</x:t>
        </x:is>
      </x:c>
      <x:c r="J45" s="5" t="inlineStr">
        <x:is>
          <x:t xml:space="preserve">Direct</x:t>
        </x:is>
      </x:c>
      <x:c r="K45" s="5" t="inlineStr">
        <x:is>
          <x:t xml:space="preserve">Transmission-encryption evidence aligns directly to the transmission-security encryption implementation specification.</x:t>
        </x:is>
      </x:c>
      <x:c r="L45"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5" s="5" t="inlineStr">
        <x:is>
          <x:t xml:space="preserve">Used when the shared action item is explicitly in-transit encryption.</x:t>
        </x:is>
      </x:c>
      <x:c r="N45" s="5" t="inlineStr">
        <x:is>
          <x:t xml:space="preserve">0928.09v2 Organizational.1</x:t>
        </x:is>
      </x:c>
      <x:c r="O45" s="5" t="n">
        <x:v>1</x:v>
      </x:c>
      <x:c r="P45" s="5" t="n"/>
      <x:c r="Q45" s="5" t="inlineStr">
        <x:is>
          <x:t xml:space="preserve">Encryption In Transit (Ex. TLS Protocols)</x:t>
        </x:is>
      </x:c>
      <x:c r="R45" s="5" t="inlineStr">
        <x:is>
          <x:t xml:space="preserve">Configuration</x:t>
        </x:is>
      </x:c>
      <x:c r="S45" s="5" t="n"/>
      <x:c r="T45" s="5" t="inlineStr">
        <x:is>
          <x:t xml:space="preserve">HITRUST e1.csv</x:t>
        </x:is>
      </x:c>
      <x:c r="U45" s="5" t="inlineStr">
        <x:is>
          <x:t xml:space="preserve">45 C.F.R. § 164.312(e)(2)(ii)</x:t>
        </x:is>
      </x:c>
      <x:c r="V45" s="5" t="inlineStr">
        <x:is>
          <x:t xml:space="preserve">Transmission Security — Encryption</x:t>
        </x:is>
      </x:c>
      <x:c r="W45" s="5" t="inlineStr">
        <x:is>
          <x:t xml:space="preserve">Implement a mechanism to encrypt ePHI whenever deemed appropriate during electronic transmission.</x:t>
        </x:is>
      </x:c>
      <x:c r="X45" s="5" t="inlineStr">
        <x:is>
          <x:t xml:space="preserve">Addressable implementation specification</x:t>
        </x:is>
      </x:c>
      <x:c r="Y45" s="5" t="inlineStr">
        <x:is>
          <x:t xml:space="preserve">Technical Safeguards</x:t>
        </x:is>
      </x:c>
      <x:c r="Z45" s="28" t="inlineStr">
        <x:is>
          <x:t xml:space="preserve">https://www.ecfr.gov/current/title-45/subtitle-A/subchapter-C/part-164/section-164.312</x:t>
        </x:is>
      </x:c>
      <x:c r="AA45" s="28" t="inlineStr">
        <x:is>
          <x:t xml:space="preserve">https://www.hhs.gov/hipaa/for-professionals/faq/2001/is-the-use-of-encryption-mandatory-in-the-security-rule/index.html</x:t>
        </x:is>
      </x:c>
      <x:c r="AB45" s="5" t="n"/>
      <x:c r="AC45" s="5" t="n"/>
      <x:c r="AD45" s="5" t="n"/>
      <x:c r="AE45" s="5" t="n"/>
      <x:c r="AF45" s="5" t="n"/>
      <x:c r="AG45" s="5" t="n"/>
      <x:c r="AH45" s="5" t="n"/>
      <x:c r="AI45" s="5" t="n"/>
      <x:c r="AJ45" s="5" t="n"/>
      <x:c r="AK45" s="5" t="n"/>
      <x:c r="AL45" s="5" t="n"/>
      <x:c r="AM45" s="5" t="n"/>
      <x:c r="AN45" s="5" t="n"/>
      <x:c r="AO45" s="5" t="n"/>
      <x:c r="AP45" s="5" t="n"/>
      <x:c r="AQ45" s="5" t="n"/>
    </x:row>
    <x:row r="46" ht="30" customHeight="1">
      <x:c r="A46" s="5" t="inlineStr">
        <x:is>
          <x:t xml:space="preserve">REQ-33-HIPAA</x:t>
        </x:is>
      </x:c>
      <x:c r="B46" s="5" t="inlineStr">
        <x:is>
          <x:t xml:space="preserve">0945.09y1Organizational.3</x:t>
        </x:is>
      </x:c>
      <x:c r="C46" s="5" t="n">
        <x:v>1</x:v>
      </x:c>
      <x:c r="D46" s="5" t="inlineStr">
        <x:is>
          <x:t xml:space="preserve">Encryption In Transit (Ex. TLS Protocols)</x:t>
        </x:is>
      </x:c>
      <x:c r="E46" s="5" t="inlineStr">
        <x:is>
          <x:t xml:space="preserve">Configuration</x:t>
        </x:is>
      </x:c>
      <x:c r="F46" s="5" t="inlineStr">
        <x:is>
          <x:t xml:space="preserve">HITRUST e1.csv</x:t>
        </x:is>
      </x:c>
      <x:c r="G46" s="5" t="inlineStr">
        <x:is>
          <x:t xml:space="preserve">Many:Many</x:t>
        </x:is>
      </x:c>
      <x:c r="H46" s="5" t="inlineStr">
        <x:is>
          <x:t xml:space="preserve">45 CFR § 164.312(e)(2)(ii)</x:t>
        </x:is>
      </x:c>
      <x:c r="I46" s="5" t="inlineStr">
        <x:is>
          <x:t xml:space="preserve">Transmission Security — Encryption</x:t>
        </x:is>
      </x:c>
      <x:c r="J46" s="5" t="inlineStr">
        <x:is>
          <x:t xml:space="preserve">Direct</x:t>
        </x:is>
      </x:c>
      <x:c r="K46" s="5" t="inlineStr">
        <x:is>
          <x:t xml:space="preserve">Transmission-encryption evidence aligns directly to the transmission-security encryption implementation specification.</x:t>
        </x:is>
      </x:c>
      <x:c r="L46"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6" s="5" t="inlineStr">
        <x:is>
          <x:t xml:space="preserve">Used when the shared action item is explicitly in-transit encryption.</x:t>
        </x:is>
      </x:c>
      <x:c r="N46" s="5" t="inlineStr">
        <x:is>
          <x:t xml:space="preserve">0945.09y1 Organizational.3</x:t>
        </x:is>
      </x:c>
      <x:c r="O46" s="5" t="n">
        <x:v>1</x:v>
      </x:c>
      <x:c r="P46" s="5" t="n"/>
      <x:c r="Q46" s="5" t="inlineStr">
        <x:is>
          <x:t xml:space="preserve">Encryption In Transit (Ex. TLS Protocols)</x:t>
        </x:is>
      </x:c>
      <x:c r="R46" s="5" t="inlineStr">
        <x:is>
          <x:t xml:space="preserve">Configuration</x:t>
        </x:is>
      </x:c>
      <x:c r="S46" s="5" t="n"/>
      <x:c r="T46" s="5" t="inlineStr">
        <x:is>
          <x:t xml:space="preserve">HITRUST e1.csv</x:t>
        </x:is>
      </x:c>
      <x:c r="U46" s="5" t="inlineStr">
        <x:is>
          <x:t xml:space="preserve">45 C.F.R. § 164.312(e)(2)(ii)</x:t>
        </x:is>
      </x:c>
      <x:c r="V46" s="5" t="inlineStr">
        <x:is>
          <x:t xml:space="preserve">Transmission Security — Encryption</x:t>
        </x:is>
      </x:c>
      <x:c r="W46" s="5" t="inlineStr">
        <x:is>
          <x:t xml:space="preserve">Implement a mechanism to encrypt ePHI whenever deemed appropriate during electronic transmission.</x:t>
        </x:is>
      </x:c>
      <x:c r="X46" s="5" t="inlineStr">
        <x:is>
          <x:t xml:space="preserve">Addressable implementation specification</x:t>
        </x:is>
      </x:c>
      <x:c r="Y46" s="5" t="inlineStr">
        <x:is>
          <x:t xml:space="preserve">Technical Safeguards</x:t>
        </x:is>
      </x:c>
      <x:c r="Z46" s="28" t="inlineStr">
        <x:is>
          <x:t xml:space="preserve">https://www.ecfr.gov/current/title-45/subtitle-A/subchapter-C/part-164/section-164.312</x:t>
        </x:is>
      </x:c>
      <x:c r="AA46" s="28" t="inlineStr">
        <x:is>
          <x:t xml:space="preserve">https://www.hhs.gov/hipaa/for-professionals/faq/2001/is-the-use-of-encryption-mandatory-in-the-security-rule/index.html</x:t>
        </x:is>
      </x:c>
      <x:c r="AB46" s="5" t="n"/>
      <x:c r="AC46" s="5" t="n"/>
      <x:c r="AD46" s="5" t="n"/>
      <x:c r="AE46" s="5" t="n"/>
      <x:c r="AF46" s="5" t="n"/>
      <x:c r="AG46" s="5" t="n"/>
      <x:c r="AH46" s="5" t="n"/>
      <x:c r="AI46" s="5" t="n"/>
      <x:c r="AJ46" s="5" t="n"/>
      <x:c r="AK46" s="5" t="n"/>
      <x:c r="AL46" s="5" t="n"/>
      <x:c r="AM46" s="5" t="n"/>
      <x:c r="AN46" s="5" t="n"/>
      <x:c r="AO46" s="5" t="n"/>
      <x:c r="AP46" s="5" t="n"/>
      <x:c r="AQ46" s="5" t="n"/>
    </x:row>
    <x:row r="47" ht="30" customHeight="1">
      <x:c r="A47" s="5" t="inlineStr">
        <x:is>
          <x:t xml:space="preserve">REQ-33-HIPAA</x:t>
        </x:is>
      </x:c>
      <x:c r="B47" s="5" t="inlineStr">
        <x:is>
          <x:t xml:space="preserve">0954.10d1System.1</x:t>
        </x:is>
      </x:c>
      <x:c r="C47" s="5" t="n">
        <x:v>1</x:v>
      </x:c>
      <x:c r="D47" s="5" t="inlineStr">
        <x:is>
          <x:t xml:space="preserve">Encryption In Transit (Ex. TLS Protocols)</x:t>
        </x:is>
      </x:c>
      <x:c r="E47" s="5" t="inlineStr">
        <x:is>
          <x:t xml:space="preserve">Configuration</x:t>
        </x:is>
      </x:c>
      <x:c r="F47" s="5" t="inlineStr">
        <x:is>
          <x:t xml:space="preserve">HITRUST e1.csv</x:t>
        </x:is>
      </x:c>
      <x:c r="G47" s="5" t="inlineStr">
        <x:is>
          <x:t xml:space="preserve">Many:Many</x:t>
        </x:is>
      </x:c>
      <x:c r="H47" s="5" t="inlineStr">
        <x:is>
          <x:t xml:space="preserve">45 CFR § 164.312(e)(2)(ii)</x:t>
        </x:is>
      </x:c>
      <x:c r="I47" s="5" t="inlineStr">
        <x:is>
          <x:t xml:space="preserve">Transmission Security — Encryption</x:t>
        </x:is>
      </x:c>
      <x:c r="J47" s="5" t="inlineStr">
        <x:is>
          <x:t xml:space="preserve">Direct</x:t>
        </x:is>
      </x:c>
      <x:c r="K47" s="5" t="inlineStr">
        <x:is>
          <x:t xml:space="preserve">Transmission-encryption evidence aligns directly to the transmission-security encryption implementation specification.</x:t>
        </x:is>
      </x:c>
      <x:c r="L47"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7" s="5" t="inlineStr">
        <x:is>
          <x:t xml:space="preserve">Used when the shared action item is explicitly in-transit encryption.</x:t>
        </x:is>
      </x:c>
      <x:c r="N47" s="5" t="inlineStr">
        <x:is>
          <x:t xml:space="preserve">0954.10d1 System.1</x:t>
        </x:is>
      </x:c>
      <x:c r="O47" s="5" t="n">
        <x:v>1</x:v>
      </x:c>
      <x:c r="P47" s="5" t="n"/>
      <x:c r="Q47" s="5" t="inlineStr">
        <x:is>
          <x:t xml:space="preserve">Encryption In Transit (Ex. TLS Protocols)</x:t>
        </x:is>
      </x:c>
      <x:c r="R47" s="5" t="inlineStr">
        <x:is>
          <x:t xml:space="preserve">Configuration</x:t>
        </x:is>
      </x:c>
      <x:c r="S47" s="5" t="n"/>
      <x:c r="T47" s="5" t="inlineStr">
        <x:is>
          <x:t xml:space="preserve">HITRUST e1.csv</x:t>
        </x:is>
      </x:c>
      <x:c r="U47" s="5" t="inlineStr">
        <x:is>
          <x:t xml:space="preserve">45 C.F.R. § 164.312(e)(2)(ii)</x:t>
        </x:is>
      </x:c>
      <x:c r="V47" s="5" t="inlineStr">
        <x:is>
          <x:t xml:space="preserve">Transmission Security — Encryption</x:t>
        </x:is>
      </x:c>
      <x:c r="W47" s="5" t="inlineStr">
        <x:is>
          <x:t xml:space="preserve">Implement a mechanism to encrypt ePHI whenever deemed appropriate during electronic transmission.</x:t>
        </x:is>
      </x:c>
      <x:c r="X47" s="5" t="inlineStr">
        <x:is>
          <x:t xml:space="preserve">Addressable implementation specification</x:t>
        </x:is>
      </x:c>
      <x:c r="Y47" s="5" t="inlineStr">
        <x:is>
          <x:t xml:space="preserve">Technical Safeguards</x:t>
        </x:is>
      </x:c>
      <x:c r="Z47" s="28" t="inlineStr">
        <x:is>
          <x:t xml:space="preserve">https://www.ecfr.gov/current/title-45/subtitle-A/subchapter-C/part-164/section-164.312</x:t>
        </x:is>
      </x:c>
      <x:c r="AA47" s="28" t="inlineStr">
        <x:is>
          <x:t xml:space="preserve">https://www.hhs.gov/hipaa/for-professionals/faq/2001/is-the-use-of-encryption-mandatory-in-the-security-rule/index.html</x:t>
        </x:is>
      </x:c>
      <x:c r="AB47" s="5" t="n"/>
      <x:c r="AC47" s="5" t="n"/>
      <x:c r="AD47" s="5" t="n"/>
      <x:c r="AE47" s="5" t="n"/>
      <x:c r="AF47" s="5" t="n"/>
      <x:c r="AG47" s="5" t="n"/>
      <x:c r="AH47" s="5" t="n"/>
      <x:c r="AI47" s="5" t="n"/>
      <x:c r="AJ47" s="5" t="n"/>
      <x:c r="AK47" s="5" t="n"/>
      <x:c r="AL47" s="5" t="n"/>
      <x:c r="AM47" s="5" t="n"/>
      <x:c r="AN47" s="5" t="n"/>
      <x:c r="AO47" s="5" t="n"/>
      <x:c r="AP47" s="5" t="n"/>
      <x:c r="AQ47" s="5" t="n"/>
    </x:row>
    <x:row r="48" ht="30" customHeight="1">
      <x:c r="A48" s="5" t="inlineStr">
        <x:is>
          <x:t xml:space="preserve">REQ-33-HIPAA</x:t>
        </x:is>
      </x:c>
      <x:c r="B48" s="5" t="inlineStr">
        <x:is>
          <x:t xml:space="preserve">1013.01r1System.2</x:t>
        </x:is>
      </x:c>
      <x:c r="C48" s="5" t="n">
        <x:v>1</x:v>
      </x:c>
      <x:c r="D48" s="5" t="inlineStr">
        <x:is>
          <x:t xml:space="preserve">Encryption In Transit (Ex. TLS Protocols)</x:t>
        </x:is>
      </x:c>
      <x:c r="E48" s="5" t="inlineStr">
        <x:is>
          <x:t xml:space="preserve">Configuration</x:t>
        </x:is>
      </x:c>
      <x:c r="F48" s="5" t="inlineStr">
        <x:is>
          <x:t xml:space="preserve">HITRUST e1.csv</x:t>
        </x:is>
      </x:c>
      <x:c r="G48" s="5" t="inlineStr">
        <x:is>
          <x:t xml:space="preserve">Many:Many</x:t>
        </x:is>
      </x:c>
      <x:c r="H48" s="5" t="inlineStr">
        <x:is>
          <x:t xml:space="preserve">45 CFR § 164.312(e)(2)(ii)</x:t>
        </x:is>
      </x:c>
      <x:c r="I48" s="5" t="inlineStr">
        <x:is>
          <x:t xml:space="preserve">Transmission Security — Encryption</x:t>
        </x:is>
      </x:c>
      <x:c r="J48" s="5" t="inlineStr">
        <x:is>
          <x:t xml:space="preserve">Direct</x:t>
        </x:is>
      </x:c>
      <x:c r="K48" s="5" t="inlineStr">
        <x:is>
          <x:t xml:space="preserve">Transmission-encryption evidence aligns directly to the transmission-security encryption implementation specification.</x:t>
        </x:is>
      </x:c>
      <x:c r="L48"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48" s="5" t="inlineStr">
        <x:is>
          <x:t xml:space="preserve">Used when the shared action item is explicitly in-transit encryption.</x:t>
        </x:is>
      </x:c>
      <x:c r="N48" s="5" t="inlineStr">
        <x:is>
          <x:t xml:space="preserve">1013.01r1 System.2</x:t>
        </x:is>
      </x:c>
      <x:c r="O48" s="5" t="n">
        <x:v>1</x:v>
      </x:c>
      <x:c r="P48" s="5" t="n"/>
      <x:c r="Q48" s="5" t="inlineStr">
        <x:is>
          <x:t xml:space="preserve">Encryption In Transit (Ex. TLS Protocols)</x:t>
        </x:is>
      </x:c>
      <x:c r="R48" s="5" t="inlineStr">
        <x:is>
          <x:t xml:space="preserve">Configuration</x:t>
        </x:is>
      </x:c>
      <x:c r="S48" s="5" t="n"/>
      <x:c r="T48" s="5" t="inlineStr">
        <x:is>
          <x:t xml:space="preserve">HITRUST e1.csv</x:t>
        </x:is>
      </x:c>
      <x:c r="U48" s="5" t="inlineStr">
        <x:is>
          <x:t xml:space="preserve">45 C.F.R. § 164.312(e)(2)(ii)</x:t>
        </x:is>
      </x:c>
      <x:c r="V48" s="5" t="inlineStr">
        <x:is>
          <x:t xml:space="preserve">Transmission Security — Encryption</x:t>
        </x:is>
      </x:c>
      <x:c r="W48" s="5" t="inlineStr">
        <x:is>
          <x:t xml:space="preserve">Implement a mechanism to encrypt ePHI whenever deemed appropriate during electronic transmission.</x:t>
        </x:is>
      </x:c>
      <x:c r="X48" s="5" t="inlineStr">
        <x:is>
          <x:t xml:space="preserve">Addressable implementation specification</x:t>
        </x:is>
      </x:c>
      <x:c r="Y48" s="5" t="inlineStr">
        <x:is>
          <x:t xml:space="preserve">Technical Safeguards</x:t>
        </x:is>
      </x:c>
      <x:c r="Z48" s="28" t="inlineStr">
        <x:is>
          <x:t xml:space="preserve">https://www.ecfr.gov/current/title-45/subtitle-A/subchapter-C/part-164/section-164.312</x:t>
        </x:is>
      </x:c>
      <x:c r="AA48" s="28" t="inlineStr">
        <x:is>
          <x:t xml:space="preserve">https://www.hhs.gov/hipaa/for-professionals/faq/2001/is-the-use-of-encryption-mandatory-in-the-security-rule/index.html</x:t>
        </x:is>
      </x:c>
      <x:c r="AB48" s="5" t="n"/>
      <x:c r="AC48" s="5" t="n"/>
      <x:c r="AD48" s="5" t="n"/>
      <x:c r="AE48" s="5" t="n"/>
      <x:c r="AF48" s="5" t="n"/>
      <x:c r="AG48" s="5" t="n"/>
      <x:c r="AH48" s="5" t="n"/>
      <x:c r="AI48" s="5" t="n"/>
      <x:c r="AJ48" s="5" t="n"/>
      <x:c r="AK48" s="5" t="n"/>
      <x:c r="AL48" s="5" t="n"/>
      <x:c r="AM48" s="5" t="n"/>
      <x:c r="AN48" s="5" t="n"/>
      <x:c r="AO48" s="5" t="n"/>
      <x:c r="AP48" s="5" t="n"/>
      <x:c r="AQ48" s="5" t="n"/>
    </x:row>
    <x:row r="49" ht="30" customHeight="1">
      <x:c r="A49" s="5" t="inlineStr">
        <x:is>
          <x:t xml:space="preserve">REQ-33-HIPAA</x:t>
        </x:is>
      </x:c>
      <x:c r="B49" s="5" t="inlineStr">
        <x:is>
          <x:t xml:space="preserve">1903.06d1Organizational.3456711</x:t>
        </x:is>
      </x:c>
      <x:c r="C49" s="5" t="n">
        <x:v>1</x:v>
      </x:c>
      <x:c r="D49" s="5" t="inlineStr">
        <x:is>
          <x:t xml:space="preserve">Data Encryption at Rest</x:t>
        </x:is>
      </x:c>
      <x:c r="E49" s="5" t="inlineStr">
        <x:is>
          <x:t xml:space="preserve">Configuration</x:t>
        </x:is>
      </x:c>
      <x:c r="F49" s="5" t="inlineStr">
        <x:is>
          <x:t xml:space="preserve">HITRUST e1.csv</x:t>
        </x:is>
      </x:c>
      <x:c r="G49" s="5" t="inlineStr">
        <x:is>
          <x:t xml:space="preserve">Many:Many</x:t>
        </x:is>
      </x:c>
      <x:c r="H49" s="5" t="inlineStr">
        <x:is>
          <x:t xml:space="preserve">45 CFR § 164.312(a)(2)(iv)</x:t>
        </x:is>
      </x:c>
      <x:c r="I49" s="5" t="inlineStr">
        <x:is>
          <x:t xml:space="preserve">Access Control — Encryption and Decryption</x:t>
        </x:is>
      </x:c>
      <x:c r="J49" s="5" t="inlineStr">
        <x:is>
          <x:t xml:space="preserve">Direct</x:t>
        </x:is>
      </x:c>
      <x:c r="K49" s="5" t="inlineStr">
        <x:is>
          <x:t xml:space="preserve">At-rest encryption evidence aligns directly to the encryption/decryption implementation specification under access control.</x:t>
        </x:is>
      </x:c>
      <x:c r="L49"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49" s="5" t="inlineStr">
        <x:is>
          <x:t xml:space="preserve">Used when the shared action item is explicitly at-rest encryption.</x:t>
        </x:is>
      </x:c>
      <x:c r="N49" s="5" t="inlineStr">
        <x:is>
          <x:t xml:space="preserve">1903.06d1 Organizational.3456711</x:t>
        </x:is>
      </x:c>
      <x:c r="O49" s="5" t="n">
        <x:v>1</x:v>
      </x:c>
      <x:c r="P49" s="5" t="n"/>
      <x:c r="Q49" s="5" t="inlineStr">
        <x:is>
          <x:t xml:space="preserve">Data Encryption at Rest</x:t>
        </x:is>
      </x:c>
      <x:c r="R49" s="5" t="inlineStr">
        <x:is>
          <x:t xml:space="preserve">Configuration</x:t>
        </x:is>
      </x:c>
      <x:c r="S49" s="5" t="n"/>
      <x:c r="T49" s="5" t="inlineStr">
        <x:is>
          <x:t xml:space="preserve">HITRUST e1.csv</x:t>
        </x:is>
      </x:c>
      <x:c r="U49" s="5" t="inlineStr">
        <x:is>
          <x:t xml:space="preserve">45 C.F.R. § 164.312(a)(2)(iv)</x:t>
        </x:is>
      </x:c>
      <x:c r="V49" s="5" t="inlineStr">
        <x:is>
          <x:t xml:space="preserve">Access Control — Encryption and Decryption</x:t>
        </x:is>
      </x:c>
      <x:c r="W49" s="5" t="inlineStr">
        <x:is>
          <x:t xml:space="preserve">Implement a mechanism to encrypt and decrypt ePHI.</x:t>
        </x:is>
      </x:c>
      <x:c r="X49" s="5" t="inlineStr">
        <x:is>
          <x:t xml:space="preserve">Addressable implementation specification</x:t>
        </x:is>
      </x:c>
      <x:c r="Y49" s="5" t="inlineStr">
        <x:is>
          <x:t xml:space="preserve">Technical Safeguards</x:t>
        </x:is>
      </x:c>
      <x:c r="Z49" s="28" t="inlineStr">
        <x:is>
          <x:t xml:space="preserve">https://www.ecfr.gov/current/title-45/subtitle-A/subchapter-C/part-164/section-164.312</x:t>
        </x:is>
      </x:c>
      <x:c r="AA49" s="28" t="inlineStr">
        <x:is>
          <x:t xml:space="preserve">https://www.hhs.gov/hipaa/for-professionals/faq/2001/is-the-use-of-encryption-mandatory-in-the-security-rule/index.html</x:t>
        </x:is>
      </x:c>
      <x:c r="AB49" s="5" t="n"/>
      <x:c r="AC49" s="5" t="n"/>
      <x:c r="AD49" s="5" t="n"/>
      <x:c r="AE49" s="5" t="n"/>
      <x:c r="AF49" s="5" t="n"/>
      <x:c r="AG49" s="5" t="n"/>
      <x:c r="AH49" s="5" t="n"/>
      <x:c r="AI49" s="5" t="n"/>
      <x:c r="AJ49" s="5" t="n"/>
      <x:c r="AK49" s="5" t="n"/>
      <x:c r="AL49" s="5" t="n"/>
      <x:c r="AM49" s="5" t="n"/>
      <x:c r="AN49" s="5" t="n"/>
      <x:c r="AO49" s="5" t="n"/>
      <x:c r="AP49" s="5" t="n"/>
      <x:c r="AQ49" s="5" t="n"/>
    </x:row>
    <x:row r="50" ht="30" customHeight="1">
      <x:c r="A50" s="5" t="inlineStr">
        <x:is>
          <x:t xml:space="preserve">REQ-34-HIPAA</x:t>
        </x:is>
      </x:c>
      <x:c r="B50" s="5" t="inlineStr">
        <x:is>
          <x:t xml:space="preserve">04.01x1Organizational.5</x:t>
        </x:is>
      </x:c>
      <x:c r="C50" s="5" t="n">
        <x:v>1</x:v>
      </x:c>
      <x:c r="D50" s="5" t="inlineStr">
        <x:is>
          <x:t xml:space="preserve">Data Encryption at Rest</x:t>
        </x:is>
      </x:c>
      <x:c r="E50" s="5" t="inlineStr">
        <x:is>
          <x:t xml:space="preserve">Configuration</x:t>
        </x:is>
      </x:c>
      <x:c r="F50" s="5" t="inlineStr">
        <x:is>
          <x:t xml:space="preserve">HITRUST e1.csv</x:t>
        </x:is>
      </x:c>
      <x:c r="G50" s="5" t="inlineStr">
        <x:is>
          <x:t xml:space="preserve">Many:Many</x:t>
        </x:is>
      </x:c>
      <x:c r="H50" s="5" t="inlineStr">
        <x:is>
          <x:t xml:space="preserve">45 CFR § 164.312(a)(2)(iv)</x:t>
        </x:is>
      </x:c>
      <x:c r="I50" s="5" t="inlineStr">
        <x:is>
          <x:t xml:space="preserve">Access Control — Encryption and Decryption</x:t>
        </x:is>
      </x:c>
      <x:c r="J50" s="5" t="inlineStr">
        <x:is>
          <x:t xml:space="preserve">Direct</x:t>
        </x:is>
      </x:c>
      <x:c r="K50" s="5" t="inlineStr">
        <x:is>
          <x:t xml:space="preserve">Control/action-item context aligns to at-rest encryption.</x:t>
        </x:is>
      </x:c>
      <x:c r="L50"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50" s="5" t="inlineStr">
        <x:is>
          <x:t xml:space="preserve">Used for data-encryption-at-rest rows.</x:t>
        </x:is>
      </x:c>
      <x:c r="N50" s="5" t="inlineStr">
        <x:is>
          <x:t xml:space="preserve">04.01x1 Organizational.5</x:t>
        </x:is>
      </x:c>
      <x:c r="O50" s="5" t="n">
        <x:v>1</x:v>
      </x:c>
      <x:c r="P50" s="5" t="n"/>
      <x:c r="Q50" s="5" t="inlineStr">
        <x:is>
          <x:t xml:space="preserve">Data Encryption at Rest</x:t>
        </x:is>
      </x:c>
      <x:c r="R50" s="5" t="inlineStr">
        <x:is>
          <x:t xml:space="preserve">Configuration</x:t>
        </x:is>
      </x:c>
      <x:c r="S50" s="5" t="n"/>
      <x:c r="T50" s="5" t="inlineStr">
        <x:is>
          <x:t xml:space="preserve">HITRUST e1.csv</x:t>
        </x:is>
      </x:c>
      <x:c r="U50" s="5" t="inlineStr">
        <x:is>
          <x:t xml:space="preserve">45 C.F.R. § 164.312(a)(2)(iv)</x:t>
        </x:is>
      </x:c>
      <x:c r="V50" s="5" t="inlineStr">
        <x:is>
          <x:t xml:space="preserve">Access Control — Encryption and Decryption</x:t>
        </x:is>
      </x:c>
      <x:c r="W50" s="5" t="inlineStr">
        <x:is>
          <x:t xml:space="preserve">Implement a mechanism to encrypt and decrypt ePHI.</x:t>
        </x:is>
      </x:c>
      <x:c r="X50" s="5" t="inlineStr">
        <x:is>
          <x:t xml:space="preserve">Addressable implementation specification</x:t>
        </x:is>
      </x:c>
      <x:c r="Y50" s="5" t="inlineStr">
        <x:is>
          <x:t xml:space="preserve">Technical Safeguards</x:t>
        </x:is>
      </x:c>
      <x:c r="Z50" s="28" t="inlineStr">
        <x:is>
          <x:t xml:space="preserve">https://www.ecfr.gov/current/title-45/subtitle-A/subchapter-C/part-164/section-164.312</x:t>
        </x:is>
      </x:c>
      <x:c r="AA50" s="28" t="inlineStr">
        <x:is>
          <x:t xml:space="preserve">https://www.hhs.gov/hipaa/for-professionals/faq/2001/is-the-use-of-encryption-mandatory-in-the-security-rule/index.html</x:t>
        </x:is>
      </x:c>
      <x:c r="AB50" s="5" t="n"/>
      <x:c r="AC50" s="5" t="n"/>
      <x:c r="AD50" s="5" t="n"/>
      <x:c r="AE50" s="5" t="n"/>
      <x:c r="AF50" s="5" t="n"/>
      <x:c r="AG50" s="5" t="n"/>
      <x:c r="AH50" s="5" t="n"/>
      <x:c r="AI50" s="5" t="n"/>
      <x:c r="AJ50" s="5" t="n"/>
      <x:c r="AK50" s="5" t="n"/>
      <x:c r="AL50" s="5" t="n"/>
      <x:c r="AM50" s="5" t="n"/>
      <x:c r="AN50" s="5" t="n"/>
      <x:c r="AO50" s="5" t="n"/>
      <x:c r="AP50" s="5" t="n"/>
      <x:c r="AQ50" s="5" t="n"/>
    </x:row>
    <x:row r="51" ht="30" customHeight="1">
      <x:c r="A51" s="5" t="inlineStr">
        <x:is>
          <x:t xml:space="preserve">REQ-34-HIPAA</x:t>
        </x:is>
      </x:c>
      <x:c r="B51" s="5" t="inlineStr">
        <x:is>
          <x:t xml:space="preserve">07.07a1Organizational.8</x:t>
        </x:is>
      </x:c>
      <x:c r="C51" s="5" t="n">
        <x:v>1</x:v>
      </x:c>
      <x:c r="D51" s="5" t="inlineStr">
        <x:is>
          <x:t xml:space="preserve">List of All Production Systems (Servers, VMs, Data Stores)</x:t>
        </x:is>
      </x:c>
      <x:c r="E51" s="5" t="inlineStr">
        <x:is>
          <x:t xml:space="preserve">Configuration</x:t>
        </x:is>
      </x:c>
      <x:c r="F51" s="5" t="inlineStr">
        <x:is>
          <x:t xml:space="preserve">HITRUST e1.csv</x:t>
        </x:is>
      </x:c>
      <x:c r="G51" s="5" t="inlineStr">
        <x:is>
          <x:t xml:space="preserve">Many:Many</x:t>
        </x:is>
      </x:c>
      <x:c r="H51" s="5" t="inlineStr">
        <x:is>
          <x:t xml:space="preserve">45 CFR § 164.308(a)(1)(ii)(A) | 45 CFR § 164.312(a)(2)(iv)</x:t>
        </x:is>
      </x:c>
      <x:c r="I51" s="5" t="inlineStr">
        <x:is>
          <x:t xml:space="preserve">Security Management Process — Risk Analysis | Access Control — Encryption and Decryption</x:t>
        </x:is>
      </x:c>
      <x:c r="J51" s="5" t="inlineStr">
        <x:is>
          <x:t xml:space="preserve">Best-fit composite</x:t>
        </x:is>
      </x:c>
      <x:c r="K51" s="5" t="inlineStr">
        <x:is>
          <x:t xml:space="preserve">System inventory supports scoping/coverage of at-rest encryption and accurate risk analysis.</x:t>
        </x:is>
      </x:c>
      <x:c r="L51"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M51" s="5" t="inlineStr">
        <x:is>
          <x:t xml:space="preserve">Asset inventory is supporting evidence rather than an explicit standalone at-rest-encryption requirement.</x:t>
        </x:is>
      </x:c>
      <x:c r="N51" s="5" t="inlineStr">
        <x:is>
          <x:t xml:space="preserve">07.07a1 Organizational.8</x:t>
        </x:is>
      </x:c>
      <x:c r="O51" s="5" t="n">
        <x:v>2</x:v>
      </x:c>
      <x:c r="P51" s="5" t="n"/>
      <x:c r="Q51" s="5" t="inlineStr">
        <x:is>
          <x:t xml:space="preserve">List of All Production Systems (Servers</x:t>
        </x:is>
      </x:c>
      <x:c r="R51" s="5" t="inlineStr">
        <x:is>
          <x:t xml:space="preserve">Configuration</x:t>
        </x:is>
      </x:c>
      <x:c r="S51" s="5" t="n"/>
      <x:c r="T51" s="5" t="inlineStr">
        <x:is>
          <x:t xml:space="preserve">HITRUST e1.csv</x:t>
        </x:is>
      </x:c>
      <x:c r="U51" s="5" t="inlineStr">
        <x:is>
          <x:t xml:space="preserve">45 C.F.R. § 164.308(a)(1)(ii)(A)</x:t>
        </x:is>
      </x:c>
      <x:c r="V51" s="5" t="inlineStr">
        <x:is>
          <x:t xml:space="preserve">Security Management Process — Risk Analysis</x:t>
        </x:is>
      </x:c>
      <x:c r="W51" s="5" t="inlineStr">
        <x:is>
          <x:t xml:space="preserve">Conduct an accurate and thorough assessment of the potential risks and vulnerabilities to the confidentiality, integrity, and availability of ePHI.</x:t>
        </x:is>
      </x:c>
      <x:c r="X51" s="5" t="inlineStr">
        <x:is>
          <x:t xml:space="preserve">Required implementation specification</x:t>
        </x:is>
      </x:c>
      <x:c r="Y51" s="5" t="inlineStr">
        <x:is>
          <x:t xml:space="preserve">Administrative Safeguards</x:t>
        </x:is>
      </x:c>
      <x:c r="Z51" s="28" t="inlineStr">
        <x:is>
          <x:t xml:space="preserve">https://www.ecfr.gov/current/title-45/subtitle-A/subchapter-C/part-164/section-164.308</x:t>
        </x:is>
      </x:c>
      <x:c r="AA51" s="28" t="inlineStr">
        <x:is>
          <x:t xml:space="preserve">https://www.hhs.gov/hipaa/for-professionals/security/guidance/guidance-risk-analysis/index.html</x:t>
        </x:is>
      </x:c>
      <x:c r="AB51" s="5" t="inlineStr">
        <x:is>
          <x:t xml:space="preserve">45 C.F.R. § 164.312(a)(2)(iv)</x:t>
        </x:is>
      </x:c>
      <x:c r="AC51" s="5" t="inlineStr">
        <x:is>
          <x:t xml:space="preserve">Access Control — Encryption and Decryption</x:t>
        </x:is>
      </x:c>
      <x:c r="AD51" s="5" t="inlineStr">
        <x:is>
          <x:t xml:space="preserve">Implement a mechanism to encrypt and decrypt ePHI.</x:t>
        </x:is>
      </x:c>
      <x:c r="AE51" s="5" t="inlineStr">
        <x:is>
          <x:t xml:space="preserve">Addressable implementation specification</x:t>
        </x:is>
      </x:c>
      <x:c r="AF51" s="5" t="inlineStr">
        <x:is>
          <x:t xml:space="preserve">Technical Safeguards</x:t>
        </x:is>
      </x:c>
      <x:c r="AG51" s="28" t="inlineStr">
        <x:is>
          <x:t xml:space="preserve">https://www.ecfr.gov/current/title-45/subtitle-A/subchapter-C/part-164/section-164.312</x:t>
        </x:is>
      </x:c>
      <x:c r="AH51" s="28" t="inlineStr">
        <x:is>
          <x:t xml:space="preserve">https://www.hhs.gov/hipaa/for-professionals/faq/2001/is-the-use-of-encryption-mandatory-in-the-security-rule/index.html</x:t>
        </x:is>
      </x:c>
      <x:c r="AI51" s="5" t="n"/>
      <x:c r="AJ51" s="5" t="n"/>
      <x:c r="AK51" s="5" t="n"/>
      <x:c r="AL51" s="5" t="n"/>
      <x:c r="AM51" s="5" t="n"/>
      <x:c r="AN51" s="5" t="n"/>
      <x:c r="AO51" s="5" t="n"/>
      <x:c r="AP51" s="5" t="inlineStr">
        <x:is>
          <x:t xml:space="preserve">VMs</x:t>
        </x:is>
      </x:c>
      <x:c r="AQ51" s="5" t="inlineStr">
        <x:is>
          <x:t xml:space="preserve">Data Stores)</x:t>
        </x:is>
      </x:c>
    </x:row>
    <x:row r="52" ht="30" customHeight="1">
      <x:c r="A52" s="5" t="inlineStr">
        <x:is>
          <x:t xml:space="preserve">REQ-34-HIPAA</x:t>
        </x:is>
      </x:c>
      <x:c r="B52" s="5" t="inlineStr">
        <x:is>
          <x:t xml:space="preserve">0701.07a1Organizational.7</x:t>
        </x:is>
      </x:c>
      <x:c r="C52" s="5" t="n">
        <x:v>1</x:v>
      </x:c>
      <x:c r="D52" s="5" t="inlineStr">
        <x:is>
          <x:t xml:space="preserve">List of All Production Systems (Servers, VMs, Data Stores)</x:t>
        </x:is>
      </x:c>
      <x:c r="E52" s="5" t="inlineStr">
        <x:is>
          <x:t xml:space="preserve">Configuration</x:t>
        </x:is>
      </x:c>
      <x:c r="F52" s="5" t="inlineStr">
        <x:is>
          <x:t xml:space="preserve">HITRUST e1.csv</x:t>
        </x:is>
      </x:c>
      <x:c r="G52" s="5" t="inlineStr">
        <x:is>
          <x:t xml:space="preserve">Many:Many</x:t>
        </x:is>
      </x:c>
      <x:c r="H52" s="5" t="inlineStr">
        <x:is>
          <x:t xml:space="preserve">45 CFR § 164.308(a)(1)(ii)(A) | 45 CFR § 164.312(a)(2)(iv)</x:t>
        </x:is>
      </x:c>
      <x:c r="I52" s="5" t="inlineStr">
        <x:is>
          <x:t xml:space="preserve">Security Management Process — Risk Analysis | Access Control — Encryption and Decryption</x:t>
        </x:is>
      </x:c>
      <x:c r="J52" s="5" t="inlineStr">
        <x:is>
          <x:t xml:space="preserve">Best-fit composite</x:t>
        </x:is>
      </x:c>
      <x:c r="K52" s="5" t="inlineStr">
        <x:is>
          <x:t xml:space="preserve">System inventory supports scoping/coverage of at-rest encryption and accurate risk analysis.</x:t>
        </x:is>
      </x:c>
      <x:c r="L52"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M52" s="5" t="inlineStr">
        <x:is>
          <x:t xml:space="preserve">Asset inventory is supporting evidence rather than an explicit standalone at-rest-encryption requirement.</x:t>
        </x:is>
      </x:c>
      <x:c r="N52" s="5" t="inlineStr">
        <x:is>
          <x:t xml:space="preserve">0701.07a1 Organizational.7</x:t>
        </x:is>
      </x:c>
      <x:c r="O52" s="5" t="n">
        <x:v>2</x:v>
      </x:c>
      <x:c r="P52" s="5" t="n"/>
      <x:c r="Q52" s="5" t="inlineStr">
        <x:is>
          <x:t xml:space="preserve">List of All Production Systems (Servers</x:t>
        </x:is>
      </x:c>
      <x:c r="R52" s="5" t="inlineStr">
        <x:is>
          <x:t xml:space="preserve">Configuration</x:t>
        </x:is>
      </x:c>
      <x:c r="S52" s="5" t="n"/>
      <x:c r="T52" s="5" t="inlineStr">
        <x:is>
          <x:t xml:space="preserve">HITRUST e1.csv</x:t>
        </x:is>
      </x:c>
      <x:c r="U52" s="5" t="inlineStr">
        <x:is>
          <x:t xml:space="preserve">45 C.F.R. § 164.308(a)(1)(ii)(A)</x:t>
        </x:is>
      </x:c>
      <x:c r="V52" s="5" t="inlineStr">
        <x:is>
          <x:t xml:space="preserve">Security Management Process — Risk Analysis</x:t>
        </x:is>
      </x:c>
      <x:c r="W52" s="5" t="inlineStr">
        <x:is>
          <x:t xml:space="preserve">Conduct an accurate and thorough assessment of the potential risks and vulnerabilities to the confidentiality, integrity, and availability of ePHI.</x:t>
        </x:is>
      </x:c>
      <x:c r="X52" s="5" t="inlineStr">
        <x:is>
          <x:t xml:space="preserve">Required implementation specification</x:t>
        </x:is>
      </x:c>
      <x:c r="Y52" s="5" t="inlineStr">
        <x:is>
          <x:t xml:space="preserve">Administrative Safeguards</x:t>
        </x:is>
      </x:c>
      <x:c r="Z52" s="28" t="inlineStr">
        <x:is>
          <x:t xml:space="preserve">https://www.ecfr.gov/current/title-45/subtitle-A/subchapter-C/part-164/section-164.308</x:t>
        </x:is>
      </x:c>
      <x:c r="AA52" s="28" t="inlineStr">
        <x:is>
          <x:t xml:space="preserve">https://www.hhs.gov/hipaa/for-professionals/security/guidance/guidance-risk-analysis/index.html</x:t>
        </x:is>
      </x:c>
      <x:c r="AB52" s="5" t="inlineStr">
        <x:is>
          <x:t xml:space="preserve">45 C.F.R. § 164.312(a)(2)(iv)</x:t>
        </x:is>
      </x:c>
      <x:c r="AC52" s="5" t="inlineStr">
        <x:is>
          <x:t xml:space="preserve">Access Control — Encryption and Decryption</x:t>
        </x:is>
      </x:c>
      <x:c r="AD52" s="5" t="inlineStr">
        <x:is>
          <x:t xml:space="preserve">Implement a mechanism to encrypt and decrypt ePHI.</x:t>
        </x:is>
      </x:c>
      <x:c r="AE52" s="5" t="inlineStr">
        <x:is>
          <x:t xml:space="preserve">Addressable implementation specification</x:t>
        </x:is>
      </x:c>
      <x:c r="AF52" s="5" t="inlineStr">
        <x:is>
          <x:t xml:space="preserve">Technical Safeguards</x:t>
        </x:is>
      </x:c>
      <x:c r="AG52" s="28" t="inlineStr">
        <x:is>
          <x:t xml:space="preserve">https://www.ecfr.gov/current/title-45/subtitle-A/subchapter-C/part-164/section-164.312</x:t>
        </x:is>
      </x:c>
      <x:c r="AH52" s="28" t="inlineStr">
        <x:is>
          <x:t xml:space="preserve">https://www.hhs.gov/hipaa/for-professionals/faq/2001/is-the-use-of-encryption-mandatory-in-the-security-rule/index.html</x:t>
        </x:is>
      </x:c>
      <x:c r="AI52" s="5" t="n"/>
      <x:c r="AJ52" s="5" t="n"/>
      <x:c r="AK52" s="5" t="n"/>
      <x:c r="AL52" s="5" t="n"/>
      <x:c r="AM52" s="5" t="n"/>
      <x:c r="AN52" s="5" t="n"/>
      <x:c r="AO52" s="5" t="n"/>
      <x:c r="AP52" s="5" t="inlineStr">
        <x:is>
          <x:t xml:space="preserve">VMs</x:t>
        </x:is>
      </x:c>
      <x:c r="AQ52" s="5" t="inlineStr">
        <x:is>
          <x:t xml:space="preserve">Data Stores)</x:t>
        </x:is>
      </x:c>
    </x:row>
    <x:row r="53" ht="30" customHeight="1">
      <x:c r="A53" s="5" t="inlineStr">
        <x:is>
          <x:t xml:space="preserve">REQ-34-HIPAA</x:t>
        </x:is>
      </x:c>
      <x:c r="B53" s="5" t="inlineStr">
        <x:is>
          <x:t xml:space="preserve">0701.07a1Organizational.8</x:t>
        </x:is>
      </x:c>
      <x:c r="C53" s="5" t="n">
        <x:v>1</x:v>
      </x:c>
      <x:c r="D53" s="5" t="inlineStr">
        <x:is>
          <x:t xml:space="preserve">List of All Production Systems (Servers, VMs, Data Stores)</x:t>
        </x:is>
      </x:c>
      <x:c r="E53" s="5" t="inlineStr">
        <x:is>
          <x:t xml:space="preserve">Configuration</x:t>
        </x:is>
      </x:c>
      <x:c r="F53" s="5" t="inlineStr">
        <x:is>
          <x:t xml:space="preserve">HITRUST e1.csv</x:t>
        </x:is>
      </x:c>
      <x:c r="G53" s="5" t="inlineStr">
        <x:is>
          <x:t xml:space="preserve">Many:Many</x:t>
        </x:is>
      </x:c>
      <x:c r="H53" s="5" t="inlineStr">
        <x:is>
          <x:t xml:space="preserve">45 CFR § 164.308(a)(1)(ii)(A) | 45 CFR § 164.312(a)(2)(iv)</x:t>
        </x:is>
      </x:c>
      <x:c r="I53" s="5" t="inlineStr">
        <x:is>
          <x:t xml:space="preserve">Security Management Process — Risk Analysis | Access Control — Encryption and Decryption</x:t>
        </x:is>
      </x:c>
      <x:c r="J53" s="5" t="inlineStr">
        <x:is>
          <x:t xml:space="preserve">Best-fit composite</x:t>
        </x:is>
      </x:c>
      <x:c r="K53" s="5" t="inlineStr">
        <x:is>
          <x:t xml:space="preserve">System inventory supports scoping/coverage of at-rest encryption and accurate risk analysis.</x:t>
        </x:is>
      </x:c>
      <x:c r="L53" s="28" t="inlineStr">
        <x:is>
          <x:t xml:space="preserve">https://www.ecfr.gov/current/title-45/subtitle-A/subchapter-C/part-164/section-164.308 | https://www.ecfr.gov/current/title-45/subtitle-A/subchapter-C/part-164/section-164.312 | https://www.hhs.gov/hipaa/for-professionals/security/guidance/guidance-risk-analysis/index.html | https://www.hhs.gov/hipaa/for-professionals/security/guidance/cybersecurity-newsletter-october-2024/index.html</x:t>
        </x:is>
      </x:c>
      <x:c r="M53" s="5" t="inlineStr">
        <x:is>
          <x:t xml:space="preserve">Asset inventory is supporting evidence rather than an explicit standalone at-rest-encryption requirement.</x:t>
        </x:is>
      </x:c>
      <x:c r="N53" s="5" t="inlineStr">
        <x:is>
          <x:t xml:space="preserve">0701.07a1 Organizational.8</x:t>
        </x:is>
      </x:c>
      <x:c r="O53" s="5" t="n">
        <x:v>2</x:v>
      </x:c>
      <x:c r="P53" s="5" t="n"/>
      <x:c r="Q53" s="5" t="inlineStr">
        <x:is>
          <x:t xml:space="preserve">List of All Production Systems (Servers</x:t>
        </x:is>
      </x:c>
      <x:c r="R53" s="5" t="inlineStr">
        <x:is>
          <x:t xml:space="preserve">Configuration</x:t>
        </x:is>
      </x:c>
      <x:c r="S53" s="5" t="n"/>
      <x:c r="T53" s="5" t="inlineStr">
        <x:is>
          <x:t xml:space="preserve">HITRUST e1.csv</x:t>
        </x:is>
      </x:c>
      <x:c r="U53" s="5" t="inlineStr">
        <x:is>
          <x:t xml:space="preserve">45 C.F.R. § 164.308(a)(1)(ii)(A)</x:t>
        </x:is>
      </x:c>
      <x:c r="V53" s="5" t="inlineStr">
        <x:is>
          <x:t xml:space="preserve">Security Management Process — Risk Analysis</x:t>
        </x:is>
      </x:c>
      <x:c r="W53" s="5" t="inlineStr">
        <x:is>
          <x:t xml:space="preserve">Conduct an accurate and thorough assessment of the potential risks and vulnerabilities to the confidentiality, integrity, and availability of ePHI.</x:t>
        </x:is>
      </x:c>
      <x:c r="X53" s="5" t="inlineStr">
        <x:is>
          <x:t xml:space="preserve">Required implementation specification</x:t>
        </x:is>
      </x:c>
      <x:c r="Y53" s="5" t="inlineStr">
        <x:is>
          <x:t xml:space="preserve">Administrative Safeguards</x:t>
        </x:is>
      </x:c>
      <x:c r="Z53" s="28" t="inlineStr">
        <x:is>
          <x:t xml:space="preserve">https://www.ecfr.gov/current/title-45/subtitle-A/subchapter-C/part-164/section-164.308</x:t>
        </x:is>
      </x:c>
      <x:c r="AA53" s="28" t="inlineStr">
        <x:is>
          <x:t xml:space="preserve">https://www.hhs.gov/hipaa/for-professionals/security/guidance/guidance-risk-analysis/index.html</x:t>
        </x:is>
      </x:c>
      <x:c r="AB53" s="5" t="inlineStr">
        <x:is>
          <x:t xml:space="preserve">45 C.F.R. § 164.312(a)(2)(iv)</x:t>
        </x:is>
      </x:c>
      <x:c r="AC53" s="5" t="inlineStr">
        <x:is>
          <x:t xml:space="preserve">Access Control — Encryption and Decryption</x:t>
        </x:is>
      </x:c>
      <x:c r="AD53" s="5" t="inlineStr">
        <x:is>
          <x:t xml:space="preserve">Implement a mechanism to encrypt and decrypt ePHI.</x:t>
        </x:is>
      </x:c>
      <x:c r="AE53" s="5" t="inlineStr">
        <x:is>
          <x:t xml:space="preserve">Addressable implementation specification</x:t>
        </x:is>
      </x:c>
      <x:c r="AF53" s="5" t="inlineStr">
        <x:is>
          <x:t xml:space="preserve">Technical Safeguards</x:t>
        </x:is>
      </x:c>
      <x:c r="AG53" s="28" t="inlineStr">
        <x:is>
          <x:t xml:space="preserve">https://www.ecfr.gov/current/title-45/subtitle-A/subchapter-C/part-164/section-164.312</x:t>
        </x:is>
      </x:c>
      <x:c r="AH53" s="28" t="inlineStr">
        <x:is>
          <x:t xml:space="preserve">https://www.hhs.gov/hipaa/for-professionals/faq/2001/is-the-use-of-encryption-mandatory-in-the-security-rule/index.html</x:t>
        </x:is>
      </x:c>
      <x:c r="AI53" s="5" t="n"/>
      <x:c r="AJ53" s="5" t="n"/>
      <x:c r="AK53" s="5" t="n"/>
      <x:c r="AL53" s="5" t="n"/>
      <x:c r="AM53" s="5" t="n"/>
      <x:c r="AN53" s="5" t="n"/>
      <x:c r="AO53" s="5" t="n"/>
      <x:c r="AP53" s="5" t="inlineStr">
        <x:is>
          <x:t xml:space="preserve">VMs</x:t>
        </x:is>
      </x:c>
      <x:c r="AQ53" s="5" t="inlineStr">
        <x:is>
          <x:t xml:space="preserve">Data Stores)</x:t>
        </x:is>
      </x:c>
    </x:row>
    <x:row r="54" ht="30" customHeight="1">
      <x:c r="A54" s="5" t="inlineStr">
        <x:is>
          <x:t xml:space="preserve">REQ-34-HIPAA</x:t>
        </x:is>
      </x:c>
      <x:c r="B54" s="5" t="inlineStr">
        <x:is>
          <x:t xml:space="preserve">1903.06d1Organizational.3456711</x:t>
        </x:is>
      </x:c>
      <x:c r="C54" s="5" t="n">
        <x:v>1</x:v>
      </x:c>
      <x:c r="D54" s="5" t="inlineStr">
        <x:is>
          <x:t xml:space="preserve">Data Encryption at Rest</x:t>
        </x:is>
      </x:c>
      <x:c r="E54" s="5" t="inlineStr">
        <x:is>
          <x:t xml:space="preserve">Configuration</x:t>
        </x:is>
      </x:c>
      <x:c r="F54" s="5" t="inlineStr">
        <x:is>
          <x:t xml:space="preserve">HITRUST e1.csv</x:t>
        </x:is>
      </x:c>
      <x:c r="G54" s="5" t="inlineStr">
        <x:is>
          <x:t xml:space="preserve">Many:Many</x:t>
        </x:is>
      </x:c>
      <x:c r="H54" s="5" t="inlineStr">
        <x:is>
          <x:t xml:space="preserve">45 CFR § 164.312(a)(2)(iv)</x:t>
        </x:is>
      </x:c>
      <x:c r="I54" s="5" t="inlineStr">
        <x:is>
          <x:t xml:space="preserve">Access Control — Encryption and Decryption</x:t>
        </x:is>
      </x:c>
      <x:c r="J54" s="5" t="inlineStr">
        <x:is>
          <x:t xml:space="preserve">Direct</x:t>
        </x:is>
      </x:c>
      <x:c r="K54" s="5" t="inlineStr">
        <x:is>
          <x:t xml:space="preserve">Control/action-item context aligns to at-rest encryption.</x:t>
        </x:is>
      </x:c>
      <x:c r="L54"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54" s="5" t="inlineStr">
        <x:is>
          <x:t xml:space="preserve">Used for data-encryption-at-rest rows.</x:t>
        </x:is>
      </x:c>
      <x:c r="N54" s="5" t="inlineStr">
        <x:is>
          <x:t xml:space="preserve">1903.06d1 Organizational.3456711</x:t>
        </x:is>
      </x:c>
      <x:c r="O54" s="5" t="n">
        <x:v>1</x:v>
      </x:c>
      <x:c r="P54" s="5" t="n"/>
      <x:c r="Q54" s="5" t="inlineStr">
        <x:is>
          <x:t xml:space="preserve">Data Encryption at Rest</x:t>
        </x:is>
      </x:c>
      <x:c r="R54" s="5" t="inlineStr">
        <x:is>
          <x:t xml:space="preserve">Configuration</x:t>
        </x:is>
      </x:c>
      <x:c r="S54" s="5" t="n"/>
      <x:c r="T54" s="5" t="inlineStr">
        <x:is>
          <x:t xml:space="preserve">HITRUST e1.csv</x:t>
        </x:is>
      </x:c>
      <x:c r="U54" s="5" t="inlineStr">
        <x:is>
          <x:t xml:space="preserve">45 C.F.R. § 164.312(a)(2)(iv)</x:t>
        </x:is>
      </x:c>
      <x:c r="V54" s="5" t="inlineStr">
        <x:is>
          <x:t xml:space="preserve">Access Control — Encryption and Decryption</x:t>
        </x:is>
      </x:c>
      <x:c r="W54" s="5" t="inlineStr">
        <x:is>
          <x:t xml:space="preserve">Implement a mechanism to encrypt and decrypt ePHI.</x:t>
        </x:is>
      </x:c>
      <x:c r="X54" s="5" t="inlineStr">
        <x:is>
          <x:t xml:space="preserve">Addressable implementation specification</x:t>
        </x:is>
      </x:c>
      <x:c r="Y54" s="5" t="inlineStr">
        <x:is>
          <x:t xml:space="preserve">Technical Safeguards</x:t>
        </x:is>
      </x:c>
      <x:c r="Z54" s="28" t="inlineStr">
        <x:is>
          <x:t xml:space="preserve">https://www.ecfr.gov/current/title-45/subtitle-A/subchapter-C/part-164/section-164.312</x:t>
        </x:is>
      </x:c>
      <x:c r="AA54" s="28" t="inlineStr">
        <x:is>
          <x:t xml:space="preserve">https://www.hhs.gov/hipaa/for-professionals/faq/2001/is-the-use-of-encryption-mandatory-in-the-security-rule/index.html</x:t>
        </x:is>
      </x:c>
      <x:c r="AB54" s="5" t="n"/>
      <x:c r="AC54" s="5" t="n"/>
      <x:c r="AD54" s="5" t="n"/>
      <x:c r="AE54" s="5" t="n"/>
      <x:c r="AF54" s="5" t="n"/>
      <x:c r="AG54" s="5" t="n"/>
      <x:c r="AH54" s="5" t="n"/>
      <x:c r="AI54" s="5" t="n"/>
      <x:c r="AJ54" s="5" t="n"/>
      <x:c r="AK54" s="5" t="n"/>
      <x:c r="AL54" s="5" t="n"/>
      <x:c r="AM54" s="5" t="n"/>
      <x:c r="AN54" s="5" t="n"/>
      <x:c r="AO54" s="5" t="n"/>
      <x:c r="AP54" s="5" t="n"/>
      <x:c r="AQ54" s="5" t="n"/>
    </x:row>
    <x:row r="55" ht="30" customHeight="1">
      <x:c r="A55" s="5" t="inlineStr">
        <x:is>
          <x:t xml:space="preserve">REQ-35-HIPAA</x:t>
        </x:is>
      </x:c>
      <x:c r="B55" s="5" t="inlineStr">
        <x:is>
          <x:t xml:space="preserve">0862.09m2Organizational.8</x:t>
        </x:is>
      </x:c>
      <x:c r="C55" s="5" t="n">
        <x:v>1</x:v>
      </x:c>
      <x:c r="D55" s="5" t="inlineStr">
        <x:is>
          <x:t xml:space="preserve">Encryption In Transit (Ex. TLS Protocols)</x:t>
        </x:is>
      </x:c>
      <x:c r="E55" s="5" t="inlineStr">
        <x:is>
          <x:t xml:space="preserve">Configuration</x:t>
        </x:is>
      </x:c>
      <x:c r="F55" s="5" t="inlineStr">
        <x:is>
          <x:t xml:space="preserve">HITRUST e1.csv</x:t>
        </x:is>
      </x:c>
      <x:c r="G55" s="5" t="inlineStr">
        <x:is>
          <x:t xml:space="preserve">Many:Many</x:t>
        </x:is>
      </x:c>
      <x:c r="H55" s="5" t="inlineStr">
        <x:is>
          <x:t xml:space="preserve">45 CFR § 164.312(e)(2)(ii)</x:t>
        </x:is>
      </x:c>
      <x:c r="I55" s="5" t="inlineStr">
        <x:is>
          <x:t xml:space="preserve">Transmission Security — Encryption</x:t>
        </x:is>
      </x:c>
      <x:c r="J55" s="5" t="inlineStr">
        <x:is>
          <x:t xml:space="preserve">Direct</x:t>
        </x:is>
      </x:c>
      <x:c r="K55" s="5" t="inlineStr">
        <x:is>
          <x:t xml:space="preserve">Action item explicitly addresses encryption in transit.</x:t>
        </x:is>
      </x:c>
      <x:c r="L55"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5" s="5" t="inlineStr">
        <x:is>
          <x:t xml:space="preserve">Used for transport/TLS evidence.</x:t>
        </x:is>
      </x:c>
      <x:c r="N55" s="5" t="inlineStr">
        <x:is>
          <x:t xml:space="preserve">0862.09m2 Organizational.8</x:t>
        </x:is>
      </x:c>
      <x:c r="O55" s="5" t="n">
        <x:v>1</x:v>
      </x:c>
      <x:c r="P55" s="5" t="n"/>
      <x:c r="Q55" s="5" t="inlineStr">
        <x:is>
          <x:t xml:space="preserve">Encryption In Transit (Ex. TLS Protocols)</x:t>
        </x:is>
      </x:c>
      <x:c r="R55" s="5" t="inlineStr">
        <x:is>
          <x:t xml:space="preserve">Configuration</x:t>
        </x:is>
      </x:c>
      <x:c r="S55" s="5" t="n"/>
      <x:c r="T55" s="5" t="inlineStr">
        <x:is>
          <x:t xml:space="preserve">HITRUST e1.csv</x:t>
        </x:is>
      </x:c>
      <x:c r="U55" s="5" t="inlineStr">
        <x:is>
          <x:t xml:space="preserve">45 C.F.R. § 164.312(e)(2)(ii)</x:t>
        </x:is>
      </x:c>
      <x:c r="V55" s="5" t="inlineStr">
        <x:is>
          <x:t xml:space="preserve">Transmission Security — Encryption</x:t>
        </x:is>
      </x:c>
      <x:c r="W55" s="5" t="inlineStr">
        <x:is>
          <x:t xml:space="preserve">Implement a mechanism to encrypt ePHI whenever deemed appropriate during electronic transmission.</x:t>
        </x:is>
      </x:c>
      <x:c r="X55" s="5" t="inlineStr">
        <x:is>
          <x:t xml:space="preserve">Addressable implementation specification</x:t>
        </x:is>
      </x:c>
      <x:c r="Y55" s="5" t="inlineStr">
        <x:is>
          <x:t xml:space="preserve">Technical Safeguards</x:t>
        </x:is>
      </x:c>
      <x:c r="Z55" s="28" t="inlineStr">
        <x:is>
          <x:t xml:space="preserve">https://www.ecfr.gov/current/title-45/subtitle-A/subchapter-C/part-164/section-164.312</x:t>
        </x:is>
      </x:c>
      <x:c r="AA55" s="28" t="inlineStr">
        <x:is>
          <x:t xml:space="preserve">https://www.hhs.gov/hipaa/for-professionals/faq/2001/is-the-use-of-encryption-mandatory-in-the-security-rule/index.html</x:t>
        </x:is>
      </x:c>
      <x:c r="AB55" s="5" t="n"/>
      <x:c r="AC55" s="5" t="n"/>
      <x:c r="AD55" s="5" t="n"/>
      <x:c r="AE55" s="5" t="n"/>
      <x:c r="AF55" s="5" t="n"/>
      <x:c r="AG55" s="5" t="n"/>
      <x:c r="AH55" s="5" t="n"/>
      <x:c r="AI55" s="5" t="n"/>
      <x:c r="AJ55" s="5" t="n"/>
      <x:c r="AK55" s="5" t="n"/>
      <x:c r="AL55" s="5" t="n"/>
      <x:c r="AM55" s="5" t="n"/>
      <x:c r="AN55" s="5" t="n"/>
      <x:c r="AO55" s="5" t="n"/>
      <x:c r="AP55" s="5" t="n"/>
      <x:c r="AQ55" s="5" t="n"/>
    </x:row>
    <x:row r="56" ht="30" customHeight="1">
      <x:c r="A56" s="5" t="inlineStr">
        <x:is>
          <x:t xml:space="preserve">REQ-35-HIPAA</x:t>
        </x:is>
      </x:c>
      <x:c r="B56" s="5" t="inlineStr">
        <x:is>
          <x:t xml:space="preserve">0903.10f1Organizational.1.a</x:t>
        </x:is>
      </x:c>
      <x:c r="C56" s="5" t="n">
        <x:v>1</x:v>
      </x:c>
      <x:c r="D56" s="5" t="inlineStr">
        <x:is>
          <x:t xml:space="preserve">Encryption In Transit (Ex. TLS Protocols)</x:t>
        </x:is>
      </x:c>
      <x:c r="E56" s="5" t="inlineStr">
        <x:is>
          <x:t xml:space="preserve">Configuration</x:t>
        </x:is>
      </x:c>
      <x:c r="F56" s="5" t="inlineStr">
        <x:is>
          <x:t xml:space="preserve">HITRUST e1.csv</x:t>
        </x:is>
      </x:c>
      <x:c r="G56" s="5" t="inlineStr">
        <x:is>
          <x:t xml:space="preserve">Many:Many</x:t>
        </x:is>
      </x:c>
      <x:c r="H56" s="5" t="inlineStr">
        <x:is>
          <x:t xml:space="preserve">45 CFR § 164.312(e)(2)(ii)</x:t>
        </x:is>
      </x:c>
      <x:c r="I56" s="5" t="inlineStr">
        <x:is>
          <x:t xml:space="preserve">Transmission Security — Encryption</x:t>
        </x:is>
      </x:c>
      <x:c r="J56" s="5" t="inlineStr">
        <x:is>
          <x:t xml:space="preserve">Direct</x:t>
        </x:is>
      </x:c>
      <x:c r="K56" s="5" t="inlineStr">
        <x:is>
          <x:t xml:space="preserve">Action item explicitly addresses encryption in transit.</x:t>
        </x:is>
      </x:c>
      <x:c r="L56"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6" s="5" t="inlineStr">
        <x:is>
          <x:t xml:space="preserve">Used for transport/TLS evidence.</x:t>
        </x:is>
      </x:c>
      <x:c r="N56" s="5" t="inlineStr">
        <x:is>
          <x:t xml:space="preserve">0903.10f1 Organizational.1.a</x:t>
        </x:is>
      </x:c>
      <x:c r="O56" s="5" t="n">
        <x:v>1</x:v>
      </x:c>
      <x:c r="P56" s="5" t="n"/>
      <x:c r="Q56" s="5" t="inlineStr">
        <x:is>
          <x:t xml:space="preserve">Encryption In Transit (Ex. TLS Protocols)</x:t>
        </x:is>
      </x:c>
      <x:c r="R56" s="5" t="inlineStr">
        <x:is>
          <x:t xml:space="preserve">Configuration</x:t>
        </x:is>
      </x:c>
      <x:c r="S56" s="5" t="n"/>
      <x:c r="T56" s="5" t="inlineStr">
        <x:is>
          <x:t xml:space="preserve">HITRUST e1.csv</x:t>
        </x:is>
      </x:c>
      <x:c r="U56" s="5" t="inlineStr">
        <x:is>
          <x:t xml:space="preserve">45 C.F.R. § 164.312(e)(2)(ii)</x:t>
        </x:is>
      </x:c>
      <x:c r="V56" s="5" t="inlineStr">
        <x:is>
          <x:t xml:space="preserve">Transmission Security — Encryption</x:t>
        </x:is>
      </x:c>
      <x:c r="W56" s="5" t="inlineStr">
        <x:is>
          <x:t xml:space="preserve">Implement a mechanism to encrypt ePHI whenever deemed appropriate during electronic transmission.</x:t>
        </x:is>
      </x:c>
      <x:c r="X56" s="5" t="inlineStr">
        <x:is>
          <x:t xml:space="preserve">Addressable implementation specification</x:t>
        </x:is>
      </x:c>
      <x:c r="Y56" s="5" t="inlineStr">
        <x:is>
          <x:t xml:space="preserve">Technical Safeguards</x:t>
        </x:is>
      </x:c>
      <x:c r="Z56" s="28" t="inlineStr">
        <x:is>
          <x:t xml:space="preserve">https://www.ecfr.gov/current/title-45/subtitle-A/subchapter-C/part-164/section-164.312</x:t>
        </x:is>
      </x:c>
      <x:c r="AA56" s="28" t="inlineStr">
        <x:is>
          <x:t xml:space="preserve">https://www.hhs.gov/hipaa/for-professionals/faq/2001/is-the-use-of-encryption-mandatory-in-the-security-rule/index.html</x:t>
        </x:is>
      </x:c>
      <x:c r="AB56" s="5" t="n"/>
      <x:c r="AC56" s="5" t="n"/>
      <x:c r="AD56" s="5" t="n"/>
      <x:c r="AE56" s="5" t="n"/>
      <x:c r="AF56" s="5" t="n"/>
      <x:c r="AG56" s="5" t="n"/>
      <x:c r="AH56" s="5" t="n"/>
      <x:c r="AI56" s="5" t="n"/>
      <x:c r="AJ56" s="5" t="n"/>
      <x:c r="AK56" s="5" t="n"/>
      <x:c r="AL56" s="5" t="n"/>
      <x:c r="AM56" s="5" t="n"/>
      <x:c r="AN56" s="5" t="n"/>
      <x:c r="AO56" s="5" t="n"/>
      <x:c r="AP56" s="5" t="n"/>
      <x:c r="AQ56" s="5" t="n"/>
    </x:row>
    <x:row r="57" ht="30" customHeight="1">
      <x:c r="A57" s="5" t="inlineStr">
        <x:is>
          <x:t xml:space="preserve">REQ-35-HIPAA</x:t>
        </x:is>
      </x:c>
      <x:c r="B57" s="5" t="inlineStr">
        <x:is>
          <x:t xml:space="preserve">0913.09s1Organizational.5</x:t>
        </x:is>
      </x:c>
      <x:c r="C57" s="5" t="n">
        <x:v>1</x:v>
      </x:c>
      <x:c r="D57" s="5" t="inlineStr">
        <x:is>
          <x:t xml:space="preserve">Encryption In Transit (Ex. TLS Protocols)</x:t>
        </x:is>
      </x:c>
      <x:c r="E57" s="5" t="inlineStr">
        <x:is>
          <x:t xml:space="preserve">Configuration</x:t>
        </x:is>
      </x:c>
      <x:c r="F57" s="5" t="inlineStr">
        <x:is>
          <x:t xml:space="preserve">HITRUST e1.csv</x:t>
        </x:is>
      </x:c>
      <x:c r="G57" s="5" t="inlineStr">
        <x:is>
          <x:t xml:space="preserve">Many:Many</x:t>
        </x:is>
      </x:c>
      <x:c r="H57" s="5" t="inlineStr">
        <x:is>
          <x:t xml:space="preserve">45 CFR § 164.312(e)(2)(ii)</x:t>
        </x:is>
      </x:c>
      <x:c r="I57" s="5" t="inlineStr">
        <x:is>
          <x:t xml:space="preserve">Transmission Security — Encryption</x:t>
        </x:is>
      </x:c>
      <x:c r="J57" s="5" t="inlineStr">
        <x:is>
          <x:t xml:space="preserve">Direct</x:t>
        </x:is>
      </x:c>
      <x:c r="K57" s="5" t="inlineStr">
        <x:is>
          <x:t xml:space="preserve">Action item explicitly addresses encryption in transit.</x:t>
        </x:is>
      </x:c>
      <x:c r="L57"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7" s="5" t="inlineStr">
        <x:is>
          <x:t xml:space="preserve">Used for transport/TLS evidence.</x:t>
        </x:is>
      </x:c>
      <x:c r="N57" s="5" t="inlineStr">
        <x:is>
          <x:t xml:space="preserve">0913.09s1 Organizational.5</x:t>
        </x:is>
      </x:c>
      <x:c r="O57" s="5" t="n">
        <x:v>1</x:v>
      </x:c>
      <x:c r="P57" s="5" t="n"/>
      <x:c r="Q57" s="5" t="inlineStr">
        <x:is>
          <x:t xml:space="preserve">Encryption In Transit (Ex. TLS Protocols)</x:t>
        </x:is>
      </x:c>
      <x:c r="R57" s="5" t="inlineStr">
        <x:is>
          <x:t xml:space="preserve">Configuration</x:t>
        </x:is>
      </x:c>
      <x:c r="S57" s="5" t="n"/>
      <x:c r="T57" s="5" t="inlineStr">
        <x:is>
          <x:t xml:space="preserve">HITRUST e1.csv</x:t>
        </x:is>
      </x:c>
      <x:c r="U57" s="5" t="inlineStr">
        <x:is>
          <x:t xml:space="preserve">45 C.F.R. § 164.312(e)(2)(ii)</x:t>
        </x:is>
      </x:c>
      <x:c r="V57" s="5" t="inlineStr">
        <x:is>
          <x:t xml:space="preserve">Transmission Security — Encryption</x:t>
        </x:is>
      </x:c>
      <x:c r="W57" s="5" t="inlineStr">
        <x:is>
          <x:t xml:space="preserve">Implement a mechanism to encrypt ePHI whenever deemed appropriate during electronic transmission.</x:t>
        </x:is>
      </x:c>
      <x:c r="X57" s="5" t="inlineStr">
        <x:is>
          <x:t xml:space="preserve">Addressable implementation specification</x:t>
        </x:is>
      </x:c>
      <x:c r="Y57" s="5" t="inlineStr">
        <x:is>
          <x:t xml:space="preserve">Technical Safeguards</x:t>
        </x:is>
      </x:c>
      <x:c r="Z57" s="28" t="inlineStr">
        <x:is>
          <x:t xml:space="preserve">https://www.ecfr.gov/current/title-45/subtitle-A/subchapter-C/part-164/section-164.312</x:t>
        </x:is>
      </x:c>
      <x:c r="AA57" s="28" t="inlineStr">
        <x:is>
          <x:t xml:space="preserve">https://www.hhs.gov/hipaa/for-professionals/faq/2001/is-the-use-of-encryption-mandatory-in-the-security-rule/index.html</x:t>
        </x:is>
      </x:c>
      <x:c r="AB57" s="5" t="n"/>
      <x:c r="AC57" s="5" t="n"/>
      <x:c r="AD57" s="5" t="n"/>
      <x:c r="AE57" s="5" t="n"/>
      <x:c r="AF57" s="5" t="n"/>
      <x:c r="AG57" s="5" t="n"/>
      <x:c r="AH57" s="5" t="n"/>
      <x:c r="AI57" s="5" t="n"/>
      <x:c r="AJ57" s="5" t="n"/>
      <x:c r="AK57" s="5" t="n"/>
      <x:c r="AL57" s="5" t="n"/>
      <x:c r="AM57" s="5" t="n"/>
      <x:c r="AN57" s="5" t="n"/>
      <x:c r="AO57" s="5" t="n"/>
      <x:c r="AP57" s="5" t="n"/>
      <x:c r="AQ57" s="5" t="n"/>
    </x:row>
    <x:row r="58" ht="30" customHeight="1">
      <x:c r="A58" s="5" t="inlineStr">
        <x:is>
          <x:t xml:space="preserve">REQ-35-HIPAA</x:t>
        </x:is>
      </x:c>
      <x:c r="B58" s="5" t="inlineStr">
        <x:is>
          <x:t xml:space="preserve">0928.09v2Organizational.1</x:t>
        </x:is>
      </x:c>
      <x:c r="C58" s="5" t="n">
        <x:v>1</x:v>
      </x:c>
      <x:c r="D58" s="5" t="inlineStr">
        <x:is>
          <x:t xml:space="preserve">Encryption In Transit (Ex. TLS Protocols)</x:t>
        </x:is>
      </x:c>
      <x:c r="E58" s="5" t="inlineStr">
        <x:is>
          <x:t xml:space="preserve">Configuration</x:t>
        </x:is>
      </x:c>
      <x:c r="F58" s="5" t="inlineStr">
        <x:is>
          <x:t xml:space="preserve">HITRUST e1.csv</x:t>
        </x:is>
      </x:c>
      <x:c r="G58" s="5" t="inlineStr">
        <x:is>
          <x:t xml:space="preserve">Many:Many</x:t>
        </x:is>
      </x:c>
      <x:c r="H58" s="5" t="inlineStr">
        <x:is>
          <x:t xml:space="preserve">45 CFR § 164.312(e)(2)(ii)</x:t>
        </x:is>
      </x:c>
      <x:c r="I58" s="5" t="inlineStr">
        <x:is>
          <x:t xml:space="preserve">Transmission Security — Encryption</x:t>
        </x:is>
      </x:c>
      <x:c r="J58" s="5" t="inlineStr">
        <x:is>
          <x:t xml:space="preserve">Direct</x:t>
        </x:is>
      </x:c>
      <x:c r="K58" s="5" t="inlineStr">
        <x:is>
          <x:t xml:space="preserve">Action item explicitly addresses encryption in transit.</x:t>
        </x:is>
      </x:c>
      <x:c r="L58"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8" s="5" t="inlineStr">
        <x:is>
          <x:t xml:space="preserve">Used for transport/TLS evidence.</x:t>
        </x:is>
      </x:c>
      <x:c r="N58" s="5" t="inlineStr">
        <x:is>
          <x:t xml:space="preserve">0928.09v2 Organizational.1</x:t>
        </x:is>
      </x:c>
      <x:c r="O58" s="5" t="n">
        <x:v>1</x:v>
      </x:c>
      <x:c r="P58" s="5" t="n"/>
      <x:c r="Q58" s="5" t="inlineStr">
        <x:is>
          <x:t xml:space="preserve">Encryption In Transit (Ex. TLS Protocols)</x:t>
        </x:is>
      </x:c>
      <x:c r="R58" s="5" t="inlineStr">
        <x:is>
          <x:t xml:space="preserve">Configuration</x:t>
        </x:is>
      </x:c>
      <x:c r="S58" s="5" t="n"/>
      <x:c r="T58" s="5" t="inlineStr">
        <x:is>
          <x:t xml:space="preserve">HITRUST e1.csv</x:t>
        </x:is>
      </x:c>
      <x:c r="U58" s="5" t="inlineStr">
        <x:is>
          <x:t xml:space="preserve">45 C.F.R. § 164.312(e)(2)(ii)</x:t>
        </x:is>
      </x:c>
      <x:c r="V58" s="5" t="inlineStr">
        <x:is>
          <x:t xml:space="preserve">Transmission Security — Encryption</x:t>
        </x:is>
      </x:c>
      <x:c r="W58" s="5" t="inlineStr">
        <x:is>
          <x:t xml:space="preserve">Implement a mechanism to encrypt ePHI whenever deemed appropriate during electronic transmission.</x:t>
        </x:is>
      </x:c>
      <x:c r="X58" s="5" t="inlineStr">
        <x:is>
          <x:t xml:space="preserve">Addressable implementation specification</x:t>
        </x:is>
      </x:c>
      <x:c r="Y58" s="5" t="inlineStr">
        <x:is>
          <x:t xml:space="preserve">Technical Safeguards</x:t>
        </x:is>
      </x:c>
      <x:c r="Z58" s="28" t="inlineStr">
        <x:is>
          <x:t xml:space="preserve">https://www.ecfr.gov/current/title-45/subtitle-A/subchapter-C/part-164/section-164.312</x:t>
        </x:is>
      </x:c>
      <x:c r="AA58" s="28" t="inlineStr">
        <x:is>
          <x:t xml:space="preserve">https://www.hhs.gov/hipaa/for-professionals/faq/2001/is-the-use-of-encryption-mandatory-in-the-security-rule/index.html</x:t>
        </x:is>
      </x:c>
      <x:c r="AB58" s="5" t="n"/>
      <x:c r="AC58" s="5" t="n"/>
      <x:c r="AD58" s="5" t="n"/>
      <x:c r="AE58" s="5" t="n"/>
      <x:c r="AF58" s="5" t="n"/>
      <x:c r="AG58" s="5" t="n"/>
      <x:c r="AH58" s="5" t="n"/>
      <x:c r="AI58" s="5" t="n"/>
      <x:c r="AJ58" s="5" t="n"/>
      <x:c r="AK58" s="5" t="n"/>
      <x:c r="AL58" s="5" t="n"/>
      <x:c r="AM58" s="5" t="n"/>
      <x:c r="AN58" s="5" t="n"/>
      <x:c r="AO58" s="5" t="n"/>
      <x:c r="AP58" s="5" t="n"/>
      <x:c r="AQ58" s="5" t="n"/>
    </x:row>
    <x:row r="59" ht="30" customHeight="1">
      <x:c r="A59" s="5" t="inlineStr">
        <x:is>
          <x:t xml:space="preserve">REQ-35-HIPAA</x:t>
        </x:is>
      </x:c>
      <x:c r="B59" s="5" t="inlineStr">
        <x:is>
          <x:t xml:space="preserve">0945.09y1Organizational.3</x:t>
        </x:is>
      </x:c>
      <x:c r="C59" s="5" t="n">
        <x:v>1</x:v>
      </x:c>
      <x:c r="D59" s="5" t="inlineStr">
        <x:is>
          <x:t xml:space="preserve">Encryption In Transit (Ex. TLS Protocols)</x:t>
        </x:is>
      </x:c>
      <x:c r="E59" s="5" t="inlineStr">
        <x:is>
          <x:t xml:space="preserve">Configuration</x:t>
        </x:is>
      </x:c>
      <x:c r="F59" s="5" t="inlineStr">
        <x:is>
          <x:t xml:space="preserve">HITRUST e1.csv</x:t>
        </x:is>
      </x:c>
      <x:c r="G59" s="5" t="inlineStr">
        <x:is>
          <x:t xml:space="preserve">Many:Many</x:t>
        </x:is>
      </x:c>
      <x:c r="H59" s="5" t="inlineStr">
        <x:is>
          <x:t xml:space="preserve">45 CFR § 164.312(e)(2)(ii)</x:t>
        </x:is>
      </x:c>
      <x:c r="I59" s="5" t="inlineStr">
        <x:is>
          <x:t xml:space="preserve">Transmission Security — Encryption</x:t>
        </x:is>
      </x:c>
      <x:c r="J59" s="5" t="inlineStr">
        <x:is>
          <x:t xml:space="preserve">Direct</x:t>
        </x:is>
      </x:c>
      <x:c r="K59" s="5" t="inlineStr">
        <x:is>
          <x:t xml:space="preserve">Action item explicitly addresses encryption in transit.</x:t>
        </x:is>
      </x:c>
      <x:c r="L59"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59" s="5" t="inlineStr">
        <x:is>
          <x:t xml:space="preserve">Used for transport/TLS evidence.</x:t>
        </x:is>
      </x:c>
      <x:c r="N59" s="5" t="inlineStr">
        <x:is>
          <x:t xml:space="preserve">0945.09y1 Organizational.3</x:t>
        </x:is>
      </x:c>
      <x:c r="O59" s="5" t="n">
        <x:v>1</x:v>
      </x:c>
      <x:c r="P59" s="5" t="n"/>
      <x:c r="Q59" s="5" t="inlineStr">
        <x:is>
          <x:t xml:space="preserve">Encryption In Transit (Ex. TLS Protocols)</x:t>
        </x:is>
      </x:c>
      <x:c r="R59" s="5" t="inlineStr">
        <x:is>
          <x:t xml:space="preserve">Configuration</x:t>
        </x:is>
      </x:c>
      <x:c r="S59" s="5" t="n"/>
      <x:c r="T59" s="5" t="inlineStr">
        <x:is>
          <x:t xml:space="preserve">HITRUST e1.csv</x:t>
        </x:is>
      </x:c>
      <x:c r="U59" s="5" t="inlineStr">
        <x:is>
          <x:t xml:space="preserve">45 C.F.R. § 164.312(e)(2)(ii)</x:t>
        </x:is>
      </x:c>
      <x:c r="V59" s="5" t="inlineStr">
        <x:is>
          <x:t xml:space="preserve">Transmission Security — Encryption</x:t>
        </x:is>
      </x:c>
      <x:c r="W59" s="5" t="inlineStr">
        <x:is>
          <x:t xml:space="preserve">Implement a mechanism to encrypt ePHI whenever deemed appropriate during electronic transmission.</x:t>
        </x:is>
      </x:c>
      <x:c r="X59" s="5" t="inlineStr">
        <x:is>
          <x:t xml:space="preserve">Addressable implementation specification</x:t>
        </x:is>
      </x:c>
      <x:c r="Y59" s="5" t="inlineStr">
        <x:is>
          <x:t xml:space="preserve">Technical Safeguards</x:t>
        </x:is>
      </x:c>
      <x:c r="Z59" s="28" t="inlineStr">
        <x:is>
          <x:t xml:space="preserve">https://www.ecfr.gov/current/title-45/subtitle-A/subchapter-C/part-164/section-164.312</x:t>
        </x:is>
      </x:c>
      <x:c r="AA59" s="28" t="inlineStr">
        <x:is>
          <x:t xml:space="preserve">https://www.hhs.gov/hipaa/for-professionals/faq/2001/is-the-use-of-encryption-mandatory-in-the-security-rule/index.html</x:t>
        </x:is>
      </x:c>
      <x:c r="AB59" s="5" t="n"/>
      <x:c r="AC59" s="5" t="n"/>
      <x:c r="AD59" s="5" t="n"/>
      <x:c r="AE59" s="5" t="n"/>
      <x:c r="AF59" s="5" t="n"/>
      <x:c r="AG59" s="5" t="n"/>
      <x:c r="AH59" s="5" t="n"/>
      <x:c r="AI59" s="5" t="n"/>
      <x:c r="AJ59" s="5" t="n"/>
      <x:c r="AK59" s="5" t="n"/>
      <x:c r="AL59" s="5" t="n"/>
      <x:c r="AM59" s="5" t="n"/>
      <x:c r="AN59" s="5" t="n"/>
      <x:c r="AO59" s="5" t="n"/>
      <x:c r="AP59" s="5" t="n"/>
      <x:c r="AQ59" s="5" t="n"/>
    </x:row>
    <x:row r="60" ht="30" customHeight="1">
      <x:c r="A60" s="5" t="inlineStr">
        <x:is>
          <x:t xml:space="preserve">REQ-35-HIPAA</x:t>
        </x:is>
      </x:c>
      <x:c r="B60" s="5" t="inlineStr">
        <x:is>
          <x:t xml:space="preserve">0954.10d1System.1</x:t>
        </x:is>
      </x:c>
      <x:c r="C60" s="5" t="n">
        <x:v>1</x:v>
      </x:c>
      <x:c r="D60" s="5" t="inlineStr">
        <x:is>
          <x:t xml:space="preserve">Encryption In Transit (Ex. TLS Protocols)</x:t>
        </x:is>
      </x:c>
      <x:c r="E60" s="5" t="inlineStr">
        <x:is>
          <x:t xml:space="preserve">Configuration</x:t>
        </x:is>
      </x:c>
      <x:c r="F60" s="5" t="inlineStr">
        <x:is>
          <x:t xml:space="preserve">HITRUST e1.csv</x:t>
        </x:is>
      </x:c>
      <x:c r="G60" s="5" t="inlineStr">
        <x:is>
          <x:t xml:space="preserve">Many:Many</x:t>
        </x:is>
      </x:c>
      <x:c r="H60" s="5" t="inlineStr">
        <x:is>
          <x:t xml:space="preserve">45 CFR § 164.312(e)(2)(ii)</x:t>
        </x:is>
      </x:c>
      <x:c r="I60" s="5" t="inlineStr">
        <x:is>
          <x:t xml:space="preserve">Transmission Security — Encryption</x:t>
        </x:is>
      </x:c>
      <x:c r="J60" s="5" t="inlineStr">
        <x:is>
          <x:t xml:space="preserve">Direct</x:t>
        </x:is>
      </x:c>
      <x:c r="K60" s="5" t="inlineStr">
        <x:is>
          <x:t xml:space="preserve">Action item explicitly addresses encryption in transit.</x:t>
        </x:is>
      </x:c>
      <x:c r="L60"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60" s="5" t="inlineStr">
        <x:is>
          <x:t xml:space="preserve">Used for transport/TLS evidence.</x:t>
        </x:is>
      </x:c>
      <x:c r="N60" s="5" t="inlineStr">
        <x:is>
          <x:t xml:space="preserve">0954.10d1 System.1</x:t>
        </x:is>
      </x:c>
      <x:c r="O60" s="5" t="n">
        <x:v>1</x:v>
      </x:c>
      <x:c r="P60" s="5" t="n"/>
      <x:c r="Q60" s="5" t="inlineStr">
        <x:is>
          <x:t xml:space="preserve">Encryption In Transit (Ex. TLS Protocols)</x:t>
        </x:is>
      </x:c>
      <x:c r="R60" s="5" t="inlineStr">
        <x:is>
          <x:t xml:space="preserve">Configuration</x:t>
        </x:is>
      </x:c>
      <x:c r="S60" s="5" t="n"/>
      <x:c r="T60" s="5" t="inlineStr">
        <x:is>
          <x:t xml:space="preserve">HITRUST e1.csv</x:t>
        </x:is>
      </x:c>
      <x:c r="U60" s="5" t="inlineStr">
        <x:is>
          <x:t xml:space="preserve">45 C.F.R. § 164.312(e)(2)(ii)</x:t>
        </x:is>
      </x:c>
      <x:c r="V60" s="5" t="inlineStr">
        <x:is>
          <x:t xml:space="preserve">Transmission Security — Encryption</x:t>
        </x:is>
      </x:c>
      <x:c r="W60" s="5" t="inlineStr">
        <x:is>
          <x:t xml:space="preserve">Implement a mechanism to encrypt ePHI whenever deemed appropriate during electronic transmission.</x:t>
        </x:is>
      </x:c>
      <x:c r="X60" s="5" t="inlineStr">
        <x:is>
          <x:t xml:space="preserve">Addressable implementation specification</x:t>
        </x:is>
      </x:c>
      <x:c r="Y60" s="5" t="inlineStr">
        <x:is>
          <x:t xml:space="preserve">Technical Safeguards</x:t>
        </x:is>
      </x:c>
      <x:c r="Z60" s="28" t="inlineStr">
        <x:is>
          <x:t xml:space="preserve">https://www.ecfr.gov/current/title-45/subtitle-A/subchapter-C/part-164/section-164.312</x:t>
        </x:is>
      </x:c>
      <x:c r="AA60" s="28" t="inlineStr">
        <x:is>
          <x:t xml:space="preserve">https://www.hhs.gov/hipaa/for-professionals/faq/2001/is-the-use-of-encryption-mandatory-in-the-security-rule/index.html</x:t>
        </x:is>
      </x:c>
      <x:c r="AB60" s="5" t="n"/>
      <x:c r="AC60" s="5" t="n"/>
      <x:c r="AD60" s="5" t="n"/>
      <x:c r="AE60" s="5" t="n"/>
      <x:c r="AF60" s="5" t="n"/>
      <x:c r="AG60" s="5" t="n"/>
      <x:c r="AH60" s="5" t="n"/>
      <x:c r="AI60" s="5" t="n"/>
      <x:c r="AJ60" s="5" t="n"/>
      <x:c r="AK60" s="5" t="n"/>
      <x:c r="AL60" s="5" t="n"/>
      <x:c r="AM60" s="5" t="n"/>
      <x:c r="AN60" s="5" t="n"/>
      <x:c r="AO60" s="5" t="n"/>
      <x:c r="AP60" s="5" t="n"/>
      <x:c r="AQ60" s="5" t="n"/>
    </x:row>
    <x:row r="61" ht="30" customHeight="1">
      <x:c r="A61" s="5" t="inlineStr">
        <x:is>
          <x:t xml:space="preserve">REQ-35-HIPAA</x:t>
        </x:is>
      </x:c>
      <x:c r="B61" s="5" t="inlineStr">
        <x:is>
          <x:t xml:space="preserve">1013.01r1System.2</x:t>
        </x:is>
      </x:c>
      <x:c r="C61" s="5" t="n">
        <x:v>1</x:v>
      </x:c>
      <x:c r="D61" s="5" t="inlineStr">
        <x:is>
          <x:t xml:space="preserve">Encryption In Transit (Ex. TLS Protocols)</x:t>
        </x:is>
      </x:c>
      <x:c r="E61" s="5" t="inlineStr">
        <x:is>
          <x:t xml:space="preserve">Configuration</x:t>
        </x:is>
      </x:c>
      <x:c r="F61" s="5" t="inlineStr">
        <x:is>
          <x:t xml:space="preserve">HITRUST e1.csv</x:t>
        </x:is>
      </x:c>
      <x:c r="G61" s="5" t="inlineStr">
        <x:is>
          <x:t xml:space="preserve">Many:Many</x:t>
        </x:is>
      </x:c>
      <x:c r="H61" s="5" t="inlineStr">
        <x:is>
          <x:t xml:space="preserve">45 CFR § 164.312(e)(2)(ii)</x:t>
        </x:is>
      </x:c>
      <x:c r="I61" s="5" t="inlineStr">
        <x:is>
          <x:t xml:space="preserve">Transmission Security — Encryption</x:t>
        </x:is>
      </x:c>
      <x:c r="J61" s="5" t="inlineStr">
        <x:is>
          <x:t xml:space="preserve">Direct</x:t>
        </x:is>
      </x:c>
      <x:c r="K61" s="5" t="inlineStr">
        <x:is>
          <x:t xml:space="preserve">Action item explicitly addresses encryption in transit.</x:t>
        </x:is>
      </x:c>
      <x:c r="L61" s="28" t="inlineStr">
        <x:is>
          <x:t xml:space="preserve">https://www.ecfr.gov/current/title-45/subtitle-A/subchapter-C/part-164/section-164.312 | https://www.hhs.gov/sites/default/files/ocr/privacy/hipaa/administrative/combined/hipaa-simplification-201303.pdf | https://www.hhs.gov/hipaa/for-professionals/security/guidance/cybersecurity-newsletter-january-2026/index.html</x:t>
        </x:is>
      </x:c>
      <x:c r="M61" s="5" t="inlineStr">
        <x:is>
          <x:t xml:space="preserve">Used for transport/TLS evidence.</x:t>
        </x:is>
      </x:c>
      <x:c r="N61" s="5" t="inlineStr">
        <x:is>
          <x:t xml:space="preserve">1013.01r1 System.2</x:t>
        </x:is>
      </x:c>
      <x:c r="O61" s="5" t="n">
        <x:v>1</x:v>
      </x:c>
      <x:c r="P61" s="5" t="n"/>
      <x:c r="Q61" s="5" t="inlineStr">
        <x:is>
          <x:t xml:space="preserve">Encryption In Transit (Ex. TLS Protocols)</x:t>
        </x:is>
      </x:c>
      <x:c r="R61" s="5" t="inlineStr">
        <x:is>
          <x:t xml:space="preserve">Configuration</x:t>
        </x:is>
      </x:c>
      <x:c r="S61" s="5" t="n"/>
      <x:c r="T61" s="5" t="inlineStr">
        <x:is>
          <x:t xml:space="preserve">HITRUST e1.csv</x:t>
        </x:is>
      </x:c>
      <x:c r="U61" s="5" t="inlineStr">
        <x:is>
          <x:t xml:space="preserve">45 C.F.R. § 164.312(e)(2)(ii)</x:t>
        </x:is>
      </x:c>
      <x:c r="V61" s="5" t="inlineStr">
        <x:is>
          <x:t xml:space="preserve">Transmission Security — Encryption</x:t>
        </x:is>
      </x:c>
      <x:c r="W61" s="5" t="inlineStr">
        <x:is>
          <x:t xml:space="preserve">Implement a mechanism to encrypt ePHI whenever deemed appropriate during electronic transmission.</x:t>
        </x:is>
      </x:c>
      <x:c r="X61" s="5" t="inlineStr">
        <x:is>
          <x:t xml:space="preserve">Addressable implementation specification</x:t>
        </x:is>
      </x:c>
      <x:c r="Y61" s="5" t="inlineStr">
        <x:is>
          <x:t xml:space="preserve">Technical Safeguards</x:t>
        </x:is>
      </x:c>
      <x:c r="Z61" s="28" t="inlineStr">
        <x:is>
          <x:t xml:space="preserve">https://www.ecfr.gov/current/title-45/subtitle-A/subchapter-C/part-164/section-164.312</x:t>
        </x:is>
      </x:c>
      <x:c r="AA61" s="28" t="inlineStr">
        <x:is>
          <x:t xml:space="preserve">https://www.hhs.gov/hipaa/for-professionals/faq/2001/is-the-use-of-encryption-mandatory-in-the-security-rule/index.html</x:t>
        </x:is>
      </x:c>
      <x:c r="AB61" s="5" t="n"/>
      <x:c r="AC61" s="5" t="n"/>
      <x:c r="AD61" s="5" t="n"/>
      <x:c r="AE61" s="5" t="n"/>
      <x:c r="AF61" s="5" t="n"/>
      <x:c r="AG61" s="5" t="n"/>
      <x:c r="AH61" s="5" t="n"/>
      <x:c r="AI61" s="5" t="n"/>
      <x:c r="AJ61" s="5" t="n"/>
      <x:c r="AK61" s="5" t="n"/>
      <x:c r="AL61" s="5" t="n"/>
      <x:c r="AM61" s="5" t="n"/>
      <x:c r="AN61" s="5" t="n"/>
      <x:c r="AO61" s="5" t="n"/>
      <x:c r="AP61" s="5" t="n"/>
      <x:c r="AQ61" s="5" t="n"/>
    </x:row>
    <x:row r="62" ht="30" customHeight="1">
      <x:c r="A62" s="5" t="inlineStr">
        <x:is>
          <x:t xml:space="preserve">REQ-35-HIPAA</x:t>
        </x:is>
      </x:c>
      <x:c r="B62" s="5" t="inlineStr">
        <x:is>
          <x:t xml:space="preserve">1903.06d1Organizational.3456711</x:t>
        </x:is>
      </x:c>
      <x:c r="C62" s="5" t="n">
        <x:v>1</x:v>
      </x:c>
      <x:c r="D62" s="5" t="inlineStr">
        <x:is>
          <x:t xml:space="preserve">Data Encryption at Rest</x:t>
        </x:is>
      </x:c>
      <x:c r="E62" s="5" t="inlineStr">
        <x:is>
          <x:t xml:space="preserve">Configuration</x:t>
        </x:is>
      </x:c>
      <x:c r="F62" s="5" t="inlineStr">
        <x:is>
          <x:t xml:space="preserve">HITRUST e1.csv</x:t>
        </x:is>
      </x:c>
      <x:c r="G62" s="5" t="inlineStr">
        <x:is>
          <x:t xml:space="preserve">Many:Many</x:t>
        </x:is>
      </x:c>
      <x:c r="H62" s="5" t="inlineStr">
        <x:is>
          <x:t xml:space="preserve">45 CFR § 164.312(a)(2)(iv)</x:t>
        </x:is>
      </x:c>
      <x:c r="I62" s="5" t="inlineStr">
        <x:is>
          <x:t xml:space="preserve">Access Control — Encryption and Decryption</x:t>
        </x:is>
      </x:c>
      <x:c r="J62" s="5" t="inlineStr">
        <x:is>
          <x:t xml:space="preserve">Best-fit</x:t>
        </x:is>
      </x:c>
      <x:c r="K62" s="5" t="inlineStr">
        <x:is>
          <x:t xml:space="preserve">This internal control ID also appears on an at-rest encryption row in the source spreadsheets, so the row context points to at-rest encryption even though the same control family also covers transmission encryption elsewhere.</x:t>
        </x:is>
      </x:c>
      <x:c r="L62" s="28" t="inlineStr">
        <x:is>
          <x:t xml:space="preserve">https://www.ecfr.gov/current/title-45/subtitle-A/subchapter-C/part-164/section-164.312 | https://www.hhs.gov/hipaa/for-professionals/compliance-enforcement/audit/protocol/index.html | https://www.hhs.gov/sites/default/files/ocr/privacy/hipaa/administrative/combined/hipaa-simplification-201303.pdf</x:t>
        </x:is>
      </x:c>
      <x:c r="M62" s="5" t="inlineStr">
        <x:is>
          <x:t xml:space="preserve">Row-context mapping takes precedence over the broader internal control family.</x:t>
        </x:is>
      </x:c>
      <x:c r="N62" s="5" t="inlineStr">
        <x:is>
          <x:t xml:space="preserve">1903.06d1 Organizational.3456711</x:t>
        </x:is>
      </x:c>
      <x:c r="O62" s="5" t="n">
        <x:v>1</x:v>
      </x:c>
      <x:c r="P62" s="5" t="n"/>
      <x:c r="Q62" s="5" t="inlineStr">
        <x:is>
          <x:t xml:space="preserve">Data Encryption at Rest</x:t>
        </x:is>
      </x:c>
      <x:c r="R62" s="5" t="inlineStr">
        <x:is>
          <x:t xml:space="preserve">Configuration</x:t>
        </x:is>
      </x:c>
      <x:c r="S62" s="5" t="n"/>
      <x:c r="T62" s="5" t="inlineStr">
        <x:is>
          <x:t xml:space="preserve">HITRUST e1.csv</x:t>
        </x:is>
      </x:c>
      <x:c r="U62" s="5" t="inlineStr">
        <x:is>
          <x:t xml:space="preserve">45 C.F.R. § 164.312(a)(2)(iv)</x:t>
        </x:is>
      </x:c>
      <x:c r="V62" s="5" t="inlineStr">
        <x:is>
          <x:t xml:space="preserve">Access Control — Encryption and Decryption</x:t>
        </x:is>
      </x:c>
      <x:c r="W62" s="5" t="inlineStr">
        <x:is>
          <x:t xml:space="preserve">Implement a mechanism to encrypt and decrypt ePHI.</x:t>
        </x:is>
      </x:c>
      <x:c r="X62" s="5" t="inlineStr">
        <x:is>
          <x:t xml:space="preserve">Addressable implementation specification</x:t>
        </x:is>
      </x:c>
      <x:c r="Y62" s="5" t="inlineStr">
        <x:is>
          <x:t xml:space="preserve">Technical Safeguards</x:t>
        </x:is>
      </x:c>
      <x:c r="Z62" s="28" t="inlineStr">
        <x:is>
          <x:t xml:space="preserve">https://www.ecfr.gov/current/title-45/subtitle-A/subchapter-C/part-164/section-164.312</x:t>
        </x:is>
      </x:c>
      <x:c r="AA62" s="28" t="inlineStr">
        <x:is>
          <x:t xml:space="preserve">https://www.hhs.gov/hipaa/for-professionals/faq/2001/is-the-use-of-encryption-mandatory-in-the-security-rule/index.html</x:t>
        </x:is>
      </x:c>
      <x:c r="AB62" s="5" t="n"/>
      <x:c r="AC62" s="5" t="n"/>
      <x:c r="AD62" s="5" t="n"/>
      <x:c r="AE62" s="5" t="n"/>
      <x:c r="AF62" s="5" t="n"/>
      <x:c r="AG62" s="5" t="n"/>
      <x:c r="AH62" s="5" t="n"/>
      <x:c r="AI62" s="5" t="n"/>
      <x:c r="AJ62" s="5" t="n"/>
      <x:c r="AK62" s="5" t="n"/>
      <x:c r="AL62" s="5" t="n"/>
      <x:c r="AM62" s="5" t="n"/>
      <x:c r="AN62" s="5" t="n"/>
      <x:c r="AO62" s="5" t="n"/>
      <x:c r="AP62" s="5" t="n"/>
      <x:c r="AQ62" s="5" t="n"/>
    </x:row>
    <x:row r="63" ht="30" customHeight="1">
      <x:c r="A63" s="5" t="inlineStr">
        <x:is>
          <x:t xml:space="preserve">REQ-36-HIPAA</x:t>
        </x:is>
      </x:c>
      <x:c r="B63" s="5" t="inlineStr">
        <x:is>
          <x:t xml:space="preserve">0504.09m1Organizational.13</x:t>
        </x:is>
      </x:c>
      <x:c r="C63" s="5" t="n">
        <x:v>1</x:v>
      </x:c>
      <x:c r="D63" s="5" t="inlineStr">
        <x:is>
          <x:t xml:space="preserve">Network Diagram and Segmentation</x:t>
        </x:is>
      </x:c>
      <x:c r="E63" s="5" t="inlineStr">
        <x:is>
          <x:t xml:space="preserve">Configuration</x:t>
        </x:is>
      </x:c>
      <x:c r="F63" s="5" t="inlineStr">
        <x:is>
          <x:t xml:space="preserve">HITRUST e1.csv</x:t>
        </x:is>
      </x:c>
      <x:c r="G63" s="5" t="inlineStr">
        <x:is>
          <x:t xml:space="preserve">1:Many</x:t>
        </x:is>
      </x:c>
      <x:c r="H63" s="5" t="inlineStr">
        <x:is>
          <x:t xml:space="preserve">45 CFR § 164.312(a)(1)</x:t>
        </x:is>
      </x:c>
      <x:c r="I63" s="5" t="inlineStr">
        <x:is>
          <x:t xml:space="preserve">Access Control</x:t>
        </x:is>
      </x:c>
      <x:c r="J63" s="5" t="inlineStr">
        <x:is>
          <x:t xml:space="preserve">Best-fit</x:t>
        </x:is>
      </x:c>
      <x:c r="K63" s="5" t="inlineStr">
        <x:is>
          <x:t xml:space="preserve">HIPAA does not explicitly name network segmentation, but OCR guidance and enforcement materials cite segmentation as a way to implement access control between systems.</x:t>
        </x:is>
      </x:c>
      <x:c r="L63" s="28"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M63" s="5" t="inlineStr">
        <x:is>
          <x:t xml:space="preserve">Mapped as an access-control implementation example rather than a standalone named HIPAA implementation specification.</x:t>
        </x:is>
      </x:c>
      <x:c r="N63" s="5" t="inlineStr">
        <x:is>
          <x:t xml:space="preserve">0504.09m1 Organizational.13</x:t>
        </x:is>
      </x:c>
      <x:c r="O63" s="5" t="n">
        <x:v>1</x:v>
      </x:c>
      <x:c r="P63" s="5" t="n"/>
      <x:c r="Q63" s="5" t="inlineStr">
        <x:is>
          <x:t xml:space="preserve">Network Diagram and Segmentation</x:t>
        </x:is>
      </x:c>
      <x:c r="R63" s="5" t="inlineStr">
        <x:is>
          <x:t xml:space="preserve">Configuration</x:t>
        </x:is>
      </x:c>
      <x:c r="S63" s="5" t="n"/>
      <x:c r="T63" s="5" t="inlineStr">
        <x:is>
          <x:t xml:space="preserve">HITRUST e1.csv</x:t>
        </x:is>
      </x:c>
      <x:c r="U63" s="5" t="inlineStr">
        <x:is>
          <x:t xml:space="preserve">45 C.F.R. § 164.312(a)(1)</x:t>
        </x:is>
      </x:c>
      <x:c r="V63" s="5" t="inlineStr">
        <x:is>
          <x:t xml:space="preserve">Access Control</x:t>
        </x:is>
      </x:c>
      <x:c r="W63" s="5" t="inlineStr">
        <x:is>
          <x:t xml:space="preserve">Implement technical policies and procedures for electronic information systems that maintain ePHI to allow access only to persons or software programs with authorized access rights.</x:t>
        </x:is>
      </x:c>
      <x:c r="X63" s="5" t="inlineStr">
        <x:is>
          <x:t xml:space="preserve">Standard</x:t>
        </x:is>
      </x:c>
      <x:c r="Y63" s="5" t="inlineStr">
        <x:is>
          <x:t xml:space="preserve">Technical Safeguards</x:t>
        </x:is>
      </x:c>
      <x:c r="Z63" s="28" t="inlineStr">
        <x:is>
          <x:t xml:space="preserve">https://www.ecfr.gov/current/title-45/subtitle-A/subchapter-C/part-164/section-164.312</x:t>
        </x:is>
      </x:c>
      <x:c r="AA63" s="28" t="inlineStr">
        <x:is>
          <x:t xml:space="preserve">https://www.hhs.gov/hipaa/for-professionals/compliance-enforcement/audit/protocol-edited/index.html</x:t>
        </x:is>
      </x:c>
      <x:c r="AB63" s="5" t="n"/>
      <x:c r="AC63" s="5" t="n"/>
      <x:c r="AD63" s="5" t="n"/>
      <x:c r="AE63" s="5" t="n"/>
      <x:c r="AF63" s="5" t="n"/>
      <x:c r="AG63" s="5" t="n"/>
      <x:c r="AH63" s="5" t="n"/>
      <x:c r="AI63" s="5" t="n"/>
      <x:c r="AJ63" s="5" t="n"/>
      <x:c r="AK63" s="5" t="n"/>
      <x:c r="AL63" s="5" t="n"/>
      <x:c r="AM63" s="5" t="n"/>
      <x:c r="AN63" s="5" t="n"/>
      <x:c r="AO63" s="5" t="n"/>
      <x:c r="AP63" s="5" t="n"/>
      <x:c r="AQ63" s="5" t="n"/>
    </x:row>
    <x:row r="64" ht="30" customHeight="1">
      <x:c r="A64" s="5" t="inlineStr">
        <x:is>
          <x:t xml:space="preserve">REQ-36-HIPAA</x:t>
        </x:is>
      </x:c>
      <x:c r="B64" s="5" t="inlineStr">
        <x:is>
          <x:t xml:space="preserve">0805.01m1Organizational.12</x:t>
        </x:is>
      </x:c>
      <x:c r="C64" s="5" t="n">
        <x:v>1</x:v>
      </x:c>
      <x:c r="D64" s="5" t="inlineStr">
        <x:is>
          <x:t xml:space="preserve">Network Diagram and Segmentation</x:t>
        </x:is>
      </x:c>
      <x:c r="E64" s="5" t="inlineStr">
        <x:is>
          <x:t xml:space="preserve">Configuration</x:t>
        </x:is>
      </x:c>
      <x:c r="F64" s="5" t="inlineStr">
        <x:is>
          <x:t xml:space="preserve">HITRUST e1.csv</x:t>
        </x:is>
      </x:c>
      <x:c r="G64" s="5" t="inlineStr">
        <x:is>
          <x:t xml:space="preserve">1:Many</x:t>
        </x:is>
      </x:c>
      <x:c r="H64" s="5" t="inlineStr">
        <x:is>
          <x:t xml:space="preserve">45 CFR § 164.312(a)(1)</x:t>
        </x:is>
      </x:c>
      <x:c r="I64" s="5" t="inlineStr">
        <x:is>
          <x:t xml:space="preserve">Access Control</x:t>
        </x:is>
      </x:c>
      <x:c r="J64" s="5" t="inlineStr">
        <x:is>
          <x:t xml:space="preserve">Best-fit</x:t>
        </x:is>
      </x:c>
      <x:c r="K64" s="5" t="inlineStr">
        <x:is>
          <x:t xml:space="preserve">HIPAA does not explicitly name network segmentation, but OCR guidance and enforcement materials cite segmentation as a way to implement access control between systems.</x:t>
        </x:is>
      </x:c>
      <x:c r="L64" s="28" t="inlineStr">
        <x:is>
          <x:t xml:space="preserve">https://www.ecfr.gov/current/title-45/subtitle-A/subchapter-C/part-164/section-164.312 | https://www.hhs.gov/hipaa/for-professionals/security/guidance/cybersecurity-newsletter-january-2026/index.html | https://www.hhs.gov/hipaa/for-professionals/security/guidance/cybersecurity-newsletter-summer-2019/index.html</x:t>
        </x:is>
      </x:c>
      <x:c r="M64" s="5" t="inlineStr">
        <x:is>
          <x:t xml:space="preserve">Mapped as an access-control implementation example rather than a standalone named HIPAA implementation specification.</x:t>
        </x:is>
      </x:c>
      <x:c r="N64" s="5" t="inlineStr">
        <x:is>
          <x:t xml:space="preserve">0805.01m1 Organizational.12</x:t>
        </x:is>
      </x:c>
      <x:c r="O64" s="5" t="n">
        <x:v>1</x:v>
      </x:c>
      <x:c r="P64" s="5" t="n"/>
      <x:c r="Q64" s="5" t="inlineStr">
        <x:is>
          <x:t xml:space="preserve">Network Diagram and Segmentation</x:t>
        </x:is>
      </x:c>
      <x:c r="R64" s="5" t="inlineStr">
        <x:is>
          <x:t xml:space="preserve">Configuration</x:t>
        </x:is>
      </x:c>
      <x:c r="S64" s="5" t="n"/>
      <x:c r="T64" s="5" t="inlineStr">
        <x:is>
          <x:t xml:space="preserve">HITRUST e1.csv</x:t>
        </x:is>
      </x:c>
      <x:c r="U64" s="5" t="inlineStr">
        <x:is>
          <x:t xml:space="preserve">45 C.F.R. § 164.312(a)(1)</x:t>
        </x:is>
      </x:c>
      <x:c r="V64" s="5" t="inlineStr">
        <x:is>
          <x:t xml:space="preserve">Access Control</x:t>
        </x:is>
      </x:c>
      <x:c r="W64" s="5" t="inlineStr">
        <x:is>
          <x:t xml:space="preserve">Implement technical policies and procedures for electronic information systems that maintain ePHI to allow access only to persons or software programs with authorized access rights.</x:t>
        </x:is>
      </x:c>
      <x:c r="X64" s="5" t="inlineStr">
        <x:is>
          <x:t xml:space="preserve">Standard</x:t>
        </x:is>
      </x:c>
      <x:c r="Y64" s="5" t="inlineStr">
        <x:is>
          <x:t xml:space="preserve">Technical Safeguards</x:t>
        </x:is>
      </x:c>
      <x:c r="Z64" s="28" t="inlineStr">
        <x:is>
          <x:t xml:space="preserve">https://www.ecfr.gov/current/title-45/subtitle-A/subchapter-C/part-164/section-164.312</x:t>
        </x:is>
      </x:c>
      <x:c r="AA64" s="28" t="inlineStr">
        <x:is>
          <x:t xml:space="preserve">https://www.hhs.gov/hipaa/for-professionals/compliance-enforcement/audit/protocol-edited/index.html</x:t>
        </x:is>
      </x:c>
      <x:c r="AB64" s="5" t="n"/>
      <x:c r="AC64" s="5" t="n"/>
      <x:c r="AD64" s="5" t="n"/>
      <x:c r="AE64" s="5" t="n"/>
      <x:c r="AF64" s="5" t="n"/>
      <x:c r="AG64" s="5" t="n"/>
      <x:c r="AH64" s="5" t="n"/>
      <x:c r="AI64" s="5" t="n"/>
      <x:c r="AJ64" s="5" t="n"/>
      <x:c r="AK64" s="5" t="n"/>
      <x:c r="AL64" s="5" t="n"/>
      <x:c r="AM64" s="5" t="n"/>
      <x:c r="AN64" s="5" t="n"/>
      <x:c r="AO64" s="5" t="n"/>
      <x:c r="AP64" s="5" t="n"/>
      <x:c r="AQ64" s="5" t="n"/>
    </x:row>
    <x:row r="65" ht="30" customHeight="1">
      <x:c r="A65" s="5" t="inlineStr">
        <x:is>
          <x:t xml:space="preserve">REQ-37-HIPAA</x:t>
        </x:is>
      </x:c>
      <x:c r="B65" s="5" t="inlineStr">
        <x:is>
          <x:t xml:space="preserve">0265.09m1Organizational.2</x:t>
        </x:is>
      </x:c>
      <x:c r="C65" s="5" t="n">
        <x:v>1</x:v>
      </x:c>
      <x:c r="D65" s="5" t="inlineStr">
        <x:is>
          <x:t xml:space="preserve">Firewall Rules/Security Groups</x:t>
        </x:is>
      </x:c>
      <x:c r="E65" s="5" t="inlineStr">
        <x:is>
          <x:t xml:space="preserve">Configuration</x:t>
        </x:is>
      </x:c>
      <x:c r="F65" s="5" t="inlineStr">
        <x:is>
          <x:t xml:space="preserve">HITRUST e1.csv</x:t>
        </x:is>
      </x:c>
      <x:c r="G65" s="5" t="inlineStr">
        <x:is>
          <x:t xml:space="preserve">1:Many</x:t>
        </x:is>
      </x:c>
      <x:c r="H65" s="5" t="inlineStr">
        <x:is>
          <x:t xml:space="preserve">45 CFR § 164.312(a)(1)</x:t>
        </x:is>
      </x:c>
      <x:c r="I65" s="5" t="inlineStr">
        <x:is>
          <x:t xml:space="preserve">Access Control</x:t>
        </x:is>
      </x:c>
      <x:c r="J65" s="5" t="inlineStr">
        <x:is>
          <x:t xml:space="preserve">Best-fit</x:t>
        </x:is>
      </x:c>
      <x:c r="K65" s="5" t="inlineStr">
        <x:is>
          <x:t xml:space="preserve">Firewall rules/security groups are a technical means of enforcing access restrictions around systems containing ePHI.</x:t>
        </x:is>
      </x:c>
      <x:c r="L65" s="28"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M65" s="5" t="inlineStr">
        <x:is>
          <x:t xml:space="preserve">Mapped to the broad access-control standard because HIPAA does not list firewall rules as a separate named specification.</x:t>
        </x:is>
      </x:c>
      <x:c r="N65" s="5" t="inlineStr">
        <x:is>
          <x:t xml:space="preserve">0265.09m1 Organizational.2</x:t>
        </x:is>
      </x:c>
      <x:c r="O65" s="5" t="n">
        <x:v>1</x:v>
      </x:c>
      <x:c r="P65" s="5" t="n"/>
      <x:c r="Q65" s="5" t="inlineStr">
        <x:is>
          <x:t xml:space="preserve">Firewall Rules/Security Groups</x:t>
        </x:is>
      </x:c>
      <x:c r="R65" s="5" t="inlineStr">
        <x:is>
          <x:t xml:space="preserve">Configuration</x:t>
        </x:is>
      </x:c>
      <x:c r="S65" s="5" t="n"/>
      <x:c r="T65" s="5" t="inlineStr">
        <x:is>
          <x:t xml:space="preserve">HITRUST e1.csv</x:t>
        </x:is>
      </x:c>
      <x:c r="U65" s="5" t="inlineStr">
        <x:is>
          <x:t xml:space="preserve">45 C.F.R. § 164.312(a)(1)</x:t>
        </x:is>
      </x:c>
      <x:c r="V65" s="5" t="inlineStr">
        <x:is>
          <x:t xml:space="preserve">Access Control</x:t>
        </x:is>
      </x:c>
      <x:c r="W65" s="5" t="inlineStr">
        <x:is>
          <x:t xml:space="preserve">Implement technical policies and procedures for electronic information systems that maintain ePHI to allow access only to persons or software programs with authorized access rights.</x:t>
        </x:is>
      </x:c>
      <x:c r="X65" s="5" t="inlineStr">
        <x:is>
          <x:t xml:space="preserve">Standard</x:t>
        </x:is>
      </x:c>
      <x:c r="Y65" s="5" t="inlineStr">
        <x:is>
          <x:t xml:space="preserve">Technical Safeguards</x:t>
        </x:is>
      </x:c>
      <x:c r="Z65" s="28" t="inlineStr">
        <x:is>
          <x:t xml:space="preserve">https://www.ecfr.gov/current/title-45/subtitle-A/subchapter-C/part-164/section-164.312</x:t>
        </x:is>
      </x:c>
      <x:c r="AA65" s="28" t="inlineStr">
        <x:is>
          <x:t xml:space="preserve">https://www.hhs.gov/hipaa/for-professionals/compliance-enforcement/audit/protocol-edited/index.html</x:t>
        </x:is>
      </x:c>
      <x:c r="AB65" s="5" t="n"/>
      <x:c r="AC65" s="5" t="n"/>
      <x:c r="AD65" s="5" t="n"/>
      <x:c r="AE65" s="5" t="n"/>
      <x:c r="AF65" s="5" t="n"/>
      <x:c r="AG65" s="5" t="n"/>
      <x:c r="AH65" s="5" t="n"/>
      <x:c r="AI65" s="5" t="n"/>
      <x:c r="AJ65" s="5" t="n"/>
      <x:c r="AK65" s="5" t="n"/>
      <x:c r="AL65" s="5" t="n"/>
      <x:c r="AM65" s="5" t="n"/>
      <x:c r="AN65" s="5" t="n"/>
      <x:c r="AO65" s="5" t="n"/>
      <x:c r="AP65" s="5" t="n"/>
      <x:c r="AQ65" s="5" t="n"/>
    </x:row>
    <x:row r="66" ht="30" customHeight="1">
      <x:c r="A66" s="5" t="inlineStr">
        <x:is>
          <x:t xml:space="preserve">REQ-37-HIPAA</x:t>
        </x:is>
      </x:c>
      <x:c r="B66" s="5" t="inlineStr">
        <x:is>
          <x:t xml:space="preserve">0805.01m1Organizational.12</x:t>
        </x:is>
      </x:c>
      <x:c r="C66" s="5" t="n">
        <x:v>1</x:v>
      </x:c>
      <x:c r="D66" s="5" t="inlineStr">
        <x:is>
          <x:t xml:space="preserve">Firewall Rules/Security Groups</x:t>
        </x:is>
      </x:c>
      <x:c r="E66" s="5" t="inlineStr">
        <x:is>
          <x:t xml:space="preserve">Configuration</x:t>
        </x:is>
      </x:c>
      <x:c r="F66" s="5" t="inlineStr">
        <x:is>
          <x:t xml:space="preserve">HITRUST e1.csv</x:t>
        </x:is>
      </x:c>
      <x:c r="G66" s="5" t="inlineStr">
        <x:is>
          <x:t xml:space="preserve">1:Many</x:t>
        </x:is>
      </x:c>
      <x:c r="H66" s="5" t="inlineStr">
        <x:is>
          <x:t xml:space="preserve">45 CFR § 164.312(a)(1)</x:t>
        </x:is>
      </x:c>
      <x:c r="I66" s="5" t="inlineStr">
        <x:is>
          <x:t xml:space="preserve">Access Control</x:t>
        </x:is>
      </x:c>
      <x:c r="J66" s="5" t="inlineStr">
        <x:is>
          <x:t xml:space="preserve">Best-fit</x:t>
        </x:is>
      </x:c>
      <x:c r="K66" s="5" t="inlineStr">
        <x:is>
          <x:t xml:space="preserve">Firewall rules/security groups are a technical means of enforcing access restrictions around systems containing ePHI.</x:t>
        </x:is>
      </x:c>
      <x:c r="L66" s="28" t="inlineStr">
        <x:is>
          <x:t xml:space="preserve">https://www.ecfr.gov/current/title-45/subtitle-A/subchapter-C/part-164/section-164.312 | https://www.hhs.gov/hipaa/for-professionals/compliance-enforcement/audit/protocol/index.html | https://www.hhs.gov/hipaa/for-professionals/security/guidance/cybersecurity-newsletter-summer-2019/index.html</x:t>
        </x:is>
      </x:c>
      <x:c r="M66" s="5" t="inlineStr">
        <x:is>
          <x:t xml:space="preserve">Mapped to the broad access-control standard because HIPAA does not list firewall rules as a separate named specification.</x:t>
        </x:is>
      </x:c>
      <x:c r="N66" s="5" t="inlineStr">
        <x:is>
          <x:t xml:space="preserve">0805.01m1 Organizational.12</x:t>
        </x:is>
      </x:c>
      <x:c r="O66" s="5" t="n">
        <x:v>1</x:v>
      </x:c>
      <x:c r="P66" s="5" t="n"/>
      <x:c r="Q66" s="5" t="inlineStr">
        <x:is>
          <x:t xml:space="preserve">Firewall Rules/Security Groups</x:t>
        </x:is>
      </x:c>
      <x:c r="R66" s="5" t="inlineStr">
        <x:is>
          <x:t xml:space="preserve">Configuration</x:t>
        </x:is>
      </x:c>
      <x:c r="S66" s="5" t="n"/>
      <x:c r="T66" s="5" t="inlineStr">
        <x:is>
          <x:t xml:space="preserve">HITRUST e1.csv</x:t>
        </x:is>
      </x:c>
      <x:c r="U66" s="5" t="inlineStr">
        <x:is>
          <x:t xml:space="preserve">45 C.F.R. § 164.312(a)(1)</x:t>
        </x:is>
      </x:c>
      <x:c r="V66" s="5" t="inlineStr">
        <x:is>
          <x:t xml:space="preserve">Access Control</x:t>
        </x:is>
      </x:c>
      <x:c r="W66" s="5" t="inlineStr">
        <x:is>
          <x:t xml:space="preserve">Implement technical policies and procedures for electronic information systems that maintain ePHI to allow access only to persons or software programs with authorized access rights.</x:t>
        </x:is>
      </x:c>
      <x:c r="X66" s="5" t="inlineStr">
        <x:is>
          <x:t xml:space="preserve">Standard</x:t>
        </x:is>
      </x:c>
      <x:c r="Y66" s="5" t="inlineStr">
        <x:is>
          <x:t xml:space="preserve">Technical Safeguards</x:t>
        </x:is>
      </x:c>
      <x:c r="Z66" s="28" t="inlineStr">
        <x:is>
          <x:t xml:space="preserve">https://www.ecfr.gov/current/title-45/subtitle-A/subchapter-C/part-164/section-164.312</x:t>
        </x:is>
      </x:c>
      <x:c r="AA66" s="28" t="inlineStr">
        <x:is>
          <x:t xml:space="preserve">https://www.hhs.gov/hipaa/for-professionals/compliance-enforcement/audit/protocol-edited/index.html</x:t>
        </x:is>
      </x:c>
      <x:c r="AB66" s="5" t="n"/>
      <x:c r="AC66" s="5" t="n"/>
      <x:c r="AD66" s="5" t="n"/>
      <x:c r="AE66" s="5" t="n"/>
      <x:c r="AF66" s="5" t="n"/>
      <x:c r="AG66" s="5" t="n"/>
      <x:c r="AH66" s="5" t="n"/>
      <x:c r="AI66" s="5" t="n"/>
      <x:c r="AJ66" s="5" t="n"/>
      <x:c r="AK66" s="5" t="n"/>
      <x:c r="AL66" s="5" t="n"/>
      <x:c r="AM66" s="5" t="n"/>
      <x:c r="AN66" s="5" t="n"/>
      <x:c r="AO66" s="5" t="n"/>
      <x:c r="AP66" s="5" t="n"/>
      <x:c r="AQ66" s="5" t="n"/>
    </x:row>
    <x:row r="67" ht="30" customHeight="1">
      <x:c r="A67" s="5" t="inlineStr">
        <x:is>
          <x:t xml:space="preserve">REQ-38-HIPAA</x:t>
        </x:is>
      </x:c>
      <x:c r="B67" s="5" t="inlineStr">
        <x:is>
          <x:t xml:space="preserve">0207.09j1Organizational.6</x:t>
        </x:is>
      </x:c>
      <x:c r="C67" s="5" t="n">
        <x:v>1</x:v>
      </x:c>
      <x:c r="D67" s="5" t="inlineStr">
        <x:is>
          <x:t xml:space="preserve">Anti-malware and Alerts</x:t>
        </x:is>
      </x:c>
      <x:c r="E67" s="5" t="inlineStr">
        <x:is>
          <x:t xml:space="preserve">Configuration</x:t>
        </x:is>
      </x:c>
      <x:c r="F67" s="5" t="inlineStr">
        <x:is>
          <x:t xml:space="preserve">HITRUST e1.csv</x:t>
        </x:is>
      </x:c>
      <x:c r="G67" s="5" t="inlineStr">
        <x:is>
          <x:t xml:space="preserve">1:Many</x:t>
        </x:is>
      </x:c>
      <x:c r="H67" s="5" t="inlineStr">
        <x:is>
          <x:t xml:space="preserve">45 CFR § 164.308(a)(5)(ii)(B)</x:t>
        </x:is>
      </x:c>
      <x:c r="I67" s="5" t="inlineStr">
        <x:is>
          <x:t xml:space="preserve">Security Awareness and Training — Protection from Malicious Software</x:t>
        </x:is>
      </x:c>
      <x:c r="J67" s="5" t="inlineStr">
        <x:is>
          <x:t xml:space="preserve">Direct</x:t>
        </x:is>
      </x:c>
      <x:c r="K67" s="5" t="inlineStr">
        <x:is>
          <x:t xml:space="preserve">Anti-malware evidence aligns directly to guarding against, detecting, and reporting malicious software.</x:t>
        </x:is>
      </x:c>
      <x:c r="L67"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67" s="5" t="inlineStr">
        <x:is>
          <x:t xml:space="preserve">Alerts are treated as part of guarding against/detecting malicious software.</x:t>
        </x:is>
      </x:c>
      <x:c r="N67" s="5" t="inlineStr">
        <x:is>
          <x:t xml:space="preserve">0207.09j1 Organizational.6</x:t>
        </x:is>
      </x:c>
      <x:c r="O67" s="5" t="n">
        <x:v>1</x:v>
      </x:c>
      <x:c r="P67" s="5" t="n"/>
      <x:c r="Q67" s="5" t="inlineStr">
        <x:is>
          <x:t xml:space="preserve">Anti-malware and Alerts</x:t>
        </x:is>
      </x:c>
      <x:c r="R67" s="5" t="inlineStr">
        <x:is>
          <x:t xml:space="preserve">Configuration</x:t>
        </x:is>
      </x:c>
      <x:c r="S67" s="5" t="n"/>
      <x:c r="T67" s="5" t="inlineStr">
        <x:is>
          <x:t xml:space="preserve">HITRUST e1.csv</x:t>
        </x:is>
      </x:c>
      <x:c r="U67" s="5" t="inlineStr">
        <x:is>
          <x:t xml:space="preserve">45 C.F.R. § 164.308(a)(5)(ii)(B)</x:t>
        </x:is>
      </x:c>
      <x:c r="V67" s="5" t="inlineStr">
        <x:is>
          <x:t xml:space="preserve">Security Awareness and Training — Protection from Malicious Software</x:t>
        </x:is>
      </x:c>
      <x:c r="W67" s="5" t="inlineStr">
        <x:is>
          <x:t xml:space="preserve">Implement procedures for guarding against, detecting, and reporting malicious software.</x:t>
        </x:is>
      </x:c>
      <x:c r="X67" s="5" t="inlineStr">
        <x:is>
          <x:t xml:space="preserve">Addressable implementation specification</x:t>
        </x:is>
      </x:c>
      <x:c r="Y67" s="5" t="inlineStr">
        <x:is>
          <x:t xml:space="preserve">Administrative Safeguards</x:t>
        </x:is>
      </x:c>
      <x:c r="Z67" s="28" t="inlineStr">
        <x:is>
          <x:t xml:space="preserve">https://www.ecfr.gov/current/title-45/subtitle-A/subchapter-C/part-164/section-164.308</x:t>
        </x:is>
      </x:c>
      <x:c r="AA67" s="28" t="inlineStr">
        <x:is>
          <x:t xml:space="preserve">https://www.hhs.gov/hipaa/for-professionals/compliance-enforcement/audit/protocol-edited/index.html</x:t>
        </x:is>
      </x:c>
      <x:c r="AB67" s="5" t="n"/>
      <x:c r="AC67" s="5" t="n"/>
      <x:c r="AD67" s="5" t="n"/>
      <x:c r="AE67" s="5" t="n"/>
      <x:c r="AF67" s="5" t="n"/>
      <x:c r="AG67" s="5" t="n"/>
      <x:c r="AH67" s="5" t="n"/>
      <x:c r="AI67" s="5" t="n"/>
      <x:c r="AJ67" s="5" t="n"/>
      <x:c r="AK67" s="5" t="n"/>
      <x:c r="AL67" s="5" t="n"/>
      <x:c r="AM67" s="5" t="n"/>
      <x:c r="AN67" s="5" t="n"/>
      <x:c r="AO67" s="5" t="n"/>
      <x:c r="AP67" s="5" t="n"/>
      <x:c r="AQ67" s="5" t="n"/>
    </x:row>
    <x:row r="68" ht="30" customHeight="1">
      <x:c r="A68" s="5" t="inlineStr">
        <x:is>
          <x:t xml:space="preserve">REQ-38-HIPAA</x:t>
        </x:is>
      </x:c>
      <x:c r="B68" s="5" t="inlineStr">
        <x:is>
          <x:t xml:space="preserve">0226.09k1Organizational.2</x:t>
        </x:is>
      </x:c>
      <x:c r="C68" s="5" t="n">
        <x:v>1</x:v>
      </x:c>
      <x:c r="D68" s="5" t="inlineStr">
        <x:is>
          <x:t xml:space="preserve">Anti-malware and Alerts</x:t>
        </x:is>
      </x:c>
      <x:c r="E68" s="5" t="inlineStr">
        <x:is>
          <x:t xml:space="preserve">Configuration</x:t>
        </x:is>
      </x:c>
      <x:c r="F68" s="5" t="inlineStr">
        <x:is>
          <x:t xml:space="preserve">HITRUST e1.csv</x:t>
        </x:is>
      </x:c>
      <x:c r="G68" s="5" t="inlineStr">
        <x:is>
          <x:t xml:space="preserve">1:Many</x:t>
        </x:is>
      </x:c>
      <x:c r="H68" s="5" t="inlineStr">
        <x:is>
          <x:t xml:space="preserve">45 CFR § 164.308(a)(5)(ii)(B)</x:t>
        </x:is>
      </x:c>
      <x:c r="I68" s="5" t="inlineStr">
        <x:is>
          <x:t xml:space="preserve">Security Awareness and Training — Protection from Malicious Software</x:t>
        </x:is>
      </x:c>
      <x:c r="J68" s="5" t="inlineStr">
        <x:is>
          <x:t xml:space="preserve">Direct</x:t>
        </x:is>
      </x:c>
      <x:c r="K68" s="5" t="inlineStr">
        <x:is>
          <x:t xml:space="preserve">Anti-malware evidence aligns directly to guarding against, detecting, and reporting malicious software.</x:t>
        </x:is>
      </x:c>
      <x:c r="L68"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68" s="5" t="inlineStr">
        <x:is>
          <x:t xml:space="preserve">Alerts are treated as part of guarding against/detecting malicious software.</x:t>
        </x:is>
      </x:c>
      <x:c r="N68" s="5" t="inlineStr">
        <x:is>
          <x:t xml:space="preserve">0226.09k1 Organizational.2</x:t>
        </x:is>
      </x:c>
      <x:c r="O68" s="5" t="n">
        <x:v>1</x:v>
      </x:c>
      <x:c r="P68" s="5" t="n"/>
      <x:c r="Q68" s="5" t="inlineStr">
        <x:is>
          <x:t xml:space="preserve">Anti-malware and Alerts</x:t>
        </x:is>
      </x:c>
      <x:c r="R68" s="5" t="inlineStr">
        <x:is>
          <x:t xml:space="preserve">Configuration</x:t>
        </x:is>
      </x:c>
      <x:c r="S68" s="5" t="n"/>
      <x:c r="T68" s="5" t="inlineStr">
        <x:is>
          <x:t xml:space="preserve">HITRUST e1.csv</x:t>
        </x:is>
      </x:c>
      <x:c r="U68" s="5" t="inlineStr">
        <x:is>
          <x:t xml:space="preserve">45 C.F.R. § 164.308(a)(5)(ii)(B)</x:t>
        </x:is>
      </x:c>
      <x:c r="V68" s="5" t="inlineStr">
        <x:is>
          <x:t xml:space="preserve">Security Awareness and Training — Protection from Malicious Software</x:t>
        </x:is>
      </x:c>
      <x:c r="W68" s="5" t="inlineStr">
        <x:is>
          <x:t xml:space="preserve">Implement procedures for guarding against, detecting, and reporting malicious software.</x:t>
        </x:is>
      </x:c>
      <x:c r="X68" s="5" t="inlineStr">
        <x:is>
          <x:t xml:space="preserve">Addressable implementation specification</x:t>
        </x:is>
      </x:c>
      <x:c r="Y68" s="5" t="inlineStr">
        <x:is>
          <x:t xml:space="preserve">Administrative Safeguards</x:t>
        </x:is>
      </x:c>
      <x:c r="Z68" s="28" t="inlineStr">
        <x:is>
          <x:t xml:space="preserve">https://www.ecfr.gov/current/title-45/subtitle-A/subchapter-C/part-164/section-164.308</x:t>
        </x:is>
      </x:c>
      <x:c r="AA68" s="28" t="inlineStr">
        <x:is>
          <x:t xml:space="preserve">https://www.hhs.gov/hipaa/for-professionals/compliance-enforcement/audit/protocol-edited/index.html</x:t>
        </x:is>
      </x:c>
      <x:c r="AB68" s="5" t="n"/>
      <x:c r="AC68" s="5" t="n"/>
      <x:c r="AD68" s="5" t="n"/>
      <x:c r="AE68" s="5" t="n"/>
      <x:c r="AF68" s="5" t="n"/>
      <x:c r="AG68" s="5" t="n"/>
      <x:c r="AH68" s="5" t="n"/>
      <x:c r="AI68" s="5" t="n"/>
      <x:c r="AJ68" s="5" t="n"/>
      <x:c r="AK68" s="5" t="n"/>
      <x:c r="AL68" s="5" t="n"/>
      <x:c r="AM68" s="5" t="n"/>
      <x:c r="AN68" s="5" t="n"/>
      <x:c r="AO68" s="5" t="n"/>
      <x:c r="AP68" s="5" t="n"/>
      <x:c r="AQ68" s="5" t="n"/>
    </x:row>
    <x:row r="69" ht="30" customHeight="1">
      <x:c r="A69" s="5" t="inlineStr">
        <x:is>
          <x:t xml:space="preserve">REQ-38-HIPAA</x:t>
        </x:is>
      </x:c>
      <x:c r="B69" s="5" t="inlineStr">
        <x:is>
          <x:t xml:space="preserve">02962.09j1Organizational.5</x:t>
        </x:is>
      </x:c>
      <x:c r="C69" s="5" t="n">
        <x:v>1</x:v>
      </x:c>
      <x:c r="D69" s="5" t="inlineStr">
        <x:is>
          <x:t xml:space="preserve">Anti-malware and Alerts</x:t>
        </x:is>
      </x:c>
      <x:c r="E69" s="5" t="inlineStr">
        <x:is>
          <x:t xml:space="preserve">Configuration</x:t>
        </x:is>
      </x:c>
      <x:c r="F69" s="5" t="inlineStr">
        <x:is>
          <x:t xml:space="preserve">HITRUST e1.csv</x:t>
        </x:is>
      </x:c>
      <x:c r="G69" s="5" t="inlineStr">
        <x:is>
          <x:t xml:space="preserve">1:Many</x:t>
        </x:is>
      </x:c>
      <x:c r="H69" s="5" t="inlineStr">
        <x:is>
          <x:t xml:space="preserve">45 CFR § 164.308(a)(5)(ii)(B)</x:t>
        </x:is>
      </x:c>
      <x:c r="I69" s="5" t="inlineStr">
        <x:is>
          <x:t xml:space="preserve">Security Awareness and Training — Protection from Malicious Software</x:t>
        </x:is>
      </x:c>
      <x:c r="J69" s="5" t="inlineStr">
        <x:is>
          <x:t xml:space="preserve">Direct</x:t>
        </x:is>
      </x:c>
      <x:c r="K69" s="5" t="inlineStr">
        <x:is>
          <x:t xml:space="preserve">Anti-malware evidence aligns directly to guarding against, detecting, and reporting malicious software.</x:t>
        </x:is>
      </x:c>
      <x:c r="L69"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69" s="5" t="inlineStr">
        <x:is>
          <x:t xml:space="preserve">Alerts are treated as part of guarding against/detecting malicious software.</x:t>
        </x:is>
      </x:c>
      <x:c r="N69" s="5" t="inlineStr">
        <x:is>
          <x:t xml:space="preserve">02962.09j1 Organizational.5</x:t>
        </x:is>
      </x:c>
      <x:c r="O69" s="5" t="n">
        <x:v>1</x:v>
      </x:c>
      <x:c r="P69" s="5" t="n"/>
      <x:c r="Q69" s="5" t="inlineStr">
        <x:is>
          <x:t xml:space="preserve">Anti-malware and Alerts</x:t>
        </x:is>
      </x:c>
      <x:c r="R69" s="5" t="inlineStr">
        <x:is>
          <x:t xml:space="preserve">Configuration</x:t>
        </x:is>
      </x:c>
      <x:c r="S69" s="5" t="n"/>
      <x:c r="T69" s="5" t="inlineStr">
        <x:is>
          <x:t xml:space="preserve">HITRUST e1.csv</x:t>
        </x:is>
      </x:c>
      <x:c r="U69" s="5" t="inlineStr">
        <x:is>
          <x:t xml:space="preserve">45 C.F.R. § 164.308(a)(5)(ii)(B)</x:t>
        </x:is>
      </x:c>
      <x:c r="V69" s="5" t="inlineStr">
        <x:is>
          <x:t xml:space="preserve">Security Awareness and Training — Protection from Malicious Software</x:t>
        </x:is>
      </x:c>
      <x:c r="W69" s="5" t="inlineStr">
        <x:is>
          <x:t xml:space="preserve">Implement procedures for guarding against, detecting, and reporting malicious software.</x:t>
        </x:is>
      </x:c>
      <x:c r="X69" s="5" t="inlineStr">
        <x:is>
          <x:t xml:space="preserve">Addressable implementation specification</x:t>
        </x:is>
      </x:c>
      <x:c r="Y69" s="5" t="inlineStr">
        <x:is>
          <x:t xml:space="preserve">Administrative Safeguards</x:t>
        </x:is>
      </x:c>
      <x:c r="Z69" s="28" t="inlineStr">
        <x:is>
          <x:t xml:space="preserve">https://www.ecfr.gov/current/title-45/subtitle-A/subchapter-C/part-164/section-164.308</x:t>
        </x:is>
      </x:c>
      <x:c r="AA69" s="28" t="inlineStr">
        <x:is>
          <x:t xml:space="preserve">https://www.hhs.gov/hipaa/for-professionals/compliance-enforcement/audit/protocol-edited/index.html</x:t>
        </x:is>
      </x:c>
      <x:c r="AB69" s="5" t="n"/>
      <x:c r="AC69" s="5" t="n"/>
      <x:c r="AD69" s="5" t="n"/>
      <x:c r="AE69" s="5" t="n"/>
      <x:c r="AF69" s="5" t="n"/>
      <x:c r="AG69" s="5" t="n"/>
      <x:c r="AH69" s="5" t="n"/>
      <x:c r="AI69" s="5" t="n"/>
      <x:c r="AJ69" s="5" t="n"/>
      <x:c r="AK69" s="5" t="n"/>
      <x:c r="AL69" s="5" t="n"/>
      <x:c r="AM69" s="5" t="n"/>
      <x:c r="AN69" s="5" t="n"/>
      <x:c r="AO69" s="5" t="n"/>
      <x:c r="AP69" s="5" t="n"/>
      <x:c r="AQ69" s="5" t="n"/>
    </x:row>
    <x:row r="70" ht="30" customHeight="1">
      <x:c r="A70" s="5" t="inlineStr">
        <x:is>
          <x:t xml:space="preserve">REQ-38-HIPAA</x:t>
        </x:is>
      </x:c>
      <x:c r="B70" s="5" t="inlineStr">
        <x:is>
          <x:t xml:space="preserve">08.09m1Organizational.8</x:t>
        </x:is>
      </x:c>
      <x:c r="C70" s="5" t="n">
        <x:v>1</x:v>
      </x:c>
      <x:c r="D70" s="5" t="inlineStr">
        <x:is>
          <x:t xml:space="preserve">Anti-malware and Alerts</x:t>
        </x:is>
      </x:c>
      <x:c r="E70" s="5" t="inlineStr">
        <x:is>
          <x:t xml:space="preserve">Configuration</x:t>
        </x:is>
      </x:c>
      <x:c r="F70" s="5" t="inlineStr">
        <x:is>
          <x:t xml:space="preserve">HITRUST e1.csv</x:t>
        </x:is>
      </x:c>
      <x:c r="G70" s="5" t="inlineStr">
        <x:is>
          <x:t xml:space="preserve">1:Many</x:t>
        </x:is>
      </x:c>
      <x:c r="H70" s="5" t="inlineStr">
        <x:is>
          <x:t xml:space="preserve">45 CFR § 164.308(a)(5)(ii)(B)</x:t>
        </x:is>
      </x:c>
      <x:c r="I70" s="5" t="inlineStr">
        <x:is>
          <x:t xml:space="preserve">Security Awareness and Training — Protection from Malicious Software</x:t>
        </x:is>
      </x:c>
      <x:c r="J70" s="5" t="inlineStr">
        <x:is>
          <x:t xml:space="preserve">Direct</x:t>
        </x:is>
      </x:c>
      <x:c r="K70" s="5" t="inlineStr">
        <x:is>
          <x:t xml:space="preserve">Anti-malware evidence aligns directly to guarding against, detecting, and reporting malicious software.</x:t>
        </x:is>
      </x:c>
      <x:c r="L70" s="28" t="inlineStr">
        <x:is>
          <x:t xml:space="preserve">https://www.ecfr.gov/current/title-45/subtitle-A/subchapter-C/part-164/section-164.308 | https://www.hhs.gov/sites/default/files/ocr/privacy/hipaa/administrative/securityrule/adminsafeguards.pdf | https://www.hhs.gov/sites/default/files/ocr/privacy/hipaa/administrative/combined/hipaa-simplification-201303.pdf</x:t>
        </x:is>
      </x:c>
      <x:c r="M70" s="5" t="inlineStr">
        <x:is>
          <x:t xml:space="preserve">Alerts are treated as part of guarding against/detecting malicious software.</x:t>
        </x:is>
      </x:c>
      <x:c r="N70" s="5" t="inlineStr">
        <x:is>
          <x:t xml:space="preserve">08.09m1 Organizational.8</x:t>
        </x:is>
      </x:c>
      <x:c r="O70" s="5" t="n">
        <x:v>1</x:v>
      </x:c>
      <x:c r="P70" s="5" t="n"/>
      <x:c r="Q70" s="5" t="inlineStr">
        <x:is>
          <x:t xml:space="preserve">Anti-malware and Alerts</x:t>
        </x:is>
      </x:c>
      <x:c r="R70" s="5" t="inlineStr">
        <x:is>
          <x:t xml:space="preserve">Configuration</x:t>
        </x:is>
      </x:c>
      <x:c r="S70" s="5" t="n"/>
      <x:c r="T70" s="5" t="inlineStr">
        <x:is>
          <x:t xml:space="preserve">HITRUST e1.csv</x:t>
        </x:is>
      </x:c>
      <x:c r="U70" s="5" t="inlineStr">
        <x:is>
          <x:t xml:space="preserve">45 C.F.R. § 164.308(a)(5)(ii)(B)</x:t>
        </x:is>
      </x:c>
      <x:c r="V70" s="5" t="inlineStr">
        <x:is>
          <x:t xml:space="preserve">Security Awareness and Training — Protection from Malicious Software</x:t>
        </x:is>
      </x:c>
      <x:c r="W70" s="5" t="inlineStr">
        <x:is>
          <x:t xml:space="preserve">Implement procedures for guarding against, detecting, and reporting malicious software.</x:t>
        </x:is>
      </x:c>
      <x:c r="X70" s="5" t="inlineStr">
        <x:is>
          <x:t xml:space="preserve">Addressable implementation specification</x:t>
        </x:is>
      </x:c>
      <x:c r="Y70" s="5" t="inlineStr">
        <x:is>
          <x:t xml:space="preserve">Administrative Safeguards</x:t>
        </x:is>
      </x:c>
      <x:c r="Z70" s="28" t="inlineStr">
        <x:is>
          <x:t xml:space="preserve">https://www.ecfr.gov/current/title-45/subtitle-A/subchapter-C/part-164/section-164.308</x:t>
        </x:is>
      </x:c>
      <x:c r="AA70" s="28" t="inlineStr">
        <x:is>
          <x:t xml:space="preserve">https://www.hhs.gov/hipaa/for-professionals/compliance-enforcement/audit/protocol-edited/index.html</x:t>
        </x:is>
      </x:c>
      <x:c r="AB70" s="5" t="n"/>
      <x:c r="AC70" s="5" t="n"/>
      <x:c r="AD70" s="5" t="n"/>
      <x:c r="AE70" s="5" t="n"/>
      <x:c r="AF70" s="5" t="n"/>
      <x:c r="AG70" s="5" t="n"/>
      <x:c r="AH70" s="5" t="n"/>
      <x:c r="AI70" s="5" t="n"/>
      <x:c r="AJ70" s="5" t="n"/>
      <x:c r="AK70" s="5" t="n"/>
      <x:c r="AL70" s="5" t="n"/>
      <x:c r="AM70" s="5" t="n"/>
      <x:c r="AN70" s="5" t="n"/>
      <x:c r="AO70" s="5" t="n"/>
      <x:c r="AP70" s="5" t="n"/>
      <x:c r="AQ70" s="5" t="n"/>
    </x:row>
    <x:row r="71" ht="30" customHeight="1">
      <x:c r="A71" s="5" t="inlineStr">
        <x:is>
          <x:t xml:space="preserve">REQ-43-HIPAA</x:t>
        </x:is>
      </x:c>
      <x:c r="B71" s="5" t="inlineStr">
        <x:is>
          <x:t xml:space="preserve">07.07a1Organizational.8</x:t>
        </x:is>
      </x:c>
      <x:c r="C71" s="5" t="n">
        <x:v>1</x:v>
      </x:c>
      <x:c r="D71" s="5" t="inlineStr">
        <x:is>
          <x:t xml:space="preserve">List of All Production Systems (Servers, VMs, Data Stores)</x:t>
        </x:is>
      </x:c>
      <x:c r="E71" s="5" t="inlineStr">
        <x:is>
          <x:t xml:space="preserve">Configuration</x:t>
        </x:is>
      </x:c>
      <x:c r="F71" s="5" t="inlineStr">
        <x:is>
          <x:t xml:space="preserve">HITRUST e1.csv</x:t>
        </x:is>
      </x:c>
      <x:c r="G71" s="5" t="inlineStr">
        <x:is>
          <x:t xml:space="preserve">Many:Many</x:t>
        </x:is>
      </x:c>
      <x:c r="H71" s="5" t="inlineStr">
        <x:is>
          <x:t xml:space="preserve">45 CFR § 164.308(a)(1)(ii)(A) | 45 CFR § 164.308(a)(1)(ii)(B)</x:t>
        </x:is>
      </x:c>
      <x:c r="I71" s="5" t="inlineStr">
        <x:is>
          <x:t xml:space="preserve">Security Management Process — Risk Analysis | Security Management Process — Risk Management</x:t>
        </x:is>
      </x:c>
      <x:c r="J71" s="5" t="inlineStr">
        <x:is>
          <x:t xml:space="preserve">Best-fit composite</x:t>
        </x:is>
      </x:c>
      <x:c r="K71" s="5" t="inlineStr">
        <x:is>
          <x:t xml:space="preserve">A production-systems inventory is supporting evidence for patch coverage and vulnerability scoping under risk analysis/risk management.</x:t>
        </x:is>
      </x:c>
      <x:c r="L71" s="28"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M71" s="5" t="inlineStr">
        <x:is>
          <x:t xml:space="preserve">OCR guidance treats a technology asset inventory as a valuable tool for accurate and thorough risk analysis.</x:t>
        </x:is>
      </x:c>
      <x:c r="N71" s="5" t="inlineStr">
        <x:is>
          <x:t xml:space="preserve">07.07a1 Organizational.8</x:t>
        </x:is>
      </x:c>
      <x:c r="O71" s="5" t="n">
        <x:v>2</x:v>
      </x:c>
      <x:c r="P71" s="5" t="n"/>
      <x:c r="Q71" s="5" t="inlineStr">
        <x:is>
          <x:t xml:space="preserve">List of All Production Systems (Servers</x:t>
        </x:is>
      </x:c>
      <x:c r="R71" s="5" t="inlineStr">
        <x:is>
          <x:t xml:space="preserve">Configuration</x:t>
        </x:is>
      </x:c>
      <x:c r="S71" s="5" t="n"/>
      <x:c r="T71" s="5" t="inlineStr">
        <x:is>
          <x:t xml:space="preserve">HITRUST e1.csv</x:t>
        </x:is>
      </x:c>
      <x:c r="U71" s="5" t="inlineStr">
        <x:is>
          <x:t xml:space="preserve">45 C.F.R. § 164.308(a)(1)(ii)(A)</x:t>
        </x:is>
      </x:c>
      <x:c r="V71" s="5" t="inlineStr">
        <x:is>
          <x:t xml:space="preserve">Security Management Process — Risk Analysis</x:t>
        </x:is>
      </x:c>
      <x:c r="W71" s="5" t="inlineStr">
        <x:is>
          <x:t xml:space="preserve">Conduct an accurate and thorough assessment of the potential risks and vulnerabilities to the confidentiality, integrity, and availability of ePHI.</x:t>
        </x:is>
      </x:c>
      <x:c r="X71" s="5" t="inlineStr">
        <x:is>
          <x:t xml:space="preserve">Required implementation specification</x:t>
        </x:is>
      </x:c>
      <x:c r="Y71" s="5" t="inlineStr">
        <x:is>
          <x:t xml:space="preserve">Administrative Safeguards</x:t>
        </x:is>
      </x:c>
      <x:c r="Z71" s="28" t="inlineStr">
        <x:is>
          <x:t xml:space="preserve">https://www.ecfr.gov/current/title-45/subtitle-A/subchapter-C/part-164/section-164.308</x:t>
        </x:is>
      </x:c>
      <x:c r="AA71" s="28" t="inlineStr">
        <x:is>
          <x:t xml:space="preserve">https://www.hhs.gov/hipaa/for-professionals/security/guidance/guidance-risk-analysis/index.html</x:t>
        </x:is>
      </x:c>
      <x:c r="AB71" s="5" t="inlineStr">
        <x:is>
          <x:t xml:space="preserve">45 C.F.R. § 164.308(a)(1)(ii)(B)</x:t>
        </x:is>
      </x:c>
      <x:c r="AC71" s="5" t="inlineStr">
        <x:is>
          <x:t xml:space="preserve">Security Management Process — Risk Management</x:t>
        </x:is>
      </x:c>
      <x:c r="AD71" s="5" t="inlineStr">
        <x:is>
          <x:t xml:space="preserve">Implement security measures sufficient to reduce identified risks and vulnerabilities to a reasonable and appropriate level.</x:t>
        </x:is>
      </x:c>
      <x:c r="AE71" s="5" t="inlineStr">
        <x:is>
          <x:t xml:space="preserve">Required implementation specification</x:t>
        </x:is>
      </x:c>
      <x:c r="AF71" s="5" t="inlineStr">
        <x:is>
          <x:t xml:space="preserve">Administrative Safeguards</x:t>
        </x:is>
      </x:c>
      <x:c r="AG71" s="28" t="inlineStr">
        <x:is>
          <x:t xml:space="preserve">https://www.ecfr.gov/current/title-45/subtitle-A/subchapter-C/part-164/section-164.308</x:t>
        </x:is>
      </x:c>
      <x:c r="AH71" s="28" t="inlineStr">
        <x:is>
          <x:t xml:space="preserve">https://www.hhs.gov/hipaa/for-professionals/security/guidance/guidance-risk-analysis/index.html</x:t>
        </x:is>
      </x:c>
      <x:c r="AI71" s="5" t="n"/>
      <x:c r="AJ71" s="5" t="n"/>
      <x:c r="AK71" s="5" t="n"/>
      <x:c r="AL71" s="5" t="n"/>
      <x:c r="AM71" s="5" t="n"/>
      <x:c r="AN71" s="5" t="n"/>
      <x:c r="AO71" s="5" t="n"/>
      <x:c r="AP71" s="5" t="inlineStr">
        <x:is>
          <x:t xml:space="preserve">VMs</x:t>
        </x:is>
      </x:c>
      <x:c r="AQ71" s="5" t="inlineStr">
        <x:is>
          <x:t xml:space="preserve">Data Stores)</x:t>
        </x:is>
      </x:c>
    </x:row>
    <x:row r="72" ht="30" customHeight="1">
      <x:c r="A72" s="5" t="inlineStr">
        <x:is>
          <x:t xml:space="preserve">REQ-43-HIPAA</x:t>
        </x:is>
      </x:c>
      <x:c r="B72" s="5" t="inlineStr">
        <x:is>
          <x:t xml:space="preserve">0701.07a1Organizational.7</x:t>
        </x:is>
      </x:c>
      <x:c r="C72" s="5" t="n">
        <x:v>1</x:v>
      </x:c>
      <x:c r="D72" s="5" t="inlineStr">
        <x:is>
          <x:t xml:space="preserve">List of All Production Systems (Servers, VMs, Data Stores)</x:t>
        </x:is>
      </x:c>
      <x:c r="E72" s="5" t="inlineStr">
        <x:is>
          <x:t xml:space="preserve">Configuration</x:t>
        </x:is>
      </x:c>
      <x:c r="F72" s="5" t="inlineStr">
        <x:is>
          <x:t xml:space="preserve">HITRUST e1.csv</x:t>
        </x:is>
      </x:c>
      <x:c r="G72" s="5" t="inlineStr">
        <x:is>
          <x:t xml:space="preserve">Many:Many</x:t>
        </x:is>
      </x:c>
      <x:c r="H72" s="5" t="inlineStr">
        <x:is>
          <x:t xml:space="preserve">45 CFR § 164.308(a)(1)(ii)(A) | 45 CFR § 164.308(a)(1)(ii)(B)</x:t>
        </x:is>
      </x:c>
      <x:c r="I72" s="5" t="inlineStr">
        <x:is>
          <x:t xml:space="preserve">Security Management Process — Risk Analysis | Security Management Process — Risk Management</x:t>
        </x:is>
      </x:c>
      <x:c r="J72" s="5" t="inlineStr">
        <x:is>
          <x:t xml:space="preserve">Best-fit composite</x:t>
        </x:is>
      </x:c>
      <x:c r="K72" s="5" t="inlineStr">
        <x:is>
          <x:t xml:space="preserve">A production-systems inventory is supporting evidence for patch coverage and vulnerability scoping under risk analysis/risk management.</x:t>
        </x:is>
      </x:c>
      <x:c r="L72" s="28"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M72" s="5" t="inlineStr">
        <x:is>
          <x:t xml:space="preserve">OCR guidance treats a technology asset inventory as a valuable tool for accurate and thorough risk analysis.</x:t>
        </x:is>
      </x:c>
      <x:c r="N72" s="5" t="inlineStr">
        <x:is>
          <x:t xml:space="preserve">0701.07a1 Organizational.7</x:t>
        </x:is>
      </x:c>
      <x:c r="O72" s="5" t="n">
        <x:v>2</x:v>
      </x:c>
      <x:c r="P72" s="5" t="n"/>
      <x:c r="Q72" s="5" t="inlineStr">
        <x:is>
          <x:t xml:space="preserve">List of All Production Systems (Servers</x:t>
        </x:is>
      </x:c>
      <x:c r="R72" s="5" t="inlineStr">
        <x:is>
          <x:t xml:space="preserve">Configuration</x:t>
        </x:is>
      </x:c>
      <x:c r="S72" s="5" t="n"/>
      <x:c r="T72" s="5" t="inlineStr">
        <x:is>
          <x:t xml:space="preserve">HITRUST e1.csv</x:t>
        </x:is>
      </x:c>
      <x:c r="U72" s="5" t="inlineStr">
        <x:is>
          <x:t xml:space="preserve">45 C.F.R. § 164.308(a)(1)(ii)(A)</x:t>
        </x:is>
      </x:c>
      <x:c r="V72" s="5" t="inlineStr">
        <x:is>
          <x:t xml:space="preserve">Security Management Process — Risk Analysis</x:t>
        </x:is>
      </x:c>
      <x:c r="W72" s="5" t="inlineStr">
        <x:is>
          <x:t xml:space="preserve">Conduct an accurate and thorough assessment of the potential risks and vulnerabilities to the confidentiality, integrity, and availability of ePHI.</x:t>
        </x:is>
      </x:c>
      <x:c r="X72" s="5" t="inlineStr">
        <x:is>
          <x:t xml:space="preserve">Required implementation specification</x:t>
        </x:is>
      </x:c>
      <x:c r="Y72" s="5" t="inlineStr">
        <x:is>
          <x:t xml:space="preserve">Administrative Safeguards</x:t>
        </x:is>
      </x:c>
      <x:c r="Z72" s="28" t="inlineStr">
        <x:is>
          <x:t xml:space="preserve">https://www.ecfr.gov/current/title-45/subtitle-A/subchapter-C/part-164/section-164.308</x:t>
        </x:is>
      </x:c>
      <x:c r="AA72" s="28" t="inlineStr">
        <x:is>
          <x:t xml:space="preserve">https://www.hhs.gov/hipaa/for-professionals/security/guidance/guidance-risk-analysis/index.html</x:t>
        </x:is>
      </x:c>
      <x:c r="AB72" s="5" t="inlineStr">
        <x:is>
          <x:t xml:space="preserve">45 C.F.R. § 164.308(a)(1)(ii)(B)</x:t>
        </x:is>
      </x:c>
      <x:c r="AC72" s="5" t="inlineStr">
        <x:is>
          <x:t xml:space="preserve">Security Management Process — Risk Management</x:t>
        </x:is>
      </x:c>
      <x:c r="AD72" s="5" t="inlineStr">
        <x:is>
          <x:t xml:space="preserve">Implement security measures sufficient to reduce identified risks and vulnerabilities to a reasonable and appropriate level.</x:t>
        </x:is>
      </x:c>
      <x:c r="AE72" s="5" t="inlineStr">
        <x:is>
          <x:t xml:space="preserve">Required implementation specification</x:t>
        </x:is>
      </x:c>
      <x:c r="AF72" s="5" t="inlineStr">
        <x:is>
          <x:t xml:space="preserve">Administrative Safeguards</x:t>
        </x:is>
      </x:c>
      <x:c r="AG72" s="28" t="inlineStr">
        <x:is>
          <x:t xml:space="preserve">https://www.ecfr.gov/current/title-45/subtitle-A/subchapter-C/part-164/section-164.308</x:t>
        </x:is>
      </x:c>
      <x:c r="AH72" s="28" t="inlineStr">
        <x:is>
          <x:t xml:space="preserve">https://www.hhs.gov/hipaa/for-professionals/security/guidance/guidance-risk-analysis/index.html</x:t>
        </x:is>
      </x:c>
      <x:c r="AI72" s="5" t="n"/>
      <x:c r="AJ72" s="5" t="n"/>
      <x:c r="AK72" s="5" t="n"/>
      <x:c r="AL72" s="5" t="n"/>
      <x:c r="AM72" s="5" t="n"/>
      <x:c r="AN72" s="5" t="n"/>
      <x:c r="AO72" s="5" t="n"/>
      <x:c r="AP72" s="5" t="inlineStr">
        <x:is>
          <x:t xml:space="preserve">VMs</x:t>
        </x:is>
      </x:c>
      <x:c r="AQ72" s="5" t="inlineStr">
        <x:is>
          <x:t xml:space="preserve">Data Stores)</x:t>
        </x:is>
      </x:c>
    </x:row>
    <x:row r="73" ht="30" customHeight="1">
      <x:c r="A73" s="5" t="inlineStr">
        <x:is>
          <x:t xml:space="preserve">REQ-43-HIPAA</x:t>
        </x:is>
      </x:c>
      <x:c r="B73" s="5" t="inlineStr">
        <x:is>
          <x:t xml:space="preserve">0701.07a1Organizational.8</x:t>
        </x:is>
      </x:c>
      <x:c r="C73" s="5" t="n">
        <x:v>1</x:v>
      </x:c>
      <x:c r="D73" s="5" t="inlineStr">
        <x:is>
          <x:t xml:space="preserve">List of All Production Systems (Servers, VMs, Data Stores)</x:t>
        </x:is>
      </x:c>
      <x:c r="E73" s="5" t="inlineStr">
        <x:is>
          <x:t xml:space="preserve">Configuration</x:t>
        </x:is>
      </x:c>
      <x:c r="F73" s="5" t="inlineStr">
        <x:is>
          <x:t xml:space="preserve">HITRUST e1.csv</x:t>
        </x:is>
      </x:c>
      <x:c r="G73" s="5" t="inlineStr">
        <x:is>
          <x:t xml:space="preserve">Many:Many</x:t>
        </x:is>
      </x:c>
      <x:c r="H73" s="5" t="inlineStr">
        <x:is>
          <x:t xml:space="preserve">45 CFR § 164.308(a)(1)(ii)(A) | 45 CFR § 164.308(a)(1)(ii)(B)</x:t>
        </x:is>
      </x:c>
      <x:c r="I73" s="5" t="inlineStr">
        <x:is>
          <x:t xml:space="preserve">Security Management Process — Risk Analysis | Security Management Process — Risk Management</x:t>
        </x:is>
      </x:c>
      <x:c r="J73" s="5" t="inlineStr">
        <x:is>
          <x:t xml:space="preserve">Best-fit composite</x:t>
        </x:is>
      </x:c>
      <x:c r="K73" s="5" t="inlineStr">
        <x:is>
          <x:t xml:space="preserve">A production-systems inventory is supporting evidence for patch coverage and vulnerability scoping under risk analysis/risk management.</x:t>
        </x:is>
      </x:c>
      <x:c r="L73" s="28" t="inlineStr">
        <x:is>
          <x:t xml:space="preserve">https://www.ecfr.gov/current/title-45/subtitle-A/subchapter-C/part-164/section-164.308 | https://www.hhs.gov/hipaa/for-professionals/security/guidance/cybersecurity-newsletter-october-2024/index.html | https://www.hhs.gov/hipaa/for-professionals/security/guidance/cybersecurity-newsletter-january-2026/index.html | https://www.hhs.gov/hipaa/for-professionals/security/guidance/guidance-risk-analysis/index.html</x:t>
        </x:is>
      </x:c>
      <x:c r="M73" s="5" t="inlineStr">
        <x:is>
          <x:t xml:space="preserve">OCR guidance treats a technology asset inventory as a valuable tool for accurate and thorough risk analysis.</x:t>
        </x:is>
      </x:c>
      <x:c r="N73" s="5" t="inlineStr">
        <x:is>
          <x:t xml:space="preserve">0701.07a1 Organizational.8</x:t>
        </x:is>
      </x:c>
      <x:c r="O73" s="5" t="n">
        <x:v>2</x:v>
      </x:c>
      <x:c r="P73" s="5" t="n"/>
      <x:c r="Q73" s="5" t="inlineStr">
        <x:is>
          <x:t xml:space="preserve">List of All Production Systems (Servers</x:t>
        </x:is>
      </x:c>
      <x:c r="R73" s="5" t="inlineStr">
        <x:is>
          <x:t xml:space="preserve">Configuration</x:t>
        </x:is>
      </x:c>
      <x:c r="S73" s="5" t="n"/>
      <x:c r="T73" s="5" t="inlineStr">
        <x:is>
          <x:t xml:space="preserve">HITRUST e1.csv</x:t>
        </x:is>
      </x:c>
      <x:c r="U73" s="5" t="inlineStr">
        <x:is>
          <x:t xml:space="preserve">45 C.F.R. § 164.308(a)(1)(ii)(A)</x:t>
        </x:is>
      </x:c>
      <x:c r="V73" s="5" t="inlineStr">
        <x:is>
          <x:t xml:space="preserve">Security Management Process — Risk Analysis</x:t>
        </x:is>
      </x:c>
      <x:c r="W73" s="5" t="inlineStr">
        <x:is>
          <x:t xml:space="preserve">Conduct an accurate and thorough assessment of the potential risks and vulnerabilities to the confidentiality, integrity, and availability of ePHI.</x:t>
        </x:is>
      </x:c>
      <x:c r="X73" s="5" t="inlineStr">
        <x:is>
          <x:t xml:space="preserve">Required implementation specification</x:t>
        </x:is>
      </x:c>
      <x:c r="Y73" s="5" t="inlineStr">
        <x:is>
          <x:t xml:space="preserve">Administrative Safeguards</x:t>
        </x:is>
      </x:c>
      <x:c r="Z73" s="28" t="inlineStr">
        <x:is>
          <x:t xml:space="preserve">https://www.ecfr.gov/current/title-45/subtitle-A/subchapter-C/part-164/section-164.308</x:t>
        </x:is>
      </x:c>
      <x:c r="AA73" s="28" t="inlineStr">
        <x:is>
          <x:t xml:space="preserve">https://www.hhs.gov/hipaa/for-professionals/security/guidance/guidance-risk-analysis/index.html</x:t>
        </x:is>
      </x:c>
      <x:c r="AB73" s="5" t="inlineStr">
        <x:is>
          <x:t xml:space="preserve">45 C.F.R. § 164.308(a)(1)(ii)(B)</x:t>
        </x:is>
      </x:c>
      <x:c r="AC73" s="5" t="inlineStr">
        <x:is>
          <x:t xml:space="preserve">Security Management Process — Risk Management</x:t>
        </x:is>
      </x:c>
      <x:c r="AD73" s="5" t="inlineStr">
        <x:is>
          <x:t xml:space="preserve">Implement security measures sufficient to reduce identified risks and vulnerabilities to a reasonable and appropriate level.</x:t>
        </x:is>
      </x:c>
      <x:c r="AE73" s="5" t="inlineStr">
        <x:is>
          <x:t xml:space="preserve">Required implementation specification</x:t>
        </x:is>
      </x:c>
      <x:c r="AF73" s="5" t="inlineStr">
        <x:is>
          <x:t xml:space="preserve">Administrative Safeguards</x:t>
        </x:is>
      </x:c>
      <x:c r="AG73" s="28" t="inlineStr">
        <x:is>
          <x:t xml:space="preserve">https://www.ecfr.gov/current/title-45/subtitle-A/subchapter-C/part-164/section-164.308</x:t>
        </x:is>
      </x:c>
      <x:c r="AH73" s="28" t="inlineStr">
        <x:is>
          <x:t xml:space="preserve">https://www.hhs.gov/hipaa/for-professionals/security/guidance/guidance-risk-analysis/index.html</x:t>
        </x:is>
      </x:c>
      <x:c r="AI73" s="5" t="n"/>
      <x:c r="AJ73" s="5" t="n"/>
      <x:c r="AK73" s="5" t="n"/>
      <x:c r="AL73" s="5" t="n"/>
      <x:c r="AM73" s="5" t="n"/>
      <x:c r="AN73" s="5" t="n"/>
      <x:c r="AO73" s="5" t="n"/>
      <x:c r="AP73" s="5" t="inlineStr">
        <x:is>
          <x:t xml:space="preserve">VMs</x:t>
        </x:is>
      </x:c>
      <x:c r="AQ73" s="5" t="inlineStr">
        <x:is>
          <x:t xml:space="preserve">Data Stores)</x:t>
        </x:is>
      </x:c>
    </x:row>
    <x:row r="74" ht="30" customHeight="1">
      <x:c r="A74" s="5" t="inlineStr">
        <x:is>
          <x:t xml:space="preserve">REQ-46-HIPAA</x:t>
        </x:is>
      </x:c>
      <x:c r="B74" s="5" t="inlineStr">
        <x:is>
          <x:t xml:space="preserve">07.10m1Organizational.3</x:t>
        </x:is>
      </x:c>
      <x:c r="C74" s="5" t="n">
        <x:v>1</x:v>
      </x:c>
      <x:c r="D74" s="5" t="inlineStr">
        <x:is>
          <x:t xml:space="preserve">Evidence of Vulnerability Scan Results</x:t>
        </x:is>
      </x:c>
      <x:c r="E74" s="5" t="inlineStr">
        <x:is>
          <x:t xml:space="preserve">Sample</x:t>
        </x:is>
      </x:c>
      <x:c r="F74" s="5" t="inlineStr">
        <x:is>
          <x:t xml:space="preserve">HITRUST e1.csv</x:t>
        </x:is>
      </x:c>
      <x:c r="G74" s="5" t="inlineStr">
        <x:is>
          <x:t xml:space="preserve">Many:1</x:t>
        </x:is>
      </x:c>
      <x:c r="H74" s="5" t="inlineStr">
        <x:is>
          <x:t xml:space="preserve">45 CFR § 164.308(a)(1)(ii)(A)</x:t>
        </x:is>
      </x:c>
      <x:c r="I74" s="5" t="inlineStr">
        <x:is>
          <x:t xml:space="preserve">Security Management Process — Risk Analysis</x:t>
        </x:is>
      </x:c>
      <x:c r="J74" s="5" t="inlineStr">
        <x:is>
          <x:t xml:space="preserve">Best-fit</x:t>
        </x:is>
      </x:c>
      <x:c r="K74" s="5" t="inlineStr">
        <x:is>
          <x:t xml:space="preserve">OCR guidance identifies vulnerability scanning as one way to identify risks and vulnerabilities to ePHI.</x:t>
        </x:is>
      </x:c>
      <x:c r="L74" s="28"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M74" s="5" t="inlineStr">
        <x:is>
          <x:t xml:space="preserve">Used for vulnerability-scan result evidence.</x:t>
        </x:is>
      </x:c>
      <x:c r="N74" s="5" t="inlineStr">
        <x:is>
          <x:t xml:space="preserve">07.10m1 Organizational.3</x:t>
        </x:is>
      </x:c>
      <x:c r="O74" s="5" t="n">
        <x:v>1</x:v>
      </x:c>
      <x:c r="P74" s="5" t="n"/>
      <x:c r="Q74" s="5" t="inlineStr">
        <x:is>
          <x:t xml:space="preserve">Evidence of Vulnerability Scan Results</x:t>
        </x:is>
      </x:c>
      <x:c r="R74" s="5" t="inlineStr">
        <x:is>
          <x:t xml:space="preserve">Sample</x:t>
        </x:is>
      </x:c>
      <x:c r="S74" s="5" t="n"/>
      <x:c r="T74" s="5" t="inlineStr">
        <x:is>
          <x:t xml:space="preserve">HITRUST e1.csv</x:t>
        </x:is>
      </x:c>
      <x:c r="U74" s="5" t="inlineStr">
        <x:is>
          <x:t xml:space="preserve">45 C.F.R. § 164.308(a)(1)(ii)(A)</x:t>
        </x:is>
      </x:c>
      <x:c r="V74" s="5" t="inlineStr">
        <x:is>
          <x:t xml:space="preserve">Security Management Process — Risk Analysis</x:t>
        </x:is>
      </x:c>
      <x:c r="W74" s="5" t="inlineStr">
        <x:is>
          <x:t xml:space="preserve">Conduct an accurate and thorough assessment of the potential risks and vulnerabilities to the confidentiality, integrity, and availability of ePHI.</x:t>
        </x:is>
      </x:c>
      <x:c r="X74" s="5" t="inlineStr">
        <x:is>
          <x:t xml:space="preserve">Required implementation specification</x:t>
        </x:is>
      </x:c>
      <x:c r="Y74" s="5" t="inlineStr">
        <x:is>
          <x:t xml:space="preserve">Administrative Safeguards</x:t>
        </x:is>
      </x:c>
      <x:c r="Z74" s="28" t="inlineStr">
        <x:is>
          <x:t xml:space="preserve">https://www.ecfr.gov/current/title-45/subtitle-A/subchapter-C/part-164/section-164.308</x:t>
        </x:is>
      </x:c>
      <x:c r="AA74" s="28" t="inlineStr">
        <x:is>
          <x:t xml:space="preserve">https://www.hhs.gov/hipaa/for-professionals/security/guidance/guidance-risk-analysis/index.html</x:t>
        </x:is>
      </x:c>
      <x:c r="AB74" s="5" t="n"/>
      <x:c r="AC74" s="5" t="n"/>
      <x:c r="AD74" s="5" t="n"/>
      <x:c r="AE74" s="5" t="n"/>
      <x:c r="AF74" s="5" t="n"/>
      <x:c r="AG74" s="5" t="n"/>
      <x:c r="AH74" s="5" t="n"/>
      <x:c r="AI74" s="5" t="n"/>
      <x:c r="AJ74" s="5" t="n"/>
      <x:c r="AK74" s="5" t="n"/>
      <x:c r="AL74" s="5" t="n"/>
      <x:c r="AM74" s="5" t="n"/>
      <x:c r="AN74" s="5" t="n"/>
      <x:c r="AO74" s="5" t="n"/>
      <x:c r="AP74" s="5" t="n"/>
      <x:c r="AQ74" s="5" t="n"/>
    </x:row>
    <x:row r="75" ht="30" customHeight="1">
      <x:c r="A75" s="5" t="inlineStr">
        <x:is>
          <x:t xml:space="preserve">REQ-47-HIPAA</x:t>
        </x:is>
      </x:c>
      <x:c r="B75" s="5" t="inlineStr">
        <x:is>
          <x:t xml:space="preserve">07.10m1Organizational.3</x:t>
        </x:is>
      </x:c>
      <x:c r="C75" s="5" t="n">
        <x:v>1</x:v>
      </x:c>
      <x:c r="D75" s="5" t="inlineStr">
        <x:is>
          <x:t xml:space="preserve">Evidence of Vulnerability Scan Results</x:t>
        </x:is>
      </x:c>
      <x:c r="E75" s="5" t="inlineStr">
        <x:is>
          <x:t xml:space="preserve">Sample</x:t>
        </x:is>
      </x:c>
      <x:c r="F75" s="5" t="inlineStr">
        <x:is>
          <x:t xml:space="preserve">HITRUST e1.csv</x:t>
        </x:is>
      </x:c>
      <x:c r="G75" s="5" t="inlineStr">
        <x:is>
          <x:t xml:space="preserve">Many:1</x:t>
        </x:is>
      </x:c>
      <x:c r="H75" s="5" t="inlineStr">
        <x:is>
          <x:t xml:space="preserve">45 CFR § 164.308(a)(1)(ii)(B)</x:t>
        </x:is>
      </x:c>
      <x:c r="I75" s="5" t="inlineStr">
        <x:is>
          <x:t xml:space="preserve">Security Management Process — Risk Management</x:t>
        </x:is>
      </x:c>
      <x:c r="J75" s="5" t="inlineStr">
        <x:is>
          <x:t xml:space="preserve">Best-fit</x:t>
        </x:is>
      </x:c>
      <x:c r="K75" s="5" t="inlineStr">
        <x:is>
          <x:t xml:space="preserve">Vulnerability remediation is the treatment/mitigation step after risks are identified.</x:t>
        </x:is>
      </x:c>
      <x:c r="L75" s="28" t="inlineStr">
        <x:is>
          <x:t xml:space="preserve">https://www.ecfr.gov/current/title-45/subtitle-A/subchapter-C/part-164/section-164.308 | https://www.hhs.gov/hipaa/for-professionals/security/guidance/cybersecurity-newsletter-january-2026/index.html | https://www.hhs.gov/hipaa/for-professionals/security/guidance/guidance-risk-analysis/index.html</x:t>
        </x:is>
      </x:c>
      <x:c r="M75" s="5" t="inlineStr">
        <x:is>
          <x:t xml:space="preserve">Used for remediation evidence and related patch/vulnerability-management policy rows.</x:t>
        </x:is>
      </x:c>
      <x:c r="N75" s="5" t="inlineStr">
        <x:is>
          <x:t xml:space="preserve">07.10m1 Organizational.3</x:t>
        </x:is>
      </x:c>
      <x:c r="O75" s="5" t="n">
        <x:v>1</x:v>
      </x:c>
      <x:c r="P75" s="5" t="n"/>
      <x:c r="Q75" s="5" t="inlineStr">
        <x:is>
          <x:t xml:space="preserve">Evidence of Vulnerability Scan Results</x:t>
        </x:is>
      </x:c>
      <x:c r="R75" s="5" t="inlineStr">
        <x:is>
          <x:t xml:space="preserve">Sample</x:t>
        </x:is>
      </x:c>
      <x:c r="S75" s="5" t="n"/>
      <x:c r="T75" s="5" t="inlineStr">
        <x:is>
          <x:t xml:space="preserve">HITRUST e1.csv</x:t>
        </x:is>
      </x:c>
      <x:c r="U75" s="5" t="inlineStr">
        <x:is>
          <x:t xml:space="preserve">45 C.F.R. § 164.308(a)(1)(ii)(B)</x:t>
        </x:is>
      </x:c>
      <x:c r="V75" s="5" t="inlineStr">
        <x:is>
          <x:t xml:space="preserve">Security Management Process — Risk Management</x:t>
        </x:is>
      </x:c>
      <x:c r="W75" s="5" t="inlineStr">
        <x:is>
          <x:t xml:space="preserve">Implement security measures sufficient to reduce identified risks and vulnerabilities to a reasonable and appropriate level.</x:t>
        </x:is>
      </x:c>
      <x:c r="X75" s="5" t="inlineStr">
        <x:is>
          <x:t xml:space="preserve">Required implementation specification</x:t>
        </x:is>
      </x:c>
      <x:c r="Y75" s="5" t="inlineStr">
        <x:is>
          <x:t xml:space="preserve">Administrative Safeguards</x:t>
        </x:is>
      </x:c>
      <x:c r="Z75" s="28" t="inlineStr">
        <x:is>
          <x:t xml:space="preserve">https://www.ecfr.gov/current/title-45/subtitle-A/subchapter-C/part-164/section-164.308</x:t>
        </x:is>
      </x:c>
      <x:c r="AA75" s="28" t="inlineStr">
        <x:is>
          <x:t xml:space="preserve">https://www.hhs.gov/hipaa/for-professionals/security/guidance/guidance-risk-analysis/index.html</x:t>
        </x:is>
      </x:c>
      <x:c r="AB75" s="5" t="n"/>
      <x:c r="AC75" s="5" t="n"/>
      <x:c r="AD75" s="5" t="n"/>
      <x:c r="AE75" s="5" t="n"/>
      <x:c r="AF75" s="5" t="n"/>
      <x:c r="AG75" s="5" t="n"/>
      <x:c r="AH75" s="5" t="n"/>
      <x:c r="AI75" s="5" t="n"/>
      <x:c r="AJ75" s="5" t="n"/>
      <x:c r="AK75" s="5" t="n"/>
      <x:c r="AL75" s="5" t="n"/>
      <x:c r="AM75" s="5" t="n"/>
      <x:c r="AN75" s="5" t="n"/>
      <x:c r="AO75" s="5" t="n"/>
      <x:c r="AP75" s="5" t="n"/>
      <x:c r="AQ75" s="5" t="n"/>
    </x:row>
    <x:row r="76" ht="30" customHeight="1">
      <x:c r="A76" s="5" t="inlineStr">
        <x:is>
          <x:t xml:space="preserve">REQ-48-HIPAA</x:t>
        </x:is>
      </x:c>
      <x:c r="B76" s="5" t="inlineStr">
        <x:is>
          <x:t xml:space="preserve">1561.11c1Organizational.4</x:t>
        </x:is>
      </x:c>
      <x:c r="C76" s="5" t="n">
        <x:v>1</x:v>
      </x:c>
      <x:c r="D76" s="5" t="inlineStr">
        <x:is>
          <x:t xml:space="preserve">Incident Response</x:t>
        </x:is>
      </x:c>
      <x:c r="E76" s="5" t="inlineStr">
        <x:is>
          <x:t xml:space="preserve">Policy</x:t>
        </x:is>
      </x:c>
      <x:c r="F76" s="5" t="inlineStr">
        <x:is>
          <x:t xml:space="preserve">HITRUST e1.csv</x:t>
        </x:is>
      </x:c>
      <x:c r="G76" s="5" t="inlineStr">
        <x:is>
          <x:t xml:space="preserve">Many:Many</x:t>
        </x:is>
      </x:c>
      <x:c r="H76" s="5" t="inlineStr">
        <x:is>
          <x:t xml:space="preserve">45 CFR § 164.308(a)(6)(i)</x:t>
        </x:is>
      </x:c>
      <x:c r="I76" s="5" t="inlineStr">
        <x:is>
          <x:t xml:space="preserve">Security Incident Procedures</x:t>
        </x:is>
      </x:c>
      <x:c r="J76" s="5" t="inlineStr">
        <x:is>
          <x:t xml:space="preserve">Direct</x:t>
        </x:is>
      </x:c>
      <x:c r="K76" s="5" t="inlineStr">
        <x:is>
          <x:t xml:space="preserve">Incident-response policy aligns directly to the Security Incident Procedures standard.</x:t>
        </x:is>
      </x:c>
      <x:c r="L76"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6" s="5" t="inlineStr">
        <x:is>
          <x:t xml:space="preserve">Used for policy-level incident-response rows.</x:t>
        </x:is>
      </x:c>
      <x:c r="N76" s="5" t="inlineStr">
        <x:is>
          <x:t xml:space="preserve">1561.11c1 Organizational.4</x:t>
        </x:is>
      </x:c>
      <x:c r="O76" s="5" t="n">
        <x:v>1</x:v>
      </x:c>
      <x:c r="P76" s="5" t="n"/>
      <x:c r="Q76" s="5" t="inlineStr">
        <x:is>
          <x:t xml:space="preserve">Incident Response</x:t>
        </x:is>
      </x:c>
      <x:c r="R76" s="5" t="inlineStr">
        <x:is>
          <x:t xml:space="preserve">Policy</x:t>
        </x:is>
      </x:c>
      <x:c r="S76" s="5" t="n"/>
      <x:c r="T76" s="5" t="inlineStr">
        <x:is>
          <x:t xml:space="preserve">HITRUST e1.csv</x:t>
        </x:is>
      </x:c>
      <x:c r="U76" s="5" t="inlineStr">
        <x:is>
          <x:t xml:space="preserve">45 C.F.R. § 164.308(a)(6)(i)</x:t>
        </x:is>
      </x:c>
      <x:c r="V76" s="5" t="inlineStr">
        <x:is>
          <x:t xml:space="preserve">Security Incident Procedures</x:t>
        </x:is>
      </x:c>
      <x:c r="W76" s="5" t="inlineStr">
        <x:is>
          <x:t xml:space="preserve">Implement policies and procedures to address security incidents.</x:t>
        </x:is>
      </x:c>
      <x:c r="X76" s="5" t="inlineStr">
        <x:is>
          <x:t xml:space="preserve">Standard</x:t>
        </x:is>
      </x:c>
      <x:c r="Y76" s="5" t="inlineStr">
        <x:is>
          <x:t xml:space="preserve">Administrative Safeguards</x:t>
        </x:is>
      </x:c>
      <x:c r="Z76" s="28" t="inlineStr">
        <x:is>
          <x:t xml:space="preserve">https://www.ecfr.gov/current/title-45/subtitle-A/subchapter-C/part-164/section-164.308</x:t>
        </x:is>
      </x:c>
      <x:c r="AA76" s="28" t="inlineStr">
        <x:is>
          <x:t xml:space="preserve">https://www.hhs.gov/hipaa/for-professionals/faq/2002/what-does-the-security-rule-require-a-covered-entity-to-do-to-comply/index.html</x:t>
        </x:is>
      </x:c>
      <x:c r="AB76" s="5" t="n"/>
      <x:c r="AC76" s="5" t="n"/>
      <x:c r="AD76" s="5" t="n"/>
      <x:c r="AE76" s="5" t="n"/>
      <x:c r="AF76" s="5" t="n"/>
      <x:c r="AG76" s="5" t="n"/>
      <x:c r="AH76" s="5" t="n"/>
      <x:c r="AI76" s="5" t="n"/>
      <x:c r="AJ76" s="5" t="n"/>
      <x:c r="AK76" s="5" t="n"/>
      <x:c r="AL76" s="5" t="n"/>
      <x:c r="AM76" s="5" t="n"/>
      <x:c r="AN76" s="5" t="n"/>
      <x:c r="AO76" s="5" t="n"/>
      <x:c r="AP76" s="5" t="n"/>
      <x:c r="AQ76" s="5" t="n"/>
    </x:row>
    <x:row r="77" ht="30" customHeight="1">
      <x:c r="A77" s="5" t="inlineStr">
        <x:is>
          <x:t xml:space="preserve">REQ-48-HIPAA</x:t>
        </x:is>
      </x:c>
      <x:c r="B77" s="5" t="inlineStr">
        <x:is>
          <x:t xml:space="preserve">1589.11c1Organizational.5</x:t>
        </x:is>
      </x:c>
      <x:c r="C77" s="5" t="n">
        <x:v>1</x:v>
      </x:c>
      <x:c r="D77" s="5" t="inlineStr">
        <x:is>
          <x:t xml:space="preserve">Incident Response</x:t>
        </x:is>
      </x:c>
      <x:c r="E77" s="5" t="inlineStr">
        <x:is>
          <x:t xml:space="preserve">Policy</x:t>
        </x:is>
      </x:c>
      <x:c r="F77" s="5" t="inlineStr">
        <x:is>
          <x:t xml:space="preserve">HITRUST e1.csv</x:t>
        </x:is>
      </x:c>
      <x:c r="G77" s="5" t="inlineStr">
        <x:is>
          <x:t xml:space="preserve">Many:Many</x:t>
        </x:is>
      </x:c>
      <x:c r="H77" s="5" t="inlineStr">
        <x:is>
          <x:t xml:space="preserve">45 CFR § 164.308(a)(6)(i)</x:t>
        </x:is>
      </x:c>
      <x:c r="I77" s="5" t="inlineStr">
        <x:is>
          <x:t xml:space="preserve">Security Incident Procedures</x:t>
        </x:is>
      </x:c>
      <x:c r="J77" s="5" t="inlineStr">
        <x:is>
          <x:t xml:space="preserve">Direct</x:t>
        </x:is>
      </x:c>
      <x:c r="K77" s="5" t="inlineStr">
        <x:is>
          <x:t xml:space="preserve">Incident-response policy aligns directly to the Security Incident Procedures standard.</x:t>
        </x:is>
      </x:c>
      <x:c r="L77"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7" s="5" t="inlineStr">
        <x:is>
          <x:t xml:space="preserve">Used for policy-level incident-response rows.</x:t>
        </x:is>
      </x:c>
      <x:c r="N77" s="5" t="inlineStr">
        <x:is>
          <x:t xml:space="preserve">1589.11c1 Organizational.5</x:t>
        </x:is>
      </x:c>
      <x:c r="O77" s="5" t="n">
        <x:v>1</x:v>
      </x:c>
      <x:c r="P77" s="5" t="n"/>
      <x:c r="Q77" s="5" t="inlineStr">
        <x:is>
          <x:t xml:space="preserve">Incident Response</x:t>
        </x:is>
      </x:c>
      <x:c r="R77" s="5" t="inlineStr">
        <x:is>
          <x:t xml:space="preserve">Policy</x:t>
        </x:is>
      </x:c>
      <x:c r="S77" s="5" t="n"/>
      <x:c r="T77" s="5" t="inlineStr">
        <x:is>
          <x:t xml:space="preserve">HITRUST e1.csv</x:t>
        </x:is>
      </x:c>
      <x:c r="U77" s="5" t="inlineStr">
        <x:is>
          <x:t xml:space="preserve">45 C.F.R. § 164.308(a)(6)(i)</x:t>
        </x:is>
      </x:c>
      <x:c r="V77" s="5" t="inlineStr">
        <x:is>
          <x:t xml:space="preserve">Security Incident Procedures</x:t>
        </x:is>
      </x:c>
      <x:c r="W77" s="5" t="inlineStr">
        <x:is>
          <x:t xml:space="preserve">Implement policies and procedures to address security incidents.</x:t>
        </x:is>
      </x:c>
      <x:c r="X77" s="5" t="inlineStr">
        <x:is>
          <x:t xml:space="preserve">Standard</x:t>
        </x:is>
      </x:c>
      <x:c r="Y77" s="5" t="inlineStr">
        <x:is>
          <x:t xml:space="preserve">Administrative Safeguards</x:t>
        </x:is>
      </x:c>
      <x:c r="Z77" s="28" t="inlineStr">
        <x:is>
          <x:t xml:space="preserve">https://www.ecfr.gov/current/title-45/subtitle-A/subchapter-C/part-164/section-164.308</x:t>
        </x:is>
      </x:c>
      <x:c r="AA77" s="28" t="inlineStr">
        <x:is>
          <x:t xml:space="preserve">https://www.hhs.gov/hipaa/for-professionals/faq/2002/what-does-the-security-rule-require-a-covered-entity-to-do-to-comply/index.html</x:t>
        </x:is>
      </x:c>
      <x:c r="AB77" s="5" t="n"/>
      <x:c r="AC77" s="5" t="n"/>
      <x:c r="AD77" s="5" t="n"/>
      <x:c r="AE77" s="5" t="n"/>
      <x:c r="AF77" s="5" t="n"/>
      <x:c r="AG77" s="5" t="n"/>
      <x:c r="AH77" s="5" t="n"/>
      <x:c r="AI77" s="5" t="n"/>
      <x:c r="AJ77" s="5" t="n"/>
      <x:c r="AK77" s="5" t="n"/>
      <x:c r="AL77" s="5" t="n"/>
      <x:c r="AM77" s="5" t="n"/>
      <x:c r="AN77" s="5" t="n"/>
      <x:c r="AO77" s="5" t="n"/>
      <x:c r="AP77" s="5" t="n"/>
      <x:c r="AQ77" s="5" t="n"/>
    </x:row>
    <x:row r="78" ht="30" customHeight="1">
      <x:c r="A78" s="5" t="inlineStr">
        <x:is>
          <x:t xml:space="preserve">REQ-49-HIPAA</x:t>
        </x:is>
      </x:c>
      <x:c r="B78" s="5" t="inlineStr">
        <x:is>
          <x:t xml:space="preserve">1561.11c1Organizational.4</x:t>
        </x:is>
      </x:c>
      <x:c r="C78" s="5" t="n">
        <x:v>1</x:v>
      </x:c>
      <x:c r="D78" s="5" t="inlineStr">
        <x:is>
          <x:t xml:space="preserve">Incident Response</x:t>
        </x:is>
      </x:c>
      <x:c r="E78" s="5" t="inlineStr">
        <x:is>
          <x:t xml:space="preserve">Policy</x:t>
        </x:is>
      </x:c>
      <x:c r="F78" s="5" t="inlineStr">
        <x:is>
          <x:t xml:space="preserve">HITRUST e1.csv</x:t>
        </x:is>
      </x:c>
      <x:c r="G78" s="5" t="inlineStr">
        <x:is>
          <x:t xml:space="preserve">Many:Many</x:t>
        </x:is>
      </x:c>
      <x:c r="H78" s="5" t="inlineStr">
        <x:is>
          <x:t xml:space="preserve">45 CFR § 164.308(a)(6)(ii)</x:t>
        </x:is>
      </x:c>
      <x:c r="I78" s="5" t="inlineStr">
        <x:is>
          <x:t xml:space="preserve">Security Incident Procedures — Response and Reporting</x:t>
        </x:is>
      </x:c>
      <x:c r="J78" s="5" t="inlineStr">
        <x:is>
          <x:t xml:space="preserve">Direct</x:t>
        </x:is>
      </x:c>
      <x:c r="K78" s="5" t="inlineStr">
        <x:is>
          <x:t xml:space="preserve">This internal control best aligns to the response/reporting implementation specification under incident procedures.</x:t>
        </x:is>
      </x:c>
      <x:c r="L78"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8" s="5" t="inlineStr">
        <x:is>
          <x:t xml:space="preserve">Used where the spreadsheet distinguishes the response/reporting component of incident handling.</x:t>
        </x:is>
      </x:c>
      <x:c r="N78" s="5" t="inlineStr">
        <x:is>
          <x:t xml:space="preserve">1561.11c1 Organizational.4</x:t>
        </x:is>
      </x:c>
      <x:c r="O78" s="5" t="n">
        <x:v>1</x:v>
      </x:c>
      <x:c r="P78" s="5" t="n"/>
      <x:c r="Q78" s="5" t="inlineStr">
        <x:is>
          <x:t xml:space="preserve">Incident Response</x:t>
        </x:is>
      </x:c>
      <x:c r="R78" s="5" t="inlineStr">
        <x:is>
          <x:t xml:space="preserve">Policy</x:t>
        </x:is>
      </x:c>
      <x:c r="S78" s="5" t="n"/>
      <x:c r="T78" s="5" t="inlineStr">
        <x:is>
          <x:t xml:space="preserve">HITRUST e1.csv</x:t>
        </x:is>
      </x:c>
      <x:c r="U78" s="5" t="inlineStr">
        <x:is>
          <x:t xml:space="preserve">45 C.F.R. § 164.308(a)(6)(ii)</x:t>
        </x:is>
      </x:c>
      <x:c r="V78" s="5" t="inlineStr">
        <x:is>
          <x:t xml:space="preserve">Security Incident Procedures — Response and Reporting</x:t>
        </x:is>
      </x:c>
      <x:c r="W78" s="5" t="inlineStr">
        <x:is>
          <x:t xml:space="preserve">Identify and respond to suspected or known security incidents, mitigate harmful effects to the extent practicable, and document incidents and outcomes.</x:t>
        </x:is>
      </x:c>
      <x:c r="X78" s="5" t="inlineStr">
        <x:is>
          <x:t xml:space="preserve">Required implementation specification</x:t>
        </x:is>
      </x:c>
      <x:c r="Y78" s="5" t="inlineStr">
        <x:is>
          <x:t xml:space="preserve">Administrative Safeguards</x:t>
        </x:is>
      </x:c>
      <x:c r="Z78" s="28" t="inlineStr">
        <x:is>
          <x:t xml:space="preserve">https://www.ecfr.gov/current/title-45/subtitle-A/subchapter-C/part-164/section-164.308</x:t>
        </x:is>
      </x:c>
      <x:c r="AA78" s="28" t="inlineStr">
        <x:is>
          <x:t xml:space="preserve">https://www.hhs.gov/hipaa/for-professionals/faq/2002/what-does-the-security-rule-require-a-covered-entity-to-do-to-comply/index.html</x:t>
        </x:is>
      </x:c>
      <x:c r="AB78" s="5" t="n"/>
      <x:c r="AC78" s="5" t="n"/>
      <x:c r="AD78" s="5" t="n"/>
      <x:c r="AE78" s="5" t="n"/>
      <x:c r="AF78" s="5" t="n"/>
      <x:c r="AG78" s="5" t="n"/>
      <x:c r="AH78" s="5" t="n"/>
      <x:c r="AI78" s="5" t="n"/>
      <x:c r="AJ78" s="5" t="n"/>
      <x:c r="AK78" s="5" t="n"/>
      <x:c r="AL78" s="5" t="n"/>
      <x:c r="AM78" s="5" t="n"/>
      <x:c r="AN78" s="5" t="n"/>
      <x:c r="AO78" s="5" t="n"/>
      <x:c r="AP78" s="5" t="n"/>
      <x:c r="AQ78" s="5" t="n"/>
    </x:row>
    <x:row r="79" ht="30" customHeight="1">
      <x:c r="A79" s="5" t="inlineStr">
        <x:is>
          <x:t xml:space="preserve">REQ-49-HIPAA</x:t>
        </x:is>
      </x:c>
      <x:c r="B79" s="5" t="inlineStr">
        <x:is>
          <x:t xml:space="preserve">1589.11c1Organizational.5</x:t>
        </x:is>
      </x:c>
      <x:c r="C79" s="5" t="n">
        <x:v>1</x:v>
      </x:c>
      <x:c r="D79" s="5" t="inlineStr">
        <x:is>
          <x:t xml:space="preserve">Incident Response</x:t>
        </x:is>
      </x:c>
      <x:c r="E79" s="5" t="inlineStr">
        <x:is>
          <x:t xml:space="preserve">Policy</x:t>
        </x:is>
      </x:c>
      <x:c r="F79" s="5" t="inlineStr">
        <x:is>
          <x:t xml:space="preserve">HITRUST e1.csv</x:t>
        </x:is>
      </x:c>
      <x:c r="G79" s="5" t="inlineStr">
        <x:is>
          <x:t xml:space="preserve">Many:Many</x:t>
        </x:is>
      </x:c>
      <x:c r="H79" s="5" t="inlineStr">
        <x:is>
          <x:t xml:space="preserve">45 CFR § 164.308(a)(6)(ii)</x:t>
        </x:is>
      </x:c>
      <x:c r="I79" s="5" t="inlineStr">
        <x:is>
          <x:t xml:space="preserve">Security Incident Procedures — Response and Reporting</x:t>
        </x:is>
      </x:c>
      <x:c r="J79" s="5" t="inlineStr">
        <x:is>
          <x:t xml:space="preserve">Direct</x:t>
        </x:is>
      </x:c>
      <x:c r="K79" s="5" t="inlineStr">
        <x:is>
          <x:t xml:space="preserve">This internal control best aligns to the response/reporting implementation specification under incident procedures.</x:t>
        </x:is>
      </x:c>
      <x:c r="L79" s="28" t="inlineStr">
        <x:is>
          <x:t xml:space="preserve">https://www.ecfr.gov/current/title-45/subtitle-A/subchapter-C/part-164/section-164.308 | https://www.hhs.gov/sites/default/files/ocr/privacy/hipaa/administrative/combined/hipaa-simplification-201303.pdf | https://www.hhs.gov/hipaa/for-professionals/faq/2002/what-does-the-security-rule-require-a-covered-entity-to-do-to-comply/index.html</x:t>
        </x:is>
      </x:c>
      <x:c r="M79" s="5" t="inlineStr">
        <x:is>
          <x:t xml:space="preserve">Used where the spreadsheet distinguishes the response/reporting component of incident handling.</x:t>
        </x:is>
      </x:c>
      <x:c r="N79" s="5" t="inlineStr">
        <x:is>
          <x:t xml:space="preserve">1589.11c1 Organizational.5</x:t>
        </x:is>
      </x:c>
      <x:c r="O79" s="5" t="n">
        <x:v>1</x:v>
      </x:c>
      <x:c r="P79" s="5" t="n"/>
      <x:c r="Q79" s="5" t="inlineStr">
        <x:is>
          <x:t xml:space="preserve">Incident Response</x:t>
        </x:is>
      </x:c>
      <x:c r="R79" s="5" t="inlineStr">
        <x:is>
          <x:t xml:space="preserve">Policy</x:t>
        </x:is>
      </x:c>
      <x:c r="S79" s="5" t="n"/>
      <x:c r="T79" s="5" t="inlineStr">
        <x:is>
          <x:t xml:space="preserve">HITRUST e1.csv</x:t>
        </x:is>
      </x:c>
      <x:c r="U79" s="5" t="inlineStr">
        <x:is>
          <x:t xml:space="preserve">45 C.F.R. § 164.308(a)(6)(ii)</x:t>
        </x:is>
      </x:c>
      <x:c r="V79" s="5" t="inlineStr">
        <x:is>
          <x:t xml:space="preserve">Security Incident Procedures — Response and Reporting</x:t>
        </x:is>
      </x:c>
      <x:c r="W79" s="5" t="inlineStr">
        <x:is>
          <x:t xml:space="preserve">Identify and respond to suspected or known security incidents, mitigate harmful effects to the extent practicable, and document incidents and outcomes.</x:t>
        </x:is>
      </x:c>
      <x:c r="X79" s="5" t="inlineStr">
        <x:is>
          <x:t xml:space="preserve">Required implementation specification</x:t>
        </x:is>
      </x:c>
      <x:c r="Y79" s="5" t="inlineStr">
        <x:is>
          <x:t xml:space="preserve">Administrative Safeguards</x:t>
        </x:is>
      </x:c>
      <x:c r="Z79" s="28" t="inlineStr">
        <x:is>
          <x:t xml:space="preserve">https://www.ecfr.gov/current/title-45/subtitle-A/subchapter-C/part-164/section-164.308</x:t>
        </x:is>
      </x:c>
      <x:c r="AA79" s="28" t="inlineStr">
        <x:is>
          <x:t xml:space="preserve">https://www.hhs.gov/hipaa/for-professionals/faq/2002/what-does-the-security-rule-require-a-covered-entity-to-do-to-comply/index.html</x:t>
        </x:is>
      </x:c>
      <x:c r="AB79" s="5" t="n"/>
      <x:c r="AC79" s="5" t="n"/>
      <x:c r="AD79" s="5" t="n"/>
      <x:c r="AE79" s="5" t="n"/>
      <x:c r="AF79" s="5" t="n"/>
      <x:c r="AG79" s="5" t="n"/>
      <x:c r="AH79" s="5" t="n"/>
      <x:c r="AI79" s="5" t="n"/>
      <x:c r="AJ79" s="5" t="n"/>
      <x:c r="AK79" s="5" t="n"/>
      <x:c r="AL79" s="5" t="n"/>
      <x:c r="AM79" s="5" t="n"/>
      <x:c r="AN79" s="5" t="n"/>
      <x:c r="AO79" s="5" t="n"/>
      <x:c r="AP79" s="5" t="n"/>
      <x:c r="AQ79" s="5" t="n"/>
    </x:row>
    <x:row r="80" ht="30" customHeight="1">
      <x:c r="A80" s="5" t="inlineStr">
        <x:is>
          <x:t xml:space="preserve">REQ-50-HIPAA</x:t>
        </x:is>
      </x:c>
      <x:c r="B80" s="5" t="inlineStr">
        <x:is>
          <x:t xml:space="preserve">1561.11c1Organizational.4</x:t>
        </x:is>
      </x:c>
      <x:c r="C80" s="5" t="n">
        <x:v>1</x:v>
      </x:c>
      <x:c r="D80" s="5" t="inlineStr">
        <x:is>
          <x:t xml:space="preserve">All Incidents Identified During the Review Period [INSERT EXAM PERIOD]</x:t>
        </x:is>
      </x:c>
      <x:c r="E80" s="5" t="inlineStr">
        <x:is>
          <x:t xml:space="preserve">Population</x:t>
        </x:is>
      </x:c>
      <x:c r="F80" s="5" t="inlineStr">
        <x:is>
          <x:t xml:space="preserve">HITRUST e1.csv</x:t>
        </x:is>
      </x:c>
      <x:c r="G80" s="5" t="inlineStr">
        <x:is>
          <x:t xml:space="preserve">Many:1</x:t>
        </x:is>
      </x:c>
      <x:c r="H80" s="5" t="inlineStr">
        <x:is>
          <x:t xml:space="preserve">45 CFR § 164.308(a)(6)(ii) | 45 CFR § 164.316(b)(1)</x:t>
        </x:is>
      </x:c>
      <x:c r="I80" s="5" t="inlineStr">
        <x:is>
          <x:t xml:space="preserve">Security Incident Procedures — Response and Reporting | Documentation</x:t>
        </x:is>
      </x:c>
      <x:c r="J80" s="5" t="inlineStr">
        <x:is>
          <x:t xml:space="preserve">Composite</x:t>
        </x:is>
      </x:c>
      <x:c r="K80" s="5" t="inlineStr">
        <x:is>
          <x:t xml:space="preserve">Incident tickets/population evidence show response/reporting activities and the required documentation of incidents and outcomes.</x:t>
        </x:is>
      </x:c>
      <x:c r="L80" s="28"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M80" s="5" t="inlineStr">
        <x:is>
          <x:t xml:space="preserve">Documentation is added because the evidence row is a ticket/log of incidents during the review period.</x:t>
        </x:is>
      </x:c>
      <x:c r="N80" s="5" t="inlineStr">
        <x:is>
          <x:t xml:space="preserve">1561.11c1 Organizational.4</x:t>
        </x:is>
      </x:c>
      <x:c r="O80" s="5" t="n">
        <x:v>2</x:v>
      </x:c>
      <x:c r="P80" s="5" t="n"/>
      <x:c r="Q80" s="5" t="inlineStr">
        <x:is>
          <x:t xml:space="preserve">All Incidents Identified During the Review Period [INSERT EXAM PERIOD]</x:t>
        </x:is>
      </x:c>
      <x:c r="R80" s="5" t="inlineStr">
        <x:is>
          <x:t xml:space="preserve">Population</x:t>
        </x:is>
      </x:c>
      <x:c r="S80" s="5" t="n"/>
      <x:c r="T80" s="5" t="inlineStr">
        <x:is>
          <x:t xml:space="preserve">HITRUST e1.csv</x:t>
        </x:is>
      </x:c>
      <x:c r="U80" s="5" t="inlineStr">
        <x:is>
          <x:t xml:space="preserve">45 C.F.R. § 164.308(a)(6)(ii)</x:t>
        </x:is>
      </x:c>
      <x:c r="V80" s="5" t="inlineStr">
        <x:is>
          <x:t xml:space="preserve">Security Incident Procedures — Response and Reporting</x:t>
        </x:is>
      </x:c>
      <x:c r="W80" s="5" t="inlineStr">
        <x:is>
          <x:t xml:space="preserve">Identify and respond to suspected or known security incidents, mitigate harmful effects to the extent practicable, and document incidents and outcomes.</x:t>
        </x:is>
      </x:c>
      <x:c r="X80" s="5" t="inlineStr">
        <x:is>
          <x:t xml:space="preserve">Required implementation specification</x:t>
        </x:is>
      </x:c>
      <x:c r="Y80" s="5" t="inlineStr">
        <x:is>
          <x:t xml:space="preserve">Administrative Safeguards</x:t>
        </x:is>
      </x:c>
      <x:c r="Z80" s="28" t="inlineStr">
        <x:is>
          <x:t xml:space="preserve">https://www.ecfr.gov/current/title-45/subtitle-A/subchapter-C/part-164/section-164.308</x:t>
        </x:is>
      </x:c>
      <x:c r="AA80" s="28" t="inlineStr">
        <x:is>
          <x:t xml:space="preserve">https://www.hhs.gov/hipaa/for-professionals/faq/2002/what-does-the-security-rule-require-a-covered-entity-to-do-to-comply/index.html</x:t>
        </x:is>
      </x:c>
      <x:c r="AB80" s="5" t="inlineStr">
        <x:is>
          <x:t xml:space="preserve">45 C.F.R. § 164.316(b)(1)</x:t>
        </x:is>
      </x:c>
      <x:c r="AC80" s="5" t="inlineStr">
        <x:is>
          <x:t xml:space="preserve">Documentation</x:t>
        </x:is>
      </x:c>
      <x:c r="AD80" s="5" t="inlineStr">
        <x:is>
          <x:t xml:space="preserve">Maintain written or electronic policies and procedures implemented to comply with the Security Rule and written or electronic records of required actions, activities, and assessments.</x:t>
        </x:is>
      </x:c>
      <x:c r="AE80" s="5" t="inlineStr">
        <x:is>
          <x:t xml:space="preserve">Standard</x:t>
        </x:is>
      </x:c>
      <x:c r="AF80" s="5" t="inlineStr">
        <x:is>
          <x:t xml:space="preserve">Policies / Documentation</x:t>
        </x:is>
      </x:c>
      <x:c r="AG80" s="28" t="inlineStr">
        <x:is>
          <x:t xml:space="preserve">https://www.ecfr.gov/current/title-45/subtitle-A/subchapter-C/part-164/section-164.316</x:t>
        </x:is>
      </x:c>
      <x:c r="AH80" s="28" t="inlineStr">
        <x:is>
          <x:t xml:space="preserve">https://www.hhs.gov/sites/default/files/ocr/privacy/hipaa/administrative/securityrule/pprequirements.pdf</x:t>
        </x:is>
      </x:c>
      <x:c r="AI80" s="5" t="n"/>
      <x:c r="AJ80" s="5" t="n"/>
      <x:c r="AK80" s="5" t="n"/>
      <x:c r="AL80" s="5" t="n"/>
      <x:c r="AM80" s="5" t="n"/>
      <x:c r="AN80" s="5" t="n"/>
      <x:c r="AO80" s="5" t="n"/>
      <x:c r="AP80" s="5" t="n"/>
      <x:c r="AQ80" s="5" t="n"/>
    </x:row>
    <x:row r="81" ht="30" customHeight="1">
      <x:c r="A81" s="5" t="inlineStr">
        <x:is>
          <x:t xml:space="preserve">REQ-53-HIPAA</x:t>
        </x:is>
      </x:c>
      <x:c r="B81" s="5" t="inlineStr">
        <x:is>
          <x:t xml:space="preserve">06.09b1System.2</x:t>
        </x:is>
      </x:c>
      <x:c r="C81" s="5" t="n">
        <x:v>1</x:v>
      </x:c>
      <x:c r="D81" s="5" t="inlineStr">
        <x:is>
          <x:t xml:space="preserve">Change Management</x:t>
        </x:is>
      </x:c>
      <x:c r="E81" s="5" t="inlineStr">
        <x:is>
          <x:t xml:space="preserve">Policy</x:t>
        </x:is>
      </x:c>
      <x:c r="F81" s="5" t="inlineStr">
        <x:is>
          <x:t xml:space="preserve">HITRUST e1.csv</x:t>
        </x:is>
      </x:c>
      <x:c r="G81" s="5" t="inlineStr">
        <x:is>
          <x:t xml:space="preserve">1:Many</x:t>
        </x:is>
      </x:c>
      <x:c r="H81" s="5" t="inlineStr">
        <x:is>
          <x:t xml:space="preserve">45 CFR § 164.308(a)(8) | 45 CFR § 164.306(e) | 45 CFR § 164.316(b)(2)(iii)</x:t>
        </x:is>
      </x:c>
      <x:c r="I81" s="5" t="inlineStr">
        <x:is>
          <x:t xml:space="preserve">Evaluation | Maintenance | Documentation — Updates</x:t>
        </x:is>
      </x:c>
      <x:c r="J81" s="5" t="inlineStr">
        <x:is>
          <x:t xml:space="preserve">Best-fit composite</x:t>
        </x:is>
      </x:c>
      <x:c r="K81" s="5" t="inlineStr">
        <x:is>
          <x:t xml:space="preserve">HIPAA does not expressly name change management, but OCR guidance links environmental/operational changes to ongoing evaluation, maintenance, and updating of security documentation.</x:t>
        </x:is>
      </x:c>
      <x:c r="L81" s="28"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M81" s="5" t="inlineStr">
        <x:is>
          <x:t xml:space="preserve">Used for the change-management policy row as the closest HIPAA analogue.</x:t>
        </x:is>
      </x:c>
      <x:c r="N81" s="5" t="inlineStr">
        <x:is>
          <x:t xml:space="preserve">06.09b1 System.2</x:t>
        </x:is>
      </x:c>
      <x:c r="O81" s="5" t="n">
        <x:v>3</x:v>
      </x:c>
      <x:c r="P81" s="5" t="n"/>
      <x:c r="Q81" s="5" t="inlineStr">
        <x:is>
          <x:t xml:space="preserve">Change Management</x:t>
        </x:is>
      </x:c>
      <x:c r="R81" s="5" t="inlineStr">
        <x:is>
          <x:t xml:space="preserve">Policy</x:t>
        </x:is>
      </x:c>
      <x:c r="S81" s="5" t="n"/>
      <x:c r="T81" s="5" t="inlineStr">
        <x:is>
          <x:t xml:space="preserve">HITRUST e1.csv</x:t>
        </x:is>
      </x:c>
      <x:c r="U81" s="5" t="inlineStr">
        <x:is>
          <x:t xml:space="preserve">45 C.F.R. § 164.308(a)(8)</x:t>
        </x:is>
      </x:c>
      <x:c r="V81" s="5" t="inlineStr">
        <x:is>
          <x:t xml:space="preserve">Evaluation</x:t>
        </x:is>
      </x:c>
      <x:c r="W81" s="5" t="inlineStr">
        <x:is>
          <x:t xml:space="preserve">Perform periodic technical and nontechnical evaluations, and repeat them in response to environmental or operational changes affecting the security of ePHI.</x:t>
        </x:is>
      </x:c>
      <x:c r="X81" s="5" t="inlineStr">
        <x:is>
          <x:t xml:space="preserve">Required standard</x:t>
        </x:is>
      </x:c>
      <x:c r="Y81" s="5" t="inlineStr">
        <x:is>
          <x:t xml:space="preserve">Administrative Safeguards</x:t>
        </x:is>
      </x:c>
      <x:c r="Z81" s="28" t="inlineStr">
        <x:is>
          <x:t xml:space="preserve">https://www.ecfr.gov/current/title-45/subtitle-A/subchapter-C/part-164/section-164.308</x:t>
        </x:is>
      </x:c>
      <x:c r="AA81" s="28" t="inlineStr">
        <x:is>
          <x:t xml:space="preserve">https://www.hhs.gov/ocr/privacy/hipaa/administrative/securityrule/index.html</x:t>
        </x:is>
      </x:c>
      <x:c r="AB81" s="5" t="inlineStr">
        <x:is>
          <x:t xml:space="preserve">45 C.F.R. § 164.306(e)</x:t>
        </x:is>
      </x:c>
      <x:c r="AC81" s="5" t="inlineStr">
        <x:is>
          <x:t xml:space="preserve">Maintenance</x:t>
        </x:is>
      </x:c>
      <x:c r="AD81" s="5" t="inlineStr">
        <x:is>
          <x:t xml:space="preserve">Review and modify security measures as needed to continue providing reasonable and appropriate protection of ePHI, and update related documentation.</x:t>
        </x:is>
      </x:c>
      <x:c r="AE81" s="5" t="inlineStr">
        <x:is>
          <x:t xml:space="preserve">Standard maintenance requirement</x:t>
        </x:is>
      </x:c>
      <x:c r="AF81" s="5" t="inlineStr">
        <x:is>
          <x:t xml:space="preserve">General Rules</x:t>
        </x:is>
      </x:c>
      <x:c r="AG81" s="28" t="inlineStr">
        <x:is>
          <x:t xml:space="preserve">https://www.ecfr.gov/current/title-45/subtitle-A/subchapter-C/part-164/section-164.306</x:t>
        </x:is>
      </x:c>
      <x:c r="AH81" s="28" t="inlineStr">
        <x:is>
          <x:t xml:space="preserve">https://www.hhs.gov/sites/default/files/ocr/privacy/hipaa/administrative/combined/hipaa-simplification-201303.pdf</x:t>
        </x:is>
      </x:c>
      <x:c r="AI81" s="5" t="inlineStr">
        <x:is>
          <x:t xml:space="preserve">45 C.F.R. § 164.316(b)(2)(iii)</x:t>
        </x:is>
      </x:c>
      <x:c r="AJ81" s="5" t="inlineStr">
        <x:is>
          <x:t xml:space="preserve">Documentation — Updates</x:t>
        </x:is>
      </x:c>
      <x:c r="AK81" s="5" t="inlineStr">
        <x:is>
          <x:t xml:space="preserve">Review documentation periodically and update it as needed in response to environmental or operational changes affecting the security of ePHI.</x:t>
        </x:is>
      </x:c>
      <x:c r="AL81" s="5" t="inlineStr">
        <x:is>
          <x:t xml:space="preserve">Required implementation specification</x:t>
        </x:is>
      </x:c>
      <x:c r="AM81" s="5" t="inlineStr">
        <x:is>
          <x:t xml:space="preserve">Policies / Documentation</x:t>
        </x:is>
      </x:c>
      <x:c r="AN81" s="28" t="inlineStr">
        <x:is>
          <x:t xml:space="preserve">https://www.ecfr.gov/current/title-45/subtitle-A/subchapter-C/part-164/section-164.316</x:t>
        </x:is>
      </x:c>
      <x:c r="AO81" s="28" t="inlineStr">
        <x:is>
          <x:t xml:space="preserve">https://www.hhs.gov/sites/default/files/ocr/privacy/hipaa/administrative/combined/hipaa-simplification-201303.pdf</x:t>
        </x:is>
      </x:c>
      <x:c r="AP81" s="5" t="n"/>
      <x:c r="AQ81" s="5" t="n"/>
    </x:row>
    <x:row r="82" ht="30" customHeight="1">
      <x:c r="A82" s="5" t="inlineStr">
        <x:is>
          <x:t xml:space="preserve">REQ-53-HIPAA</x:t>
        </x:is>
      </x:c>
      <x:c r="B82" s="5" t="inlineStr">
        <x:is>
          <x:t xml:space="preserve">1769.09i1System.12</x:t>
        </x:is>
      </x:c>
      <x:c r="C82" s="5" t="n">
        <x:v>1</x:v>
      </x:c>
      <x:c r="D82" s="5" t="inlineStr">
        <x:is>
          <x:t xml:space="preserve">Change Management</x:t>
        </x:is>
      </x:c>
      <x:c r="E82" s="5" t="inlineStr">
        <x:is>
          <x:t xml:space="preserve">Policy</x:t>
        </x:is>
      </x:c>
      <x:c r="F82" s="5" t="inlineStr">
        <x:is>
          <x:t xml:space="preserve">HITRUST e1.csv</x:t>
        </x:is>
      </x:c>
      <x:c r="G82" s="5" t="inlineStr">
        <x:is>
          <x:t xml:space="preserve">1:Many</x:t>
        </x:is>
      </x:c>
      <x:c r="H82" s="5" t="inlineStr">
        <x:is>
          <x:t xml:space="preserve">45 CFR § 164.308(a)(8) | 45 CFR § 164.306(e) | 45 CFR § 164.316(b)(2)(iii)</x:t>
        </x:is>
      </x:c>
      <x:c r="I82" s="5" t="inlineStr">
        <x:is>
          <x:t xml:space="preserve">Evaluation | Maintenance | Documentation — Updates</x:t>
        </x:is>
      </x:c>
      <x:c r="J82" s="5" t="inlineStr">
        <x:is>
          <x:t xml:space="preserve">Best-fit composite</x:t>
        </x:is>
      </x:c>
      <x:c r="K82" s="5" t="inlineStr">
        <x:is>
          <x:t xml:space="preserve">HIPAA does not expressly name change management, but OCR guidance links environmental/operational changes to ongoing evaluation, maintenance, and updating of security documentation.</x:t>
        </x:is>
      </x:c>
      <x:c r="L82" s="28" t="inlineStr">
        <x:is>
          <x:t xml:space="preserve">https://www.ecfr.gov/current/title-45/subtitle-A/subchapter-C/part-164/section-164.308 | https://www.ecfr.gov/current/title-45/subtitle-A/subchapter-C/part-164/section-164.306 | https://www.ecfr.gov/current/title-45/subtitle-A/subchapter-C/part-164/section-164.316 | https://www.hhs.gov/hipaa/for-professionals/security/guidance/cybersecurity-newsletter-january-2026/index.html | https://www.hhs.gov/hipaa/for-professionals/security/guidance/guidance-risk-analysis/index.html</x:t>
        </x:is>
      </x:c>
      <x:c r="M82" s="5" t="inlineStr">
        <x:is>
          <x:t xml:space="preserve">Used for the change-management policy row as the closest HIPAA analogue.</x:t>
        </x:is>
      </x:c>
      <x:c r="N82" s="5" t="inlineStr">
        <x:is>
          <x:t xml:space="preserve">1769.09i1 System.12</x:t>
        </x:is>
      </x:c>
      <x:c r="O82" s="5" t="n">
        <x:v>3</x:v>
      </x:c>
      <x:c r="P82" s="5" t="n"/>
      <x:c r="Q82" s="5" t="inlineStr">
        <x:is>
          <x:t xml:space="preserve">Change Management</x:t>
        </x:is>
      </x:c>
      <x:c r="R82" s="5" t="inlineStr">
        <x:is>
          <x:t xml:space="preserve">Policy</x:t>
        </x:is>
      </x:c>
      <x:c r="S82" s="5" t="n"/>
      <x:c r="T82" s="5" t="inlineStr">
        <x:is>
          <x:t xml:space="preserve">HITRUST e1.csv</x:t>
        </x:is>
      </x:c>
      <x:c r="U82" s="5" t="inlineStr">
        <x:is>
          <x:t xml:space="preserve">45 C.F.R. § 164.308(a)(8)</x:t>
        </x:is>
      </x:c>
      <x:c r="V82" s="5" t="inlineStr">
        <x:is>
          <x:t xml:space="preserve">Evaluation</x:t>
        </x:is>
      </x:c>
      <x:c r="W82" s="5" t="inlineStr">
        <x:is>
          <x:t xml:space="preserve">Perform periodic technical and nontechnical evaluations, and repeat them in response to environmental or operational changes affecting the security of ePHI.</x:t>
        </x:is>
      </x:c>
      <x:c r="X82" s="5" t="inlineStr">
        <x:is>
          <x:t xml:space="preserve">Required standard</x:t>
        </x:is>
      </x:c>
      <x:c r="Y82" s="5" t="inlineStr">
        <x:is>
          <x:t xml:space="preserve">Administrative Safeguards</x:t>
        </x:is>
      </x:c>
      <x:c r="Z82" s="28" t="inlineStr">
        <x:is>
          <x:t xml:space="preserve">https://www.ecfr.gov/current/title-45/subtitle-A/subchapter-C/part-164/section-164.308</x:t>
        </x:is>
      </x:c>
      <x:c r="AA82" s="28" t="inlineStr">
        <x:is>
          <x:t xml:space="preserve">https://www.hhs.gov/ocr/privacy/hipaa/administrative/securityrule/index.html</x:t>
        </x:is>
      </x:c>
      <x:c r="AB82" s="5" t="inlineStr">
        <x:is>
          <x:t xml:space="preserve">45 C.F.R. § 164.306(e)</x:t>
        </x:is>
      </x:c>
      <x:c r="AC82" s="5" t="inlineStr">
        <x:is>
          <x:t xml:space="preserve">Maintenance</x:t>
        </x:is>
      </x:c>
      <x:c r="AD82" s="5" t="inlineStr">
        <x:is>
          <x:t xml:space="preserve">Review and modify security measures as needed to continue providing reasonable and appropriate protection of ePHI, and update related documentation.</x:t>
        </x:is>
      </x:c>
      <x:c r="AE82" s="5" t="inlineStr">
        <x:is>
          <x:t xml:space="preserve">Standard maintenance requirement</x:t>
        </x:is>
      </x:c>
      <x:c r="AF82" s="5" t="inlineStr">
        <x:is>
          <x:t xml:space="preserve">General Rules</x:t>
        </x:is>
      </x:c>
      <x:c r="AG82" s="28" t="inlineStr">
        <x:is>
          <x:t xml:space="preserve">https://www.ecfr.gov/current/title-45/subtitle-A/subchapter-C/part-164/section-164.306</x:t>
        </x:is>
      </x:c>
      <x:c r="AH82" s="28" t="inlineStr">
        <x:is>
          <x:t xml:space="preserve">https://www.hhs.gov/sites/default/files/ocr/privacy/hipaa/administrative/combined/hipaa-simplification-201303.pdf</x:t>
        </x:is>
      </x:c>
      <x:c r="AI82" s="5" t="inlineStr">
        <x:is>
          <x:t xml:space="preserve">45 C.F.R. § 164.316(b)(2)(iii)</x:t>
        </x:is>
      </x:c>
      <x:c r="AJ82" s="5" t="inlineStr">
        <x:is>
          <x:t xml:space="preserve">Documentation — Updates</x:t>
        </x:is>
      </x:c>
      <x:c r="AK82" s="5" t="inlineStr">
        <x:is>
          <x:t xml:space="preserve">Review documentation periodically and update it as needed in response to environmental or operational changes affecting the security of ePHI.</x:t>
        </x:is>
      </x:c>
      <x:c r="AL82" s="5" t="inlineStr">
        <x:is>
          <x:t xml:space="preserve">Required implementation specification</x:t>
        </x:is>
      </x:c>
      <x:c r="AM82" s="5" t="inlineStr">
        <x:is>
          <x:t xml:space="preserve">Policies / Documentation</x:t>
        </x:is>
      </x:c>
      <x:c r="AN82" s="28" t="inlineStr">
        <x:is>
          <x:t xml:space="preserve">https://www.ecfr.gov/current/title-45/subtitle-A/subchapter-C/part-164/section-164.316</x:t>
        </x:is>
      </x:c>
      <x:c r="AO82" s="28" t="inlineStr">
        <x:is>
          <x:t xml:space="preserve">https://www.hhs.gov/sites/default/files/ocr/privacy/hipaa/administrative/combined/hipaa-simplification-201303.pdf</x:t>
        </x:is>
      </x:c>
      <x:c r="AP82" s="5" t="n"/>
      <x:c r="AQ82" s="5" t="n"/>
    </x:row>
    <x:row r="83" ht="30" customHeight="1">
      <x:c r="A83" s="5" t="inlineStr">
        <x:is>
          <x:t xml:space="preserve">REQ-55-HIPAA</x:t>
        </x:is>
      </x:c>
      <x:c r="B83" s="5" t="inlineStr">
        <x:is>
          <x:t xml:space="preserve">1704.03b1Organizational.12</x:t>
        </x:is>
      </x:c>
      <x:c r="C83" s="5" t="n">
        <x:v>1</x:v>
      </x:c>
      <x:c r="D83" s="5" t="inlineStr">
        <x:is>
          <x:t xml:space="preserve">All Software and Infrastructure Production Changes During the Review Period [INSERT EXAM PERIOD]</x:t>
        </x:is>
      </x:c>
      <x:c r="E83" s="5" t="inlineStr">
        <x:is>
          <x:t xml:space="preserve">Population</x:t>
        </x:is>
      </x:c>
      <x:c r="F83" s="5" t="inlineStr">
        <x:is>
          <x:t xml:space="preserve">HITRUST e1.csv</x:t>
        </x:is>
      </x:c>
      <x:c r="G83" s="5" t="inlineStr">
        <x:is>
          <x:t xml:space="preserve">Many:Many</x:t>
        </x:is>
      </x:c>
      <x:c r="H83" s="5" t="inlineStr">
        <x:is>
          <x:t xml:space="preserve">45 CFR § 164.308(a)(8) | 45 CFR § 164.316(b)(1)</x:t>
        </x:is>
      </x:c>
      <x:c r="I83" s="5" t="inlineStr">
        <x:is>
          <x:t xml:space="preserve">Evaluation | Documentation</x:t>
        </x:is>
      </x:c>
      <x:c r="J83" s="5" t="inlineStr">
        <x:is>
          <x:t xml:space="preserve">Best-fit composite</x:t>
        </x:is>
      </x:c>
      <x:c r="K83" s="5" t="inlineStr">
        <x:is>
          <x:t xml:space="preserve">Production-change tickets/population evidence are not a named HIPAA specification, but they are strong evidence of evaluating and documenting operational changes affecting ePHI safeguards.</x:t>
        </x:is>
      </x:c>
      <x:c r="L83"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83" s="5" t="inlineStr">
        <x:is>
          <x:t xml:space="preserve">Best-fit evidence mapping; HIPAA does not mandate a particular ticketing mechanism.</x:t>
        </x:is>
      </x:c>
      <x:c r="N83" s="5" t="inlineStr">
        <x:is>
          <x:t xml:space="preserve">1704.03b1 Organizational.12</x:t>
        </x:is>
      </x:c>
      <x:c r="O83" s="5" t="n">
        <x:v>2</x:v>
      </x:c>
      <x:c r="P83" s="5" t="n"/>
      <x:c r="Q83" s="5" t="inlineStr">
        <x:is>
          <x:t xml:space="preserve">All Software and Infrastructure Production Changes During the Review Period [INSERT EXAM PERIOD]</x:t>
        </x:is>
      </x:c>
      <x:c r="R83" s="5" t="inlineStr">
        <x:is>
          <x:t xml:space="preserve">Population</x:t>
        </x:is>
      </x:c>
      <x:c r="S83" s="5" t="n"/>
      <x:c r="T83" s="5" t="inlineStr">
        <x:is>
          <x:t xml:space="preserve">HITRUST e1.csv</x:t>
        </x:is>
      </x:c>
      <x:c r="U83" s="5" t="inlineStr">
        <x:is>
          <x:t xml:space="preserve">45 C.F.R. § 164.308(a)(8)</x:t>
        </x:is>
      </x:c>
      <x:c r="V83" s="5" t="inlineStr">
        <x:is>
          <x:t xml:space="preserve">Evaluation</x:t>
        </x:is>
      </x:c>
      <x:c r="W83" s="5" t="inlineStr">
        <x:is>
          <x:t xml:space="preserve">Perform periodic technical and nontechnical evaluations, and repeat them in response to environmental or operational changes affecting the security of ePHI.</x:t>
        </x:is>
      </x:c>
      <x:c r="X83" s="5" t="inlineStr">
        <x:is>
          <x:t xml:space="preserve">Required standard</x:t>
        </x:is>
      </x:c>
      <x:c r="Y83" s="5" t="inlineStr">
        <x:is>
          <x:t xml:space="preserve">Administrative Safeguards</x:t>
        </x:is>
      </x:c>
      <x:c r="Z83" s="28" t="inlineStr">
        <x:is>
          <x:t xml:space="preserve">https://www.ecfr.gov/current/title-45/subtitle-A/subchapter-C/part-164/section-164.308</x:t>
        </x:is>
      </x:c>
      <x:c r="AA83" s="28" t="inlineStr">
        <x:is>
          <x:t xml:space="preserve">https://www.hhs.gov/ocr/privacy/hipaa/administrative/securityrule/index.html</x:t>
        </x:is>
      </x:c>
      <x:c r="AB83" s="5" t="inlineStr">
        <x:is>
          <x:t xml:space="preserve">45 C.F.R. § 164.316(b)(1)</x:t>
        </x:is>
      </x:c>
      <x:c r="AC83" s="5" t="inlineStr">
        <x:is>
          <x:t xml:space="preserve">Documentation</x:t>
        </x:is>
      </x:c>
      <x:c r="AD83" s="5" t="inlineStr">
        <x:is>
          <x:t xml:space="preserve">Maintain written or electronic policies and procedures implemented to comply with the Security Rule and written or electronic records of required actions, activities, and assessments.</x:t>
        </x:is>
      </x:c>
      <x:c r="AE83" s="5" t="inlineStr">
        <x:is>
          <x:t xml:space="preserve">Standard</x:t>
        </x:is>
      </x:c>
      <x:c r="AF83" s="5" t="inlineStr">
        <x:is>
          <x:t xml:space="preserve">Policies / Documentation</x:t>
        </x:is>
      </x:c>
      <x:c r="AG83" s="28" t="inlineStr">
        <x:is>
          <x:t xml:space="preserve">https://www.ecfr.gov/current/title-45/subtitle-A/subchapter-C/part-164/section-164.316</x:t>
        </x:is>
      </x:c>
      <x:c r="AH83" s="28" t="inlineStr">
        <x:is>
          <x:t xml:space="preserve">https://www.hhs.gov/sites/default/files/ocr/privacy/hipaa/administrative/securityrule/pprequirements.pdf</x:t>
        </x:is>
      </x:c>
      <x:c r="AI83" s="5" t="n"/>
      <x:c r="AJ83" s="5" t="n"/>
      <x:c r="AK83" s="5" t="n"/>
      <x:c r="AL83" s="5" t="n"/>
      <x:c r="AM83" s="5" t="n"/>
      <x:c r="AN83" s="5" t="n"/>
      <x:c r="AO83" s="5" t="n"/>
      <x:c r="AP83" s="5" t="n"/>
      <x:c r="AQ83" s="5" t="n"/>
    </x:row>
    <x:row r="84" ht="30" customHeight="1">
      <x:c r="A84" s="5" t="inlineStr">
        <x:is>
          <x:t xml:space="preserve">REQ-60-HIPAA</x:t>
        </x:is>
      </x:c>
      <x:c r="B84" s="5" t="inlineStr">
        <x:is>
          <x:t xml:space="preserve">1616.09l1Organizational.16</x:t>
        </x:is>
      </x:c>
      <x:c r="C84" s="5" t="n">
        <x:v>1</x:v>
      </x:c>
      <x:c r="D84" s="5" t="inlineStr">
        <x:is>
          <x:t xml:space="preserve">Backups</x:t>
        </x:is>
      </x:c>
      <x:c r="E84" s="5" t="inlineStr">
        <x:is>
          <x:t xml:space="preserve">Policy</x:t>
        </x:is>
      </x:c>
      <x:c r="F84" s="5" t="inlineStr">
        <x:is>
          <x:t xml:space="preserve">HITRUST e1.csv</x:t>
        </x:is>
      </x:c>
      <x:c r="G84" s="5" t="inlineStr">
        <x:is>
          <x:t xml:space="preserve">Many:1</x:t>
        </x:is>
      </x:c>
      <x:c r="H84" s="5" t="inlineStr">
        <x:is>
          <x:t xml:space="preserve">45 CFR § 164.308(a)(7)(ii)(A)</x:t>
        </x:is>
      </x:c>
      <x:c r="I84" s="5" t="inlineStr">
        <x:is>
          <x:t xml:space="preserve">Contingency Plan — Data Backup Plan</x:t>
        </x:is>
      </x:c>
      <x:c r="J84" s="5" t="inlineStr">
        <x:is>
          <x:t xml:space="preserve">Direct</x:t>
        </x:is>
      </x:c>
      <x:c r="K84" s="5" t="inlineStr">
        <x:is>
          <x:t xml:space="preserve">Backup policy aligns directly to creation and maintenance of retrievable exact copies of ePHI.</x:t>
        </x:is>
      </x:c>
      <x:c r="L84"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84" s="5" t="inlineStr">
        <x:is>
          <x:t xml:space="preserve">Used for backup-policy rows.</x:t>
        </x:is>
      </x:c>
      <x:c r="N84" s="5" t="inlineStr">
        <x:is>
          <x:t xml:space="preserve">1616.09l1 Organizational.16</x:t>
        </x:is>
      </x:c>
      <x:c r="O84" s="5" t="n">
        <x:v>1</x:v>
      </x:c>
      <x:c r="P84" s="5" t="n"/>
      <x:c r="Q84" s="5" t="inlineStr">
        <x:is>
          <x:t xml:space="preserve">Backups</x:t>
        </x:is>
      </x:c>
      <x:c r="R84" s="5" t="inlineStr">
        <x:is>
          <x:t xml:space="preserve">Policy</x:t>
        </x:is>
      </x:c>
      <x:c r="S84" s="5" t="n"/>
      <x:c r="T84" s="5" t="inlineStr">
        <x:is>
          <x:t xml:space="preserve">HITRUST e1.csv</x:t>
        </x:is>
      </x:c>
      <x:c r="U84" s="5" t="inlineStr">
        <x:is>
          <x:t xml:space="preserve">45 C.F.R. § 164.308(a)(7)(ii)(A)</x:t>
        </x:is>
      </x:c>
      <x:c r="V84" s="5" t="inlineStr">
        <x:is>
          <x:t xml:space="preserve">Contingency Plan — Data Backup Plan</x:t>
        </x:is>
      </x:c>
      <x:c r="W84" s="5" t="inlineStr">
        <x:is>
          <x:t xml:space="preserve">Establish and implement procedures to create and maintain retrievable exact copies of ePHI.</x:t>
        </x:is>
      </x:c>
      <x:c r="X84" s="5" t="inlineStr">
        <x:is>
          <x:t xml:space="preserve">Required implementation specification</x:t>
        </x:is>
      </x:c>
      <x:c r="Y84" s="5" t="inlineStr">
        <x:is>
          <x:t xml:space="preserve">Administrative Safeguards</x:t>
        </x:is>
      </x:c>
      <x:c r="Z84" s="28" t="inlineStr">
        <x:is>
          <x:t xml:space="preserve">https://www.ecfr.gov/current/title-45/subtitle-A/subchapter-C/part-164/section-164.308</x:t>
        </x:is>
      </x:c>
      <x:c r="AA84" s="28" t="inlineStr">
        <x:is>
          <x:t xml:space="preserve">https://www.hhs.gov/hipaa/for-professionals/security/guidance/cybersecurity/ransomware-fact-sheet/index.html</x:t>
        </x:is>
      </x:c>
      <x:c r="AB84" s="5" t="n"/>
      <x:c r="AC84" s="5" t="n"/>
      <x:c r="AD84" s="5" t="n"/>
      <x:c r="AE84" s="5" t="n"/>
      <x:c r="AF84" s="5" t="n"/>
      <x:c r="AG84" s="5" t="n"/>
      <x:c r="AH84" s="5" t="n"/>
      <x:c r="AI84" s="5" t="n"/>
      <x:c r="AJ84" s="5" t="n"/>
      <x:c r="AK84" s="5" t="n"/>
      <x:c r="AL84" s="5" t="n"/>
      <x:c r="AM84" s="5" t="n"/>
      <x:c r="AN84" s="5" t="n"/>
      <x:c r="AO84" s="5" t="n"/>
      <x:c r="AP84" s="5" t="n"/>
      <x:c r="AQ84" s="5" t="n"/>
    </x:row>
    <x:row r="85" ht="30" customHeight="1">
      <x:c r="A85" s="5" t="inlineStr">
        <x:is>
          <x:t xml:space="preserve">REQ-62-HIPAA</x:t>
        </x:is>
      </x:c>
      <x:c r="B85" s="5" t="inlineStr">
        <x:is>
          <x:t xml:space="preserve">16.09l1Organizational.4</x:t>
        </x:is>
      </x:c>
      <x:c r="C85" s="5" t="n">
        <x:v>1</x:v>
      </x:c>
      <x:c r="D85" s="5" t="inlineStr">
        <x:is>
          <x:t xml:space="preserve">Backups and Schedules</x:t>
        </x:is>
      </x:c>
      <x:c r="E85" s="5" t="inlineStr">
        <x:is>
          <x:t xml:space="preserve">Configuration</x:t>
        </x:is>
      </x:c>
      <x:c r="F85" s="5" t="inlineStr">
        <x:is>
          <x:t xml:space="preserve">HITRUST e1.csv</x:t>
        </x:is>
      </x:c>
      <x:c r="G85" s="5" t="inlineStr">
        <x:is>
          <x:t xml:space="preserve">Many:Many</x:t>
        </x:is>
      </x:c>
      <x:c r="H85" s="5" t="inlineStr">
        <x:is>
          <x:t xml:space="preserve">45 CFR § 164.308(a)(7)(ii)(A)</x:t>
        </x:is>
      </x:c>
      <x:c r="I85" s="5" t="inlineStr">
        <x:is>
          <x:t xml:space="preserve">Contingency Plan — Data Backup Plan</x:t>
        </x:is>
      </x:c>
      <x:c r="J85" s="5" t="inlineStr">
        <x:is>
          <x:t xml:space="preserve">Direct</x:t>
        </x:is>
      </x:c>
      <x:c r="K85" s="5" t="inlineStr">
        <x:is>
          <x:t xml:space="preserve">Backup schedules most directly align to maintaining retrievable exact copies of ePHI.</x:t>
        </x:is>
      </x:c>
      <x:c r="L85"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85" s="5" t="inlineStr">
        <x:is>
          <x:t xml:space="preserve">Used for backup schedule evidence.</x:t>
        </x:is>
      </x:c>
      <x:c r="N85" s="5" t="inlineStr">
        <x:is>
          <x:t xml:space="preserve">16.09l1 Organizational.4</x:t>
        </x:is>
      </x:c>
      <x:c r="O85" s="5" t="n">
        <x:v>1</x:v>
      </x:c>
      <x:c r="P85" s="5" t="n"/>
      <x:c r="Q85" s="5" t="inlineStr">
        <x:is>
          <x:t xml:space="preserve">Backups and Schedules</x:t>
        </x:is>
      </x:c>
      <x:c r="R85" s="5" t="inlineStr">
        <x:is>
          <x:t xml:space="preserve">Configuration</x:t>
        </x:is>
      </x:c>
      <x:c r="S85" s="5" t="n"/>
      <x:c r="T85" s="5" t="inlineStr">
        <x:is>
          <x:t xml:space="preserve">HITRUST e1.csv</x:t>
        </x:is>
      </x:c>
      <x:c r="U85" s="5" t="inlineStr">
        <x:is>
          <x:t xml:space="preserve">45 C.F.R. § 164.308(a)(7)(ii)(A)</x:t>
        </x:is>
      </x:c>
      <x:c r="V85" s="5" t="inlineStr">
        <x:is>
          <x:t xml:space="preserve">Contingency Plan — Data Backup Plan</x:t>
        </x:is>
      </x:c>
      <x:c r="W85" s="5" t="inlineStr">
        <x:is>
          <x:t xml:space="preserve">Establish and implement procedures to create and maintain retrievable exact copies of ePHI.</x:t>
        </x:is>
      </x:c>
      <x:c r="X85" s="5" t="inlineStr">
        <x:is>
          <x:t xml:space="preserve">Required implementation specification</x:t>
        </x:is>
      </x:c>
      <x:c r="Y85" s="5" t="inlineStr">
        <x:is>
          <x:t xml:space="preserve">Administrative Safeguards</x:t>
        </x:is>
      </x:c>
      <x:c r="Z85" s="28" t="inlineStr">
        <x:is>
          <x:t xml:space="preserve">https://www.ecfr.gov/current/title-45/subtitle-A/subchapter-C/part-164/section-164.308</x:t>
        </x:is>
      </x:c>
      <x:c r="AA85" s="28" t="inlineStr">
        <x:is>
          <x:t xml:space="preserve">https://www.hhs.gov/hipaa/for-professionals/security/guidance/cybersecurity/ransomware-fact-sheet/index.html</x:t>
        </x:is>
      </x:c>
      <x:c r="AB85" s="5" t="n"/>
      <x:c r="AC85" s="5" t="n"/>
      <x:c r="AD85" s="5" t="n"/>
      <x:c r="AE85" s="5" t="n"/>
      <x:c r="AF85" s="5" t="n"/>
      <x:c r="AG85" s="5" t="n"/>
      <x:c r="AH85" s="5" t="n"/>
      <x:c r="AI85" s="5" t="n"/>
      <x:c r="AJ85" s="5" t="n"/>
      <x:c r="AK85" s="5" t="n"/>
      <x:c r="AL85" s="5" t="n"/>
      <x:c r="AM85" s="5" t="n"/>
      <x:c r="AN85" s="5" t="n"/>
      <x:c r="AO85" s="5" t="n"/>
      <x:c r="AP85" s="5" t="n"/>
      <x:c r="AQ85" s="5" t="n"/>
    </x:row>
    <x:row r="86" ht="30" customHeight="1">
      <x:c r="A86" s="5" t="inlineStr">
        <x:is>
          <x:t xml:space="preserve">REQ-62-HIPAA</x:t>
        </x:is>
      </x:c>
      <x:c r="B86" s="5" t="inlineStr">
        <x:is>
          <x:t xml:space="preserve">1616.09l1Organizational.16</x:t>
        </x:is>
      </x:c>
      <x:c r="C86" s="5" t="n">
        <x:v>1</x:v>
      </x:c>
      <x:c r="D86" s="5" t="inlineStr">
        <x:is>
          <x:t xml:space="preserve">Backups and Schedules</x:t>
        </x:is>
      </x:c>
      <x:c r="E86" s="5" t="inlineStr">
        <x:is>
          <x:t xml:space="preserve">Configuration</x:t>
        </x:is>
      </x:c>
      <x:c r="F86" s="5" t="inlineStr">
        <x:is>
          <x:t xml:space="preserve">HITRUST e1.csv</x:t>
        </x:is>
      </x:c>
      <x:c r="G86" s="5" t="inlineStr">
        <x:is>
          <x:t xml:space="preserve">Many:Many</x:t>
        </x:is>
      </x:c>
      <x:c r="H86" s="5" t="inlineStr">
        <x:is>
          <x:t xml:space="preserve">45 CFR § 164.308(a)(7)(ii)(A)</x:t>
        </x:is>
      </x:c>
      <x:c r="I86" s="5" t="inlineStr">
        <x:is>
          <x:t xml:space="preserve">Contingency Plan — Data Backup Plan</x:t>
        </x:is>
      </x:c>
      <x:c r="J86" s="5" t="inlineStr">
        <x:is>
          <x:t xml:space="preserve">Direct</x:t>
        </x:is>
      </x:c>
      <x:c r="K86" s="5" t="inlineStr">
        <x:is>
          <x:t xml:space="preserve">Backup schedules most directly align to maintaining retrievable exact copies of ePHI.</x:t>
        </x:is>
      </x:c>
      <x:c r="L86"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86" s="5" t="inlineStr">
        <x:is>
          <x:t xml:space="preserve">Used for backup schedule evidence.</x:t>
        </x:is>
      </x:c>
      <x:c r="N86" s="5" t="inlineStr">
        <x:is>
          <x:t xml:space="preserve">1616.09l1 Organizational.16</x:t>
        </x:is>
      </x:c>
      <x:c r="O86" s="5" t="n">
        <x:v>1</x:v>
      </x:c>
      <x:c r="P86" s="5" t="n"/>
      <x:c r="Q86" s="5" t="inlineStr">
        <x:is>
          <x:t xml:space="preserve">Backups and Schedules</x:t>
        </x:is>
      </x:c>
      <x:c r="R86" s="5" t="inlineStr">
        <x:is>
          <x:t xml:space="preserve">Configuration</x:t>
        </x:is>
      </x:c>
      <x:c r="S86" s="5" t="n"/>
      <x:c r="T86" s="5" t="inlineStr">
        <x:is>
          <x:t xml:space="preserve">HITRUST e1.csv</x:t>
        </x:is>
      </x:c>
      <x:c r="U86" s="5" t="inlineStr">
        <x:is>
          <x:t xml:space="preserve">45 C.F.R. § 164.308(a)(7)(ii)(A)</x:t>
        </x:is>
      </x:c>
      <x:c r="V86" s="5" t="inlineStr">
        <x:is>
          <x:t xml:space="preserve">Contingency Plan — Data Backup Plan</x:t>
        </x:is>
      </x:c>
      <x:c r="W86" s="5" t="inlineStr">
        <x:is>
          <x:t xml:space="preserve">Establish and implement procedures to create and maintain retrievable exact copies of ePHI.</x:t>
        </x:is>
      </x:c>
      <x:c r="X86" s="5" t="inlineStr">
        <x:is>
          <x:t xml:space="preserve">Required implementation specification</x:t>
        </x:is>
      </x:c>
      <x:c r="Y86" s="5" t="inlineStr">
        <x:is>
          <x:t xml:space="preserve">Administrative Safeguards</x:t>
        </x:is>
      </x:c>
      <x:c r="Z86" s="28" t="inlineStr">
        <x:is>
          <x:t xml:space="preserve">https://www.ecfr.gov/current/title-45/subtitle-A/subchapter-C/part-164/section-164.308</x:t>
        </x:is>
      </x:c>
      <x:c r="AA86" s="28" t="inlineStr">
        <x:is>
          <x:t xml:space="preserve">https://www.hhs.gov/hipaa/for-professionals/security/guidance/cybersecurity/ransomware-fact-sheet/index.html</x:t>
        </x:is>
      </x:c>
      <x:c r="AB86" s="5" t="n"/>
      <x:c r="AC86" s="5" t="n"/>
      <x:c r="AD86" s="5" t="n"/>
      <x:c r="AE86" s="5" t="n"/>
      <x:c r="AF86" s="5" t="n"/>
      <x:c r="AG86" s="5" t="n"/>
      <x:c r="AH86" s="5" t="n"/>
      <x:c r="AI86" s="5" t="n"/>
      <x:c r="AJ86" s="5" t="n"/>
      <x:c r="AK86" s="5" t="n"/>
      <x:c r="AL86" s="5" t="n"/>
      <x:c r="AM86" s="5" t="n"/>
      <x:c r="AN86" s="5" t="n"/>
      <x:c r="AO86" s="5" t="n"/>
      <x:c r="AP86" s="5" t="n"/>
      <x:c r="AQ86" s="5" t="n"/>
    </x:row>
    <x:row r="87" ht="30" customHeight="1">
      <x:c r="A87" s="5" t="inlineStr">
        <x:is>
          <x:t xml:space="preserve">REQ-62-HIPAA</x:t>
        </x:is>
      </x:c>
      <x:c r="B87" s="5" t="inlineStr">
        <x:is>
          <x:t xml:space="preserve">1618.09l1Organizational.45</x:t>
        </x:is>
      </x:c>
      <x:c r="C87" s="5" t="n">
        <x:v>1</x:v>
      </x:c>
      <x:c r="D87" s="5" t="inlineStr">
        <x:is>
          <x:t xml:space="preserve">Backups and Schedules</x:t>
        </x:is>
      </x:c>
      <x:c r="E87" s="5" t="inlineStr">
        <x:is>
          <x:t xml:space="preserve">Configuration</x:t>
        </x:is>
      </x:c>
      <x:c r="F87" s="5" t="inlineStr">
        <x:is>
          <x:t xml:space="preserve">HITRUST e1.csv</x:t>
        </x:is>
      </x:c>
      <x:c r="G87" s="5" t="inlineStr">
        <x:is>
          <x:t xml:space="preserve">Many:Many</x:t>
        </x:is>
      </x:c>
      <x:c r="H87" s="5" t="inlineStr">
        <x:is>
          <x:t xml:space="preserve">45 CFR § 164.308(a)(7)(ii)(A)</x:t>
        </x:is>
      </x:c>
      <x:c r="I87" s="5" t="inlineStr">
        <x:is>
          <x:t xml:space="preserve">Contingency Plan — Data Backup Plan</x:t>
        </x:is>
      </x:c>
      <x:c r="J87" s="5" t="inlineStr">
        <x:is>
          <x:t xml:space="preserve">Direct</x:t>
        </x:is>
      </x:c>
      <x:c r="K87" s="5" t="inlineStr">
        <x:is>
          <x:t xml:space="preserve">Backup schedules most directly align to maintaining retrievable exact copies of ePHI.</x:t>
        </x:is>
      </x:c>
      <x:c r="L87" s="28" t="inlineStr">
        <x:is>
          <x:t xml:space="preserve">https://www.ecfr.gov/current/title-45/subtitle-A/subchapter-C/part-164/section-164.308 | https://www.hhs.gov/hipaa/for-professionals/compliance-enforcement/audit/protocol/index.html | https://www.hhs.gov/hipaa/for-professionals/security/guidance/cybersecurity/ransomware-fact-sheet/index.html</x:t>
        </x:is>
      </x:c>
      <x:c r="M87" s="5" t="inlineStr">
        <x:is>
          <x:t xml:space="preserve">Used for backup schedule evidence.</x:t>
        </x:is>
      </x:c>
      <x:c r="N87" s="5" t="inlineStr">
        <x:is>
          <x:t xml:space="preserve">1618.09l1 Organizational.45</x:t>
        </x:is>
      </x:c>
      <x:c r="O87" s="5" t="n">
        <x:v>1</x:v>
      </x:c>
      <x:c r="P87" s="5" t="n"/>
      <x:c r="Q87" s="5" t="inlineStr">
        <x:is>
          <x:t xml:space="preserve">Backups and Schedules</x:t>
        </x:is>
      </x:c>
      <x:c r="R87" s="5" t="inlineStr">
        <x:is>
          <x:t xml:space="preserve">Configuration</x:t>
        </x:is>
      </x:c>
      <x:c r="S87" s="5" t="n"/>
      <x:c r="T87" s="5" t="inlineStr">
        <x:is>
          <x:t xml:space="preserve">HITRUST e1.csv</x:t>
        </x:is>
      </x:c>
      <x:c r="U87" s="5" t="inlineStr">
        <x:is>
          <x:t xml:space="preserve">45 C.F.R. § 164.308(a)(7)(ii)(A)</x:t>
        </x:is>
      </x:c>
      <x:c r="V87" s="5" t="inlineStr">
        <x:is>
          <x:t xml:space="preserve">Contingency Plan — Data Backup Plan</x:t>
        </x:is>
      </x:c>
      <x:c r="W87" s="5" t="inlineStr">
        <x:is>
          <x:t xml:space="preserve">Establish and implement procedures to create and maintain retrievable exact copies of ePHI.</x:t>
        </x:is>
      </x:c>
      <x:c r="X87" s="5" t="inlineStr">
        <x:is>
          <x:t xml:space="preserve">Required implementation specification</x:t>
        </x:is>
      </x:c>
      <x:c r="Y87" s="5" t="inlineStr">
        <x:is>
          <x:t xml:space="preserve">Administrative Safeguards</x:t>
        </x:is>
      </x:c>
      <x:c r="Z87" s="28" t="inlineStr">
        <x:is>
          <x:t xml:space="preserve">https://www.ecfr.gov/current/title-45/subtitle-A/subchapter-C/part-164/section-164.308</x:t>
        </x:is>
      </x:c>
      <x:c r="AA87" s="28" t="inlineStr">
        <x:is>
          <x:t xml:space="preserve">https://www.hhs.gov/hipaa/for-professionals/security/guidance/cybersecurity/ransomware-fact-sheet/index.html</x:t>
        </x:is>
      </x:c>
      <x:c r="AB87" s="5" t="n"/>
      <x:c r="AC87" s="5" t="n"/>
      <x:c r="AD87" s="5" t="n"/>
      <x:c r="AE87" s="5" t="n"/>
      <x:c r="AF87" s="5" t="n"/>
      <x:c r="AG87" s="5" t="n"/>
      <x:c r="AH87" s="5" t="n"/>
      <x:c r="AI87" s="5" t="n"/>
      <x:c r="AJ87" s="5" t="n"/>
      <x:c r="AK87" s="5" t="n"/>
      <x:c r="AL87" s="5" t="n"/>
      <x:c r="AM87" s="5" t="n"/>
      <x:c r="AN87" s="5" t="n"/>
      <x:c r="AO87" s="5" t="n"/>
      <x:c r="AP87" s="5" t="n"/>
      <x:c r="AQ87" s="5" t="n"/>
    </x:row>
    <x:row r="88" ht="30" customHeight="1">
      <x:c r="A88" s="5" t="inlineStr">
        <x:is>
          <x:t xml:space="preserve">REQ-63-HIPAA</x:t>
        </x:is>
      </x:c>
      <x:c r="B88" s="5" t="inlineStr">
        <x:is>
          <x:t xml:space="preserve">16.09l1Organizational.4</x:t>
        </x:is>
      </x:c>
      <x:c r="C88" s="5" t="n">
        <x:v>1</x:v>
      </x:c>
      <x:c r="D88" s="5" t="inlineStr">
        <x:is>
          <x:t xml:space="preserve">Backups and Schedules</x:t>
        </x:is>
      </x:c>
      <x:c r="E88" s="5" t="inlineStr">
        <x:is>
          <x:t xml:space="preserve">Configuration</x:t>
        </x:is>
      </x:c>
      <x:c r="F88" s="5" t="inlineStr">
        <x:is>
          <x:t xml:space="preserve">HITRUST e1.csv</x:t>
        </x:is>
      </x:c>
      <x:c r="G88" s="5" t="inlineStr">
        <x:is>
          <x:t xml:space="preserve">Many:Many</x:t>
        </x:is>
      </x:c>
      <x:c r="H88" s="5" t="inlineStr">
        <x:is>
          <x:t xml:space="preserve">45 CFR § 164.308(a)(7)(ii)(B)</x:t>
        </x:is>
      </x:c>
      <x:c r="I88" s="5" t="inlineStr">
        <x:is>
          <x:t xml:space="preserve">Contingency Plan — Disaster Recovery Plan</x:t>
        </x:is>
      </x:c>
      <x:c r="J88" s="5" t="inlineStr">
        <x:is>
          <x:t xml:space="preserve">Best-fit</x:t>
        </x:is>
      </x:c>
      <x:c r="K88" s="5" t="inlineStr">
        <x:is>
          <x:t xml:space="preserve">Backup/replication planning most closely aligns to restoring lost data and recovering operations after a disruption.</x:t>
        </x:is>
      </x:c>
      <x:c r="L88"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88" s="5" t="inlineStr">
        <x:is>
          <x:t xml:space="preserve">Used for schedule-level backup rows when the internal control appears to emphasize recoverability/replication.</x:t>
        </x:is>
      </x:c>
      <x:c r="N88" s="5" t="inlineStr">
        <x:is>
          <x:t xml:space="preserve">16.09l1 Organizational.4</x:t>
        </x:is>
      </x:c>
      <x:c r="O88" s="5" t="n">
        <x:v>1</x:v>
      </x:c>
      <x:c r="P88" s="5" t="n"/>
      <x:c r="Q88" s="5" t="inlineStr">
        <x:is>
          <x:t xml:space="preserve">Backups and Schedules</x:t>
        </x:is>
      </x:c>
      <x:c r="R88" s="5" t="inlineStr">
        <x:is>
          <x:t xml:space="preserve">Configuration</x:t>
        </x:is>
      </x:c>
      <x:c r="S88" s="5" t="n"/>
      <x:c r="T88" s="5" t="inlineStr">
        <x:is>
          <x:t xml:space="preserve">HITRUST e1.csv</x:t>
        </x:is>
      </x:c>
      <x:c r="U88" s="5" t="inlineStr">
        <x:is>
          <x:t xml:space="preserve">45 C.F.R. § 164.308(a)(7)(ii)(B)</x:t>
        </x:is>
      </x:c>
      <x:c r="V88" s="5" t="inlineStr">
        <x:is>
          <x:t xml:space="preserve">Contingency Plan — Disaster Recovery Plan</x:t>
        </x:is>
      </x:c>
      <x:c r="W88" s="5" t="inlineStr">
        <x:is>
          <x:t xml:space="preserve">Establish and implement procedures to restore any loss of data.</x:t>
        </x:is>
      </x:c>
      <x:c r="X88" s="5" t="inlineStr">
        <x:is>
          <x:t xml:space="preserve">Required implementation specification</x:t>
        </x:is>
      </x:c>
      <x:c r="Y88" s="5" t="inlineStr">
        <x:is>
          <x:t xml:space="preserve">Administrative Safeguards</x:t>
        </x:is>
      </x:c>
      <x:c r="Z88" s="28" t="inlineStr">
        <x:is>
          <x:t xml:space="preserve">https://www.ecfr.gov/current/title-45/subtitle-A/subchapter-C/part-164/section-164.308</x:t>
        </x:is>
      </x:c>
      <x:c r="AA88" s="28" t="inlineStr">
        <x:is>
          <x:t xml:space="preserve">https://www.hhs.gov/hipaa/for-professionals/security/guidance/cybersecurity/ransomware-fact-sheet/index.html</x:t>
        </x:is>
      </x:c>
      <x:c r="AB88" s="5" t="n"/>
      <x:c r="AC88" s="5" t="n"/>
      <x:c r="AD88" s="5" t="n"/>
      <x:c r="AE88" s="5" t="n"/>
      <x:c r="AF88" s="5" t="n"/>
      <x:c r="AG88" s="5" t="n"/>
      <x:c r="AH88" s="5" t="n"/>
      <x:c r="AI88" s="5" t="n"/>
      <x:c r="AJ88" s="5" t="n"/>
      <x:c r="AK88" s="5" t="n"/>
      <x:c r="AL88" s="5" t="n"/>
      <x:c r="AM88" s="5" t="n"/>
      <x:c r="AN88" s="5" t="n"/>
      <x:c r="AO88" s="5" t="n"/>
      <x:c r="AP88" s="5" t="n"/>
      <x:c r="AQ88" s="5" t="n"/>
    </x:row>
    <x:row r="89" ht="30" customHeight="1">
      <x:c r="A89" s="5" t="inlineStr">
        <x:is>
          <x:t xml:space="preserve">REQ-63-HIPAA</x:t>
        </x:is>
      </x:c>
      <x:c r="B89" s="5" t="inlineStr">
        <x:is>
          <x:t xml:space="preserve">1616.09l1Organizational.16</x:t>
        </x:is>
      </x:c>
      <x:c r="C89" s="5" t="n">
        <x:v>1</x:v>
      </x:c>
      <x:c r="D89" s="5" t="inlineStr">
        <x:is>
          <x:t xml:space="preserve">Backups and Schedules</x:t>
        </x:is>
      </x:c>
      <x:c r="E89" s="5" t="inlineStr">
        <x:is>
          <x:t xml:space="preserve">Configuration</x:t>
        </x:is>
      </x:c>
      <x:c r="F89" s="5" t="inlineStr">
        <x:is>
          <x:t xml:space="preserve">HITRUST e1.csv</x:t>
        </x:is>
      </x:c>
      <x:c r="G89" s="5" t="inlineStr">
        <x:is>
          <x:t xml:space="preserve">Many:Many</x:t>
        </x:is>
      </x:c>
      <x:c r="H89" s="5" t="inlineStr">
        <x:is>
          <x:t xml:space="preserve">45 CFR § 164.308(a)(7)(ii)(B)</x:t>
        </x:is>
      </x:c>
      <x:c r="I89" s="5" t="inlineStr">
        <x:is>
          <x:t xml:space="preserve">Contingency Plan — Disaster Recovery Plan</x:t>
        </x:is>
      </x:c>
      <x:c r="J89" s="5" t="inlineStr">
        <x:is>
          <x:t xml:space="preserve">Best-fit</x:t>
        </x:is>
      </x:c>
      <x:c r="K89" s="5" t="inlineStr">
        <x:is>
          <x:t xml:space="preserve">Backup/replication planning most closely aligns to restoring lost data and recovering operations after a disruption.</x:t>
        </x:is>
      </x:c>
      <x:c r="L89"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89" s="5" t="inlineStr">
        <x:is>
          <x:t xml:space="preserve">Used for schedule-level backup rows when the internal control appears to emphasize recoverability/replication.</x:t>
        </x:is>
      </x:c>
      <x:c r="N89" s="5" t="inlineStr">
        <x:is>
          <x:t xml:space="preserve">1616.09l1 Organizational.16</x:t>
        </x:is>
      </x:c>
      <x:c r="O89" s="5" t="n">
        <x:v>1</x:v>
      </x:c>
      <x:c r="P89" s="5" t="n"/>
      <x:c r="Q89" s="5" t="inlineStr">
        <x:is>
          <x:t xml:space="preserve">Backups and Schedules</x:t>
        </x:is>
      </x:c>
      <x:c r="R89" s="5" t="inlineStr">
        <x:is>
          <x:t xml:space="preserve">Configuration</x:t>
        </x:is>
      </x:c>
      <x:c r="S89" s="5" t="n"/>
      <x:c r="T89" s="5" t="inlineStr">
        <x:is>
          <x:t xml:space="preserve">HITRUST e1.csv</x:t>
        </x:is>
      </x:c>
      <x:c r="U89" s="5" t="inlineStr">
        <x:is>
          <x:t xml:space="preserve">45 C.F.R. § 164.308(a)(7)(ii)(B)</x:t>
        </x:is>
      </x:c>
      <x:c r="V89" s="5" t="inlineStr">
        <x:is>
          <x:t xml:space="preserve">Contingency Plan — Disaster Recovery Plan</x:t>
        </x:is>
      </x:c>
      <x:c r="W89" s="5" t="inlineStr">
        <x:is>
          <x:t xml:space="preserve">Establish and implement procedures to restore any loss of data.</x:t>
        </x:is>
      </x:c>
      <x:c r="X89" s="5" t="inlineStr">
        <x:is>
          <x:t xml:space="preserve">Required implementation specification</x:t>
        </x:is>
      </x:c>
      <x:c r="Y89" s="5" t="inlineStr">
        <x:is>
          <x:t xml:space="preserve">Administrative Safeguards</x:t>
        </x:is>
      </x:c>
      <x:c r="Z89" s="28" t="inlineStr">
        <x:is>
          <x:t xml:space="preserve">https://www.ecfr.gov/current/title-45/subtitle-A/subchapter-C/part-164/section-164.308</x:t>
        </x:is>
      </x:c>
      <x:c r="AA89" s="28" t="inlineStr">
        <x:is>
          <x:t xml:space="preserve">https://www.hhs.gov/hipaa/for-professionals/security/guidance/cybersecurity/ransomware-fact-sheet/index.html</x:t>
        </x:is>
      </x:c>
      <x:c r="AB89" s="5" t="n"/>
      <x:c r="AC89" s="5" t="n"/>
      <x:c r="AD89" s="5" t="n"/>
      <x:c r="AE89" s="5" t="n"/>
      <x:c r="AF89" s="5" t="n"/>
      <x:c r="AG89" s="5" t="n"/>
      <x:c r="AH89" s="5" t="n"/>
      <x:c r="AI89" s="5" t="n"/>
      <x:c r="AJ89" s="5" t="n"/>
      <x:c r="AK89" s="5" t="n"/>
      <x:c r="AL89" s="5" t="n"/>
      <x:c r="AM89" s="5" t="n"/>
      <x:c r="AN89" s="5" t="n"/>
      <x:c r="AO89" s="5" t="n"/>
      <x:c r="AP89" s="5" t="n"/>
      <x:c r="AQ89" s="5" t="n"/>
    </x:row>
    <x:row r="90" ht="30" customHeight="1">
      <x:c r="A90" s="5" t="inlineStr">
        <x:is>
          <x:t xml:space="preserve">REQ-63-HIPAA</x:t>
        </x:is>
      </x:c>
      <x:c r="B90" s="5" t="inlineStr">
        <x:is>
          <x:t xml:space="preserve">1618.09l1Organizational.45</x:t>
        </x:is>
      </x:c>
      <x:c r="C90" s="5" t="n">
        <x:v>1</x:v>
      </x:c>
      <x:c r="D90" s="5" t="inlineStr">
        <x:is>
          <x:t xml:space="preserve">Backups and Schedules</x:t>
        </x:is>
      </x:c>
      <x:c r="E90" s="5" t="inlineStr">
        <x:is>
          <x:t xml:space="preserve">Configuration</x:t>
        </x:is>
      </x:c>
      <x:c r="F90" s="5" t="inlineStr">
        <x:is>
          <x:t xml:space="preserve">HITRUST e1.csv</x:t>
        </x:is>
      </x:c>
      <x:c r="G90" s="5" t="inlineStr">
        <x:is>
          <x:t xml:space="preserve">Many:Many</x:t>
        </x:is>
      </x:c>
      <x:c r="H90" s="5" t="inlineStr">
        <x:is>
          <x:t xml:space="preserve">45 CFR § 164.308(a)(7)(ii)(B)</x:t>
        </x:is>
      </x:c>
      <x:c r="I90" s="5" t="inlineStr">
        <x:is>
          <x:t xml:space="preserve">Contingency Plan — Disaster Recovery Plan</x:t>
        </x:is>
      </x:c>
      <x:c r="J90" s="5" t="inlineStr">
        <x:is>
          <x:t xml:space="preserve">Best-fit</x:t>
        </x:is>
      </x:c>
      <x:c r="K90" s="5" t="inlineStr">
        <x:is>
          <x:t xml:space="preserve">Backup/replication planning most closely aligns to restoring lost data and recovering operations after a disruption.</x:t>
        </x:is>
      </x:c>
      <x:c r="L90" s="28" t="inlineStr">
        <x:is>
          <x:t xml:space="preserve">https://www.ecfr.gov/current/title-45/subtitle-A/subchapter-C/part-164/section-164.308 | https://www.hhs.gov/sites/default/files/ocr/privacy/hipaa/administrative/combined/hipaa-simplification-201303.pdf | https://www.hhs.gov/hipaa/for-professionals/security/guidance/cybersecurity/ransomware-fact-sheet/index.html</x:t>
        </x:is>
      </x:c>
      <x:c r="M90" s="5" t="inlineStr">
        <x:is>
          <x:t xml:space="preserve">Used for schedule-level backup rows when the internal control appears to emphasize recoverability/replication.</x:t>
        </x:is>
      </x:c>
      <x:c r="N90" s="5" t="inlineStr">
        <x:is>
          <x:t xml:space="preserve">1618.09l1 Organizational.45</x:t>
        </x:is>
      </x:c>
      <x:c r="O90" s="5" t="n">
        <x:v>1</x:v>
      </x:c>
      <x:c r="P90" s="5" t="n"/>
      <x:c r="Q90" s="5" t="inlineStr">
        <x:is>
          <x:t xml:space="preserve">Backups and Schedules</x:t>
        </x:is>
      </x:c>
      <x:c r="R90" s="5" t="inlineStr">
        <x:is>
          <x:t xml:space="preserve">Configuration</x:t>
        </x:is>
      </x:c>
      <x:c r="S90" s="5" t="n"/>
      <x:c r="T90" s="5" t="inlineStr">
        <x:is>
          <x:t xml:space="preserve">HITRUST e1.csv</x:t>
        </x:is>
      </x:c>
      <x:c r="U90" s="5" t="inlineStr">
        <x:is>
          <x:t xml:space="preserve">45 C.F.R. § 164.308(a)(7)(ii)(B)</x:t>
        </x:is>
      </x:c>
      <x:c r="V90" s="5" t="inlineStr">
        <x:is>
          <x:t xml:space="preserve">Contingency Plan — Disaster Recovery Plan</x:t>
        </x:is>
      </x:c>
      <x:c r="W90" s="5" t="inlineStr">
        <x:is>
          <x:t xml:space="preserve">Establish and implement procedures to restore any loss of data.</x:t>
        </x:is>
      </x:c>
      <x:c r="X90" s="5" t="inlineStr">
        <x:is>
          <x:t xml:space="preserve">Required implementation specification</x:t>
        </x:is>
      </x:c>
      <x:c r="Y90" s="5" t="inlineStr">
        <x:is>
          <x:t xml:space="preserve">Administrative Safeguards</x:t>
        </x:is>
      </x:c>
      <x:c r="Z90" s="28" t="inlineStr">
        <x:is>
          <x:t xml:space="preserve">https://www.ecfr.gov/current/title-45/subtitle-A/subchapter-C/part-164/section-164.308</x:t>
        </x:is>
      </x:c>
      <x:c r="AA90" s="28" t="inlineStr">
        <x:is>
          <x:t xml:space="preserve">https://www.hhs.gov/hipaa/for-professionals/security/guidance/cybersecurity/ransomware-fact-sheet/index.html</x:t>
        </x:is>
      </x:c>
      <x:c r="AB90" s="5" t="n"/>
      <x:c r="AC90" s="5" t="n"/>
      <x:c r="AD90" s="5" t="n"/>
      <x:c r="AE90" s="5" t="n"/>
      <x:c r="AF90" s="5" t="n"/>
      <x:c r="AG90" s="5" t="n"/>
      <x:c r="AH90" s="5" t="n"/>
      <x:c r="AI90" s="5" t="n"/>
      <x:c r="AJ90" s="5" t="n"/>
      <x:c r="AK90" s="5" t="n"/>
      <x:c r="AL90" s="5" t="n"/>
      <x:c r="AM90" s="5" t="n"/>
      <x:c r="AN90" s="5" t="n"/>
      <x:c r="AO90" s="5" t="n"/>
      <x:c r="AP90" s="5" t="n"/>
      <x:c r="AQ90" s="5" t="n"/>
    </x:row>
    <x:row r="91" ht="30" customHeight="1">
      <x:c r="A91" s="5" t="inlineStr">
        <x:is>
          <x:t xml:space="preserve">REQ-66-HIPAA</x:t>
        </x:is>
      </x:c>
      <x:c r="B91" s="5" t="inlineStr">
        <x:is>
          <x:t xml:space="preserve">0305.09q1Organizational.12</x:t>
        </x:is>
      </x:c>
      <x:c r="C91" s="5" t="n">
        <x:v>1</x:v>
      </x:c>
      <x:c r="D91" s="5" t="inlineStr">
        <x:is>
          <x:t xml:space="preserve">Data Classification, Retention and Disposal</x:t>
        </x:is>
      </x:c>
      <x:c r="E91" s="5" t="inlineStr">
        <x:is>
          <x:t xml:space="preserve">Policy</x:t>
        </x:is>
      </x:c>
      <x:c r="F91" s="5" t="inlineStr">
        <x:is>
          <x:t xml:space="preserve">HITRUST e1.csv</x:t>
        </x:is>
      </x:c>
      <x:c r="G91" s="5" t="inlineStr">
        <x:is>
          <x:t xml:space="preserve">Many:Many</x:t>
        </x:is>
      </x:c>
      <x:c r="H91" s="5" t="inlineStr">
        <x:is>
          <x:t xml:space="preserve">45 CFR § 164.310(d)(2)(ii)</x:t>
        </x:is>
      </x:c>
      <x:c r="I91" s="5" t="inlineStr">
        <x:is>
          <x:t xml:space="preserve">Device and Media Controls — Media Re-use</x:t>
        </x:is>
      </x:c>
      <x:c r="J91" s="5" t="inlineStr">
        <x:is>
          <x:t xml:space="preserve">Best-fit</x:t>
        </x:is>
      </x:c>
      <x:c r="K91" s="5" t="inlineStr">
        <x:is>
          <x:t xml:space="preserve">Within the data-retention/disposal action item, this internal control is best matched to sanitization/reuse of media; HIPAA does not separately name classification or retention.</x:t>
        </x:is>
      </x:c>
      <x:c r="L91"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1" s="5" t="inlineStr">
        <x:is>
          <x:t xml:space="preserve">Only the media-reuse/sanitization aspect maps directly to an express HIPAA specification.</x:t>
        </x:is>
      </x:c>
      <x:c r="N91" s="5" t="inlineStr">
        <x:is>
          <x:t xml:space="preserve">0305.09q1 Organizational.12</x:t>
        </x:is>
      </x:c>
      <x:c r="O91" s="5" t="n">
        <x:v>1</x:v>
      </x:c>
      <x:c r="P91" s="5" t="n"/>
      <x:c r="Q91" s="5" t="inlineStr">
        <x:is>
          <x:t xml:space="preserve">Data Classification</x:t>
        </x:is>
      </x:c>
      <x:c r="R91" s="5" t="inlineStr">
        <x:is>
          <x:t xml:space="preserve">Policy</x:t>
        </x:is>
      </x:c>
      <x:c r="S91" s="5" t="n"/>
      <x:c r="T91" s="5" t="inlineStr">
        <x:is>
          <x:t xml:space="preserve">HITRUST e1.csv</x:t>
        </x:is>
      </x:c>
      <x:c r="U91" s="5" t="inlineStr">
        <x:is>
          <x:t xml:space="preserve">45 C.F.R. § 164.310(d)(2)(ii)</x:t>
        </x:is>
      </x:c>
      <x:c r="V91" s="5" t="inlineStr">
        <x:is>
          <x:t xml:space="preserve">Device and Media Controls — Media Re-use</x:t>
        </x:is>
      </x:c>
      <x:c r="W91" s="5" t="inlineStr">
        <x:is>
          <x:t xml:space="preserve">Implement procedures for removing ePHI from electronic media before the media are made available for re-use.</x:t>
        </x:is>
      </x:c>
      <x:c r="X91" s="5" t="inlineStr">
        <x:is>
          <x:t xml:space="preserve">Required implementation specification</x:t>
        </x:is>
      </x:c>
      <x:c r="Y91" s="5" t="inlineStr">
        <x:is>
          <x:t xml:space="preserve">Physical Safeguards</x:t>
        </x:is>
      </x:c>
      <x:c r="Z91" s="28" t="inlineStr">
        <x:is>
          <x:t xml:space="preserve">https://www.ecfr.gov/current/title-45/subtitle-A/subchapter-C/part-164/section-164.310</x:t>
        </x:is>
      </x:c>
      <x:c r="AA91" s="28" t="inlineStr">
        <x:is>
          <x:t xml:space="preserve">https://www.hhs.gov/hipaa/for-professionals/faq/575/what-does-hipaa-require-of-covered-entities-when-they-dispose-information/index.html</x:t>
        </x:is>
      </x:c>
      <x:c r="AB91" s="5" t="n"/>
      <x:c r="AC91" s="5" t="n"/>
      <x:c r="AD91" s="5" t="n"/>
      <x:c r="AE91" s="5" t="n"/>
      <x:c r="AF91" s="5" t="n"/>
      <x:c r="AG91" s="5" t="n"/>
      <x:c r="AH91" s="5" t="n"/>
      <x:c r="AI91" s="5" t="n"/>
      <x:c r="AJ91" s="5" t="n"/>
      <x:c r="AK91" s="5" t="n"/>
      <x:c r="AL91" s="5" t="n"/>
      <x:c r="AM91" s="5" t="n"/>
      <x:c r="AN91" s="5" t="n"/>
      <x:c r="AO91" s="5" t="n"/>
      <x:c r="AP91" s="5" t="inlineStr">
        <x:is>
          <x:t xml:space="preserve">Retention and Disposal</x:t>
        </x:is>
      </x:c>
      <x:c r="AQ91" s="5" t="n"/>
    </x:row>
    <x:row r="92" ht="30" customHeight="1">
      <x:c r="A92" s="5" t="inlineStr">
        <x:is>
          <x:t xml:space="preserve">REQ-66-HIPAA</x:t>
        </x:is>
      </x:c>
      <x:c r="B92" s="5" t="inlineStr">
        <x:is>
          <x:t xml:space="preserve">1239.09aa1System.4</x:t>
        </x:is>
      </x:c>
      <x:c r="C92" s="5" t="n">
        <x:v>1</x:v>
      </x:c>
      <x:c r="D92" s="5" t="inlineStr">
        <x:is>
          <x:t xml:space="preserve">Data Classification, Retention and Disposal</x:t>
        </x:is>
      </x:c>
      <x:c r="E92" s="5" t="inlineStr">
        <x:is>
          <x:t xml:space="preserve">Policy</x:t>
        </x:is>
      </x:c>
      <x:c r="F92" s="5" t="inlineStr">
        <x:is>
          <x:t xml:space="preserve">HITRUST e1.csv</x:t>
        </x:is>
      </x:c>
      <x:c r="G92" s="5" t="inlineStr">
        <x:is>
          <x:t xml:space="preserve">Many:Many</x:t>
        </x:is>
      </x:c>
      <x:c r="H92" s="5" t="inlineStr">
        <x:is>
          <x:t xml:space="preserve">45 CFR § 164.310(d)(2)(ii)</x:t>
        </x:is>
      </x:c>
      <x:c r="I92" s="5" t="inlineStr">
        <x:is>
          <x:t xml:space="preserve">Device and Media Controls — Media Re-use</x:t>
        </x:is>
      </x:c>
      <x:c r="J92" s="5" t="inlineStr">
        <x:is>
          <x:t xml:space="preserve">Best-fit</x:t>
        </x:is>
      </x:c>
      <x:c r="K92" s="5" t="inlineStr">
        <x:is>
          <x:t xml:space="preserve">Within the data-retention/disposal action item, this internal control is best matched to sanitization/reuse of media; HIPAA does not separately name classification or retention.</x:t>
        </x:is>
      </x:c>
      <x:c r="L92"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2" s="5" t="inlineStr">
        <x:is>
          <x:t xml:space="preserve">Only the media-reuse/sanitization aspect maps directly to an express HIPAA specification.</x:t>
        </x:is>
      </x:c>
      <x:c r="N92" s="5" t="inlineStr">
        <x:is>
          <x:t xml:space="preserve">1239.09aa1 System.4</x:t>
        </x:is>
      </x:c>
      <x:c r="O92" s="5" t="n">
        <x:v>1</x:v>
      </x:c>
      <x:c r="P92" s="5" t="n"/>
      <x:c r="Q92" s="5" t="inlineStr">
        <x:is>
          <x:t xml:space="preserve">Data Classification</x:t>
        </x:is>
      </x:c>
      <x:c r="R92" s="5" t="inlineStr">
        <x:is>
          <x:t xml:space="preserve">Policy</x:t>
        </x:is>
      </x:c>
      <x:c r="S92" s="5" t="n"/>
      <x:c r="T92" s="5" t="inlineStr">
        <x:is>
          <x:t xml:space="preserve">HITRUST e1.csv</x:t>
        </x:is>
      </x:c>
      <x:c r="U92" s="5" t="inlineStr">
        <x:is>
          <x:t xml:space="preserve">45 C.F.R. § 164.310(d)(2)(ii)</x:t>
        </x:is>
      </x:c>
      <x:c r="V92" s="5" t="inlineStr">
        <x:is>
          <x:t xml:space="preserve">Device and Media Controls — Media Re-use</x:t>
        </x:is>
      </x:c>
      <x:c r="W92" s="5" t="inlineStr">
        <x:is>
          <x:t xml:space="preserve">Implement procedures for removing ePHI from electronic media before the media are made available for re-use.</x:t>
        </x:is>
      </x:c>
      <x:c r="X92" s="5" t="inlineStr">
        <x:is>
          <x:t xml:space="preserve">Required implementation specification</x:t>
        </x:is>
      </x:c>
      <x:c r="Y92" s="5" t="inlineStr">
        <x:is>
          <x:t xml:space="preserve">Physical Safeguards</x:t>
        </x:is>
      </x:c>
      <x:c r="Z92" s="28" t="inlineStr">
        <x:is>
          <x:t xml:space="preserve">https://www.ecfr.gov/current/title-45/subtitle-A/subchapter-C/part-164/section-164.310</x:t>
        </x:is>
      </x:c>
      <x:c r="AA92" s="28" t="inlineStr">
        <x:is>
          <x:t xml:space="preserve">https://www.hhs.gov/hipaa/for-professionals/faq/575/what-does-hipaa-require-of-covered-entities-when-they-dispose-information/index.html</x:t>
        </x:is>
      </x:c>
      <x:c r="AB92" s="5" t="n"/>
      <x:c r="AC92" s="5" t="n"/>
      <x:c r="AD92" s="5" t="n"/>
      <x:c r="AE92" s="5" t="n"/>
      <x:c r="AF92" s="5" t="n"/>
      <x:c r="AG92" s="5" t="n"/>
      <x:c r="AH92" s="5" t="n"/>
      <x:c r="AI92" s="5" t="n"/>
      <x:c r="AJ92" s="5" t="n"/>
      <x:c r="AK92" s="5" t="n"/>
      <x:c r="AL92" s="5" t="n"/>
      <x:c r="AM92" s="5" t="n"/>
      <x:c r="AN92" s="5" t="n"/>
      <x:c r="AO92" s="5" t="n"/>
      <x:c r="AP92" s="5" t="inlineStr">
        <x:is>
          <x:t xml:space="preserve">Retention and Disposal</x:t>
        </x:is>
      </x:c>
      <x:c r="AQ92" s="5" t="n"/>
    </x:row>
    <x:row r="93" ht="30" customHeight="1">
      <x:c r="A93" s="5" t="inlineStr">
        <x:is>
          <x:t xml:space="preserve">REQ-66-HIPAA</x:t>
        </x:is>
      </x:c>
      <x:c r="B93" s="5" t="inlineStr">
        <x:is>
          <x:t xml:space="preserve">1616.09l1Organizational.16</x:t>
        </x:is>
      </x:c>
      <x:c r="C93" s="5" t="n">
        <x:v>1</x:v>
      </x:c>
      <x:c r="D93" s="5" t="inlineStr">
        <x:is>
          <x:t xml:space="preserve">Data Classification, Retention and Disposal</x:t>
        </x:is>
      </x:c>
      <x:c r="E93" s="5" t="inlineStr">
        <x:is>
          <x:t xml:space="preserve">Policy</x:t>
        </x:is>
      </x:c>
      <x:c r="F93" s="5" t="inlineStr">
        <x:is>
          <x:t xml:space="preserve">HITRUST e1.csv</x:t>
        </x:is>
      </x:c>
      <x:c r="G93" s="5" t="inlineStr">
        <x:is>
          <x:t xml:space="preserve">Many:Many</x:t>
        </x:is>
      </x:c>
      <x:c r="H93" s="5" t="inlineStr">
        <x:is>
          <x:t xml:space="preserve">45 CFR § 164.310(d)(2)(ii)</x:t>
        </x:is>
      </x:c>
      <x:c r="I93" s="5" t="inlineStr">
        <x:is>
          <x:t xml:space="preserve">Device and Media Controls — Media Re-use</x:t>
        </x:is>
      </x:c>
      <x:c r="J93" s="5" t="inlineStr">
        <x:is>
          <x:t xml:space="preserve">Best-fit</x:t>
        </x:is>
      </x:c>
      <x:c r="K93" s="5" t="inlineStr">
        <x:is>
          <x:t xml:space="preserve">Within the data-retention/disposal action item, this internal control is best matched to sanitization/reuse of media; HIPAA does not separately name classification or retention.</x:t>
        </x:is>
      </x:c>
      <x:c r="L93"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3" s="5" t="inlineStr">
        <x:is>
          <x:t xml:space="preserve">Only the media-reuse/sanitization aspect maps directly to an express HIPAA specification.</x:t>
        </x:is>
      </x:c>
      <x:c r="N93" s="5" t="inlineStr">
        <x:is>
          <x:t xml:space="preserve">1616.09l1 Organizational.16</x:t>
        </x:is>
      </x:c>
      <x:c r="O93" s="5" t="n">
        <x:v>1</x:v>
      </x:c>
      <x:c r="P93" s="5" t="n"/>
      <x:c r="Q93" s="5" t="inlineStr">
        <x:is>
          <x:t xml:space="preserve">Data Classification</x:t>
        </x:is>
      </x:c>
      <x:c r="R93" s="5" t="inlineStr">
        <x:is>
          <x:t xml:space="preserve">Policy</x:t>
        </x:is>
      </x:c>
      <x:c r="S93" s="5" t="n"/>
      <x:c r="T93" s="5" t="inlineStr">
        <x:is>
          <x:t xml:space="preserve">HITRUST e1.csv</x:t>
        </x:is>
      </x:c>
      <x:c r="U93" s="5" t="inlineStr">
        <x:is>
          <x:t xml:space="preserve">45 C.F.R. § 164.310(d)(2)(ii)</x:t>
        </x:is>
      </x:c>
      <x:c r="V93" s="5" t="inlineStr">
        <x:is>
          <x:t xml:space="preserve">Device and Media Controls — Media Re-use</x:t>
        </x:is>
      </x:c>
      <x:c r="W93" s="5" t="inlineStr">
        <x:is>
          <x:t xml:space="preserve">Implement procedures for removing ePHI from electronic media before the media are made available for re-use.</x:t>
        </x:is>
      </x:c>
      <x:c r="X93" s="5" t="inlineStr">
        <x:is>
          <x:t xml:space="preserve">Required implementation specification</x:t>
        </x:is>
      </x:c>
      <x:c r="Y93" s="5" t="inlineStr">
        <x:is>
          <x:t xml:space="preserve">Physical Safeguards</x:t>
        </x:is>
      </x:c>
      <x:c r="Z93" s="28" t="inlineStr">
        <x:is>
          <x:t xml:space="preserve">https://www.ecfr.gov/current/title-45/subtitle-A/subchapter-C/part-164/section-164.310</x:t>
        </x:is>
      </x:c>
      <x:c r="AA93" s="28" t="inlineStr">
        <x:is>
          <x:t xml:space="preserve">https://www.hhs.gov/hipaa/for-professionals/faq/575/what-does-hipaa-require-of-covered-entities-when-they-dispose-information/index.html</x:t>
        </x:is>
      </x:c>
      <x:c r="AB93" s="5" t="n"/>
      <x:c r="AC93" s="5" t="n"/>
      <x:c r="AD93" s="5" t="n"/>
      <x:c r="AE93" s="5" t="n"/>
      <x:c r="AF93" s="5" t="n"/>
      <x:c r="AG93" s="5" t="n"/>
      <x:c r="AH93" s="5" t="n"/>
      <x:c r="AI93" s="5" t="n"/>
      <x:c r="AJ93" s="5" t="n"/>
      <x:c r="AK93" s="5" t="n"/>
      <x:c r="AL93" s="5" t="n"/>
      <x:c r="AM93" s="5" t="n"/>
      <x:c r="AN93" s="5" t="n"/>
      <x:c r="AO93" s="5" t="n"/>
      <x:c r="AP93" s="5" t="inlineStr">
        <x:is>
          <x:t xml:space="preserve">Retention and Disposal</x:t>
        </x:is>
      </x:c>
      <x:c r="AQ93" s="5" t="n"/>
    </x:row>
    <x:row r="94" ht="30" customHeight="1">
      <x:c r="A94" s="5" t="inlineStr">
        <x:is>
          <x:t xml:space="preserve">REQ-66-HIPAA</x:t>
        </x:is>
      </x:c>
      <x:c r="B94" s="5" t="inlineStr">
        <x:is>
          <x:t xml:space="preserve">1767.07d1Organizational.2</x:t>
        </x:is>
      </x:c>
      <x:c r="C94" s="5" t="n">
        <x:v>1</x:v>
      </x:c>
      <x:c r="D94" s="5" t="inlineStr">
        <x:is>
          <x:t xml:space="preserve">Data Classification, Retention and Disposal</x:t>
        </x:is>
      </x:c>
      <x:c r="E94" s="5" t="inlineStr">
        <x:is>
          <x:t xml:space="preserve">Policy</x:t>
        </x:is>
      </x:c>
      <x:c r="F94" s="5" t="inlineStr">
        <x:is>
          <x:t xml:space="preserve">HITRUST e1.csv</x:t>
        </x:is>
      </x:c>
      <x:c r="G94" s="5" t="inlineStr">
        <x:is>
          <x:t xml:space="preserve">Many:Many</x:t>
        </x:is>
      </x:c>
      <x:c r="H94" s="5" t="inlineStr">
        <x:is>
          <x:t xml:space="preserve">45 CFR § 164.310(d)(2)(ii)</x:t>
        </x:is>
      </x:c>
      <x:c r="I94" s="5" t="inlineStr">
        <x:is>
          <x:t xml:space="preserve">Device and Media Controls — Media Re-use</x:t>
        </x:is>
      </x:c>
      <x:c r="J94" s="5" t="inlineStr">
        <x:is>
          <x:t xml:space="preserve">Best-fit</x:t>
        </x:is>
      </x:c>
      <x:c r="K94" s="5" t="inlineStr">
        <x:is>
          <x:t xml:space="preserve">Within the data-retention/disposal action item, this internal control is best matched to sanitization/reuse of media; HIPAA does not separately name classification or retention.</x:t>
        </x:is>
      </x:c>
      <x:c r="L94"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4" s="5" t="inlineStr">
        <x:is>
          <x:t xml:space="preserve">Only the media-reuse/sanitization aspect maps directly to an express HIPAA specification.</x:t>
        </x:is>
      </x:c>
      <x:c r="N94" s="5" t="inlineStr">
        <x:is>
          <x:t xml:space="preserve">1767.07d1 Organizational.2</x:t>
        </x:is>
      </x:c>
      <x:c r="O94" s="5" t="n">
        <x:v>1</x:v>
      </x:c>
      <x:c r="P94" s="5" t="n"/>
      <x:c r="Q94" s="5" t="inlineStr">
        <x:is>
          <x:t xml:space="preserve">Data Classification</x:t>
        </x:is>
      </x:c>
      <x:c r="R94" s="5" t="inlineStr">
        <x:is>
          <x:t xml:space="preserve">Policy</x:t>
        </x:is>
      </x:c>
      <x:c r="S94" s="5" t="n"/>
      <x:c r="T94" s="5" t="inlineStr">
        <x:is>
          <x:t xml:space="preserve">HITRUST e1.csv</x:t>
        </x:is>
      </x:c>
      <x:c r="U94" s="5" t="inlineStr">
        <x:is>
          <x:t xml:space="preserve">45 C.F.R. § 164.310(d)(2)(ii)</x:t>
        </x:is>
      </x:c>
      <x:c r="V94" s="5" t="inlineStr">
        <x:is>
          <x:t xml:space="preserve">Device and Media Controls — Media Re-use</x:t>
        </x:is>
      </x:c>
      <x:c r="W94" s="5" t="inlineStr">
        <x:is>
          <x:t xml:space="preserve">Implement procedures for removing ePHI from electronic media before the media are made available for re-use.</x:t>
        </x:is>
      </x:c>
      <x:c r="X94" s="5" t="inlineStr">
        <x:is>
          <x:t xml:space="preserve">Required implementation specification</x:t>
        </x:is>
      </x:c>
      <x:c r="Y94" s="5" t="inlineStr">
        <x:is>
          <x:t xml:space="preserve">Physical Safeguards</x:t>
        </x:is>
      </x:c>
      <x:c r="Z94" s="28" t="inlineStr">
        <x:is>
          <x:t xml:space="preserve">https://www.ecfr.gov/current/title-45/subtitle-A/subchapter-C/part-164/section-164.310</x:t>
        </x:is>
      </x:c>
      <x:c r="AA94" s="28" t="inlineStr">
        <x:is>
          <x:t xml:space="preserve">https://www.hhs.gov/hipaa/for-professionals/faq/575/what-does-hipaa-require-of-covered-entities-when-they-dispose-information/index.html</x:t>
        </x:is>
      </x:c>
      <x:c r="AB94" s="5" t="n"/>
      <x:c r="AC94" s="5" t="n"/>
      <x:c r="AD94" s="5" t="n"/>
      <x:c r="AE94" s="5" t="n"/>
      <x:c r="AF94" s="5" t="n"/>
      <x:c r="AG94" s="5" t="n"/>
      <x:c r="AH94" s="5" t="n"/>
      <x:c r="AI94" s="5" t="n"/>
      <x:c r="AJ94" s="5" t="n"/>
      <x:c r="AK94" s="5" t="n"/>
      <x:c r="AL94" s="5" t="n"/>
      <x:c r="AM94" s="5" t="n"/>
      <x:c r="AN94" s="5" t="n"/>
      <x:c r="AO94" s="5" t="n"/>
      <x:c r="AP94" s="5" t="inlineStr">
        <x:is>
          <x:t xml:space="preserve">Retention and Disposal</x:t>
        </x:is>
      </x:c>
      <x:c r="AQ94" s="5" t="n"/>
    </x:row>
    <x:row r="95" ht="30" customHeight="1">
      <x:c r="A95" s="5" t="inlineStr">
        <x:is>
          <x:t xml:space="preserve">REQ-66-HIPAA</x:t>
        </x:is>
      </x:c>
      <x:c r="B95" s="5" t="inlineStr">
        <x:is>
          <x:t xml:space="preserve">19142.06c1Organizational.8</x:t>
        </x:is>
      </x:c>
      <x:c r="C95" s="5" t="n">
        <x:v>1</x:v>
      </x:c>
      <x:c r="D95" s="5" t="inlineStr">
        <x:is>
          <x:t xml:space="preserve">Data Classification, Retention and Disposal</x:t>
        </x:is>
      </x:c>
      <x:c r="E95" s="5" t="inlineStr">
        <x:is>
          <x:t xml:space="preserve">Policy</x:t>
        </x:is>
      </x:c>
      <x:c r="F95" s="5" t="inlineStr">
        <x:is>
          <x:t xml:space="preserve">HITRUST e1.csv</x:t>
        </x:is>
      </x:c>
      <x:c r="G95" s="5" t="inlineStr">
        <x:is>
          <x:t xml:space="preserve">Many:Many</x:t>
        </x:is>
      </x:c>
      <x:c r="H95" s="5" t="inlineStr">
        <x:is>
          <x:t xml:space="preserve">45 CFR § 164.310(d)(2)(ii)</x:t>
        </x:is>
      </x:c>
      <x:c r="I95" s="5" t="inlineStr">
        <x:is>
          <x:t xml:space="preserve">Device and Media Controls — Media Re-use</x:t>
        </x:is>
      </x:c>
      <x:c r="J95" s="5" t="inlineStr">
        <x:is>
          <x:t xml:space="preserve">Best-fit</x:t>
        </x:is>
      </x:c>
      <x:c r="K95" s="5" t="inlineStr">
        <x:is>
          <x:t xml:space="preserve">Within the data-retention/disposal action item, this internal control is best matched to sanitization/reuse of media; HIPAA does not separately name classification or retention.</x:t>
        </x:is>
      </x:c>
      <x:c r="L95" s="28" t="inlineStr">
        <x:is>
          <x:t xml:space="preserve">https://www.ecfr.gov/current/title-45/subtitle-A/subchapter-C/part-164/section-164.310 | https://www.hhs.gov/hipaa/for-professionals/compliance-enforcement/audit/protocol/index.html | https://www.hhs.gov/hipaa/for-professionals/faq/575/what-does-hipaa-require-of-covered-entities-when-they-dispose-information/index.html</x:t>
        </x:is>
      </x:c>
      <x:c r="M95" s="5" t="inlineStr">
        <x:is>
          <x:t xml:space="preserve">Only the media-reuse/sanitization aspect maps directly to an express HIPAA specification.</x:t>
        </x:is>
      </x:c>
      <x:c r="N95" s="5" t="inlineStr">
        <x:is>
          <x:t xml:space="preserve">19142.06c1 Organizational.8</x:t>
        </x:is>
      </x:c>
      <x:c r="O95" s="5" t="n">
        <x:v>1</x:v>
      </x:c>
      <x:c r="P95" s="5" t="n"/>
      <x:c r="Q95" s="5" t="inlineStr">
        <x:is>
          <x:t xml:space="preserve">Data Classification</x:t>
        </x:is>
      </x:c>
      <x:c r="R95" s="5" t="inlineStr">
        <x:is>
          <x:t xml:space="preserve">Policy</x:t>
        </x:is>
      </x:c>
      <x:c r="S95" s="5" t="n"/>
      <x:c r="T95" s="5" t="inlineStr">
        <x:is>
          <x:t xml:space="preserve">HITRUST e1.csv</x:t>
        </x:is>
      </x:c>
      <x:c r="U95" s="5" t="inlineStr">
        <x:is>
          <x:t xml:space="preserve">45 C.F.R. § 164.310(d)(2)(ii)</x:t>
        </x:is>
      </x:c>
      <x:c r="V95" s="5" t="inlineStr">
        <x:is>
          <x:t xml:space="preserve">Device and Media Controls — Media Re-use</x:t>
        </x:is>
      </x:c>
      <x:c r="W95" s="5" t="inlineStr">
        <x:is>
          <x:t xml:space="preserve">Implement procedures for removing ePHI from electronic media before the media are made available for re-use.</x:t>
        </x:is>
      </x:c>
      <x:c r="X95" s="5" t="inlineStr">
        <x:is>
          <x:t xml:space="preserve">Required implementation specification</x:t>
        </x:is>
      </x:c>
      <x:c r="Y95" s="5" t="inlineStr">
        <x:is>
          <x:t xml:space="preserve">Physical Safeguards</x:t>
        </x:is>
      </x:c>
      <x:c r="Z95" s="28" t="inlineStr">
        <x:is>
          <x:t xml:space="preserve">https://www.ecfr.gov/current/title-45/subtitle-A/subchapter-C/part-164/section-164.310</x:t>
        </x:is>
      </x:c>
      <x:c r="AA95" s="28" t="inlineStr">
        <x:is>
          <x:t xml:space="preserve">https://www.hhs.gov/hipaa/for-professionals/faq/575/what-does-hipaa-require-of-covered-entities-when-they-dispose-information/index.html</x:t>
        </x:is>
      </x:c>
      <x:c r="AB95" s="5" t="n"/>
      <x:c r="AC95" s="5" t="n"/>
      <x:c r="AD95" s="5" t="n"/>
      <x:c r="AE95" s="5" t="n"/>
      <x:c r="AF95" s="5" t="n"/>
      <x:c r="AG95" s="5" t="n"/>
      <x:c r="AH95" s="5" t="n"/>
      <x:c r="AI95" s="5" t="n"/>
      <x:c r="AJ95" s="5" t="n"/>
      <x:c r="AK95" s="5" t="n"/>
      <x:c r="AL95" s="5" t="n"/>
      <x:c r="AM95" s="5" t="n"/>
      <x:c r="AN95" s="5" t="n"/>
      <x:c r="AO95" s="5" t="n"/>
      <x:c r="AP95" s="5" t="inlineStr">
        <x:is>
          <x:t xml:space="preserve">Retention and Disposal</x:t>
        </x:is>
      </x:c>
      <x:c r="AQ95" s="5" t="n"/>
    </x:row>
    <x:row r="96" ht="30" customHeight="1">
      <x:c r="A96" s="5" t="inlineStr">
        <x:is>
          <x:t xml:space="preserve">REQ-67-HIPAA</x:t>
        </x:is>
      </x:c>
      <x:c r="B96" s="5" t="inlineStr">
        <x:is>
          <x:t xml:space="preserve">0305.09q1Organizational.12</x:t>
        </x:is>
      </x:c>
      <x:c r="C96" s="5" t="n">
        <x:v>1</x:v>
      </x:c>
      <x:c r="D96" s="5" t="inlineStr">
        <x:is>
          <x:t xml:space="preserve">Data Classification, Retention and Disposal</x:t>
        </x:is>
      </x:c>
      <x:c r="E96" s="5" t="inlineStr">
        <x:is>
          <x:t xml:space="preserve">Policy</x:t>
        </x:is>
      </x:c>
      <x:c r="F96" s="5" t="inlineStr">
        <x:is>
          <x:t xml:space="preserve">HITRUST e1.csv</x:t>
        </x:is>
      </x:c>
      <x:c r="G96" s="5" t="inlineStr">
        <x:is>
          <x:t xml:space="preserve">Many:Many</x:t>
        </x:is>
      </x:c>
      <x:c r="H96" s="5" t="inlineStr">
        <x:is>
          <x:t xml:space="preserve">45 CFR § 164.310(d)(2)(i)</x:t>
        </x:is>
      </x:c>
      <x:c r="I96" s="5" t="inlineStr">
        <x:is>
          <x:t xml:space="preserve">Device and Media Controls — Disposal</x:t>
        </x:is>
      </x:c>
      <x:c r="J96" s="5" t="inlineStr">
        <x:is>
          <x:t xml:space="preserve">Best-fit</x:t>
        </x:is>
      </x:c>
      <x:c r="K96" s="5" t="inlineStr">
        <x:is>
          <x:t xml:space="preserve">In this overlap set, the control appears through a data-retention/disposal action item, so disposal is the closest direct HIPAA citation.</x:t>
        </x:is>
      </x:c>
      <x:c r="L96"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6" s="5" t="inlineStr">
        <x:is>
          <x:t xml:space="preserve">This same internal control also appears on customer-contract rows elsewhere in the uploaded spreadsheets, but that contractual context is not the shared action item here.</x:t>
        </x:is>
      </x:c>
      <x:c r="N96" s="5" t="inlineStr">
        <x:is>
          <x:t xml:space="preserve">0305.09q1 Organizational.12</x:t>
        </x:is>
      </x:c>
      <x:c r="O96" s="5" t="n">
        <x:v>1</x:v>
      </x:c>
      <x:c r="P96" s="5" t="n"/>
      <x:c r="Q96" s="5" t="inlineStr">
        <x:is>
          <x:t xml:space="preserve">Data Classification</x:t>
        </x:is>
      </x:c>
      <x:c r="R96" s="5" t="inlineStr">
        <x:is>
          <x:t xml:space="preserve">Policy</x:t>
        </x:is>
      </x:c>
      <x:c r="S96" s="5" t="n"/>
      <x:c r="T96" s="5" t="inlineStr">
        <x:is>
          <x:t xml:space="preserve">HITRUST e1.csv</x:t>
        </x:is>
      </x:c>
      <x:c r="U96" s="5" t="inlineStr">
        <x:is>
          <x:t xml:space="preserve">45 C.F.R. § 164.310(d)(2)(i)</x:t>
        </x:is>
      </x:c>
      <x:c r="V96" s="5" t="inlineStr">
        <x:is>
          <x:t xml:space="preserve">Device and Media Controls — Disposal</x:t>
        </x:is>
      </x:c>
      <x:c r="W96" s="5" t="inlineStr">
        <x:is>
          <x:t xml:space="preserve">Implement policies and procedures to address the final disposition of ePHI and the hardware or electronic media on which it is stored.</x:t>
        </x:is>
      </x:c>
      <x:c r="X96" s="5" t="inlineStr">
        <x:is>
          <x:t xml:space="preserve">Required implementation specification</x:t>
        </x:is>
      </x:c>
      <x:c r="Y96" s="5" t="inlineStr">
        <x:is>
          <x:t xml:space="preserve">Physical Safeguards</x:t>
        </x:is>
      </x:c>
      <x:c r="Z96" s="28" t="inlineStr">
        <x:is>
          <x:t xml:space="preserve">https://www.ecfr.gov/current/title-45/subtitle-A/subchapter-C/part-164/section-164.310</x:t>
        </x:is>
      </x:c>
      <x:c r="AA96" s="28" t="inlineStr">
        <x:is>
          <x:t xml:space="preserve">https://www.hhs.gov/hipaa/for-professionals/faq/575/what-does-hipaa-require-of-covered-entities-when-they-dispose-information/index.html</x:t>
        </x:is>
      </x:c>
      <x:c r="AB96" s="5" t="n"/>
      <x:c r="AC96" s="5" t="n"/>
      <x:c r="AD96" s="5" t="n"/>
      <x:c r="AE96" s="5" t="n"/>
      <x:c r="AF96" s="5" t="n"/>
      <x:c r="AG96" s="5" t="n"/>
      <x:c r="AH96" s="5" t="n"/>
      <x:c r="AI96" s="5" t="n"/>
      <x:c r="AJ96" s="5" t="n"/>
      <x:c r="AK96" s="5" t="n"/>
      <x:c r="AL96" s="5" t="n"/>
      <x:c r="AM96" s="5" t="n"/>
      <x:c r="AN96" s="5" t="n"/>
      <x:c r="AO96" s="5" t="n"/>
      <x:c r="AP96" s="5" t="inlineStr">
        <x:is>
          <x:t xml:space="preserve">Retention and Disposal</x:t>
        </x:is>
      </x:c>
      <x:c r="AQ96" s="5" t="n"/>
    </x:row>
    <x:row r="97" ht="30" customHeight="1">
      <x:c r="A97" s="5" t="inlineStr">
        <x:is>
          <x:t xml:space="preserve">REQ-67-HIPAA</x:t>
        </x:is>
      </x:c>
      <x:c r="B97" s="5" t="inlineStr">
        <x:is>
          <x:t xml:space="preserve">1239.09aa1System.4</x:t>
        </x:is>
      </x:c>
      <x:c r="C97" s="5" t="n">
        <x:v>1</x:v>
      </x:c>
      <x:c r="D97" s="5" t="inlineStr">
        <x:is>
          <x:t xml:space="preserve">Data Classification, Retention and Disposal</x:t>
        </x:is>
      </x:c>
      <x:c r="E97" s="5" t="inlineStr">
        <x:is>
          <x:t xml:space="preserve">Policy</x:t>
        </x:is>
      </x:c>
      <x:c r="F97" s="5" t="inlineStr">
        <x:is>
          <x:t xml:space="preserve">HITRUST e1.csv</x:t>
        </x:is>
      </x:c>
      <x:c r="G97" s="5" t="inlineStr">
        <x:is>
          <x:t xml:space="preserve">Many:Many</x:t>
        </x:is>
      </x:c>
      <x:c r="H97" s="5" t="inlineStr">
        <x:is>
          <x:t xml:space="preserve">45 CFR § 164.310(d)(2)(i)</x:t>
        </x:is>
      </x:c>
      <x:c r="I97" s="5" t="inlineStr">
        <x:is>
          <x:t xml:space="preserve">Device and Media Controls — Disposal</x:t>
        </x:is>
      </x:c>
      <x:c r="J97" s="5" t="inlineStr">
        <x:is>
          <x:t xml:space="preserve">Best-fit</x:t>
        </x:is>
      </x:c>
      <x:c r="K97" s="5" t="inlineStr">
        <x:is>
          <x:t xml:space="preserve">In this overlap set, the control appears through a data-retention/disposal action item, so disposal is the closest direct HIPAA citation.</x:t>
        </x:is>
      </x:c>
      <x:c r="L97"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7" s="5" t="inlineStr">
        <x:is>
          <x:t xml:space="preserve">This same internal control also appears on customer-contract rows elsewhere in the uploaded spreadsheets, but that contractual context is not the shared action item here.</x:t>
        </x:is>
      </x:c>
      <x:c r="N97" s="5" t="inlineStr">
        <x:is>
          <x:t xml:space="preserve">1239.09aa1 System.4</x:t>
        </x:is>
      </x:c>
      <x:c r="O97" s="5" t="n">
        <x:v>1</x:v>
      </x:c>
      <x:c r="P97" s="5" t="n"/>
      <x:c r="Q97" s="5" t="inlineStr">
        <x:is>
          <x:t xml:space="preserve">Data Classification</x:t>
        </x:is>
      </x:c>
      <x:c r="R97" s="5" t="inlineStr">
        <x:is>
          <x:t xml:space="preserve">Policy</x:t>
        </x:is>
      </x:c>
      <x:c r="S97" s="5" t="n"/>
      <x:c r="T97" s="5" t="inlineStr">
        <x:is>
          <x:t xml:space="preserve">HITRUST e1.csv</x:t>
        </x:is>
      </x:c>
      <x:c r="U97" s="5" t="inlineStr">
        <x:is>
          <x:t xml:space="preserve">45 C.F.R. § 164.310(d)(2)(i)</x:t>
        </x:is>
      </x:c>
      <x:c r="V97" s="5" t="inlineStr">
        <x:is>
          <x:t xml:space="preserve">Device and Media Controls — Disposal</x:t>
        </x:is>
      </x:c>
      <x:c r="W97" s="5" t="inlineStr">
        <x:is>
          <x:t xml:space="preserve">Implement policies and procedures to address the final disposition of ePHI and the hardware or electronic media on which it is stored.</x:t>
        </x:is>
      </x:c>
      <x:c r="X97" s="5" t="inlineStr">
        <x:is>
          <x:t xml:space="preserve">Required implementation specification</x:t>
        </x:is>
      </x:c>
      <x:c r="Y97" s="5" t="inlineStr">
        <x:is>
          <x:t xml:space="preserve">Physical Safeguards</x:t>
        </x:is>
      </x:c>
      <x:c r="Z97" s="28" t="inlineStr">
        <x:is>
          <x:t xml:space="preserve">https://www.ecfr.gov/current/title-45/subtitle-A/subchapter-C/part-164/section-164.310</x:t>
        </x:is>
      </x:c>
      <x:c r="AA97" s="28" t="inlineStr">
        <x:is>
          <x:t xml:space="preserve">https://www.hhs.gov/hipaa/for-professionals/faq/575/what-does-hipaa-require-of-covered-entities-when-they-dispose-information/index.html</x:t>
        </x:is>
      </x:c>
      <x:c r="AB97" s="5" t="n"/>
      <x:c r="AC97" s="5" t="n"/>
      <x:c r="AD97" s="5" t="n"/>
      <x:c r="AE97" s="5" t="n"/>
      <x:c r="AF97" s="5" t="n"/>
      <x:c r="AG97" s="5" t="n"/>
      <x:c r="AH97" s="5" t="n"/>
      <x:c r="AI97" s="5" t="n"/>
      <x:c r="AJ97" s="5" t="n"/>
      <x:c r="AK97" s="5" t="n"/>
      <x:c r="AL97" s="5" t="n"/>
      <x:c r="AM97" s="5" t="n"/>
      <x:c r="AN97" s="5" t="n"/>
      <x:c r="AO97" s="5" t="n"/>
      <x:c r="AP97" s="5" t="inlineStr">
        <x:is>
          <x:t xml:space="preserve">Retention and Disposal</x:t>
        </x:is>
      </x:c>
      <x:c r="AQ97" s="5" t="n"/>
    </x:row>
    <x:row r="98" ht="30" customHeight="1">
      <x:c r="A98" s="5" t="inlineStr">
        <x:is>
          <x:t xml:space="preserve">REQ-67-HIPAA</x:t>
        </x:is>
      </x:c>
      <x:c r="B98" s="5" t="inlineStr">
        <x:is>
          <x:t xml:space="preserve">1616.09l1Organizational.16</x:t>
        </x:is>
      </x:c>
      <x:c r="C98" s="5" t="n">
        <x:v>1</x:v>
      </x:c>
      <x:c r="D98" s="5" t="inlineStr">
        <x:is>
          <x:t xml:space="preserve">Data Classification, Retention and Disposal</x:t>
        </x:is>
      </x:c>
      <x:c r="E98" s="5" t="inlineStr">
        <x:is>
          <x:t xml:space="preserve">Policy</x:t>
        </x:is>
      </x:c>
      <x:c r="F98" s="5" t="inlineStr">
        <x:is>
          <x:t xml:space="preserve">HITRUST e1.csv</x:t>
        </x:is>
      </x:c>
      <x:c r="G98" s="5" t="inlineStr">
        <x:is>
          <x:t xml:space="preserve">Many:Many</x:t>
        </x:is>
      </x:c>
      <x:c r="H98" s="5" t="inlineStr">
        <x:is>
          <x:t xml:space="preserve">45 CFR § 164.310(d)(2)(i)</x:t>
        </x:is>
      </x:c>
      <x:c r="I98" s="5" t="inlineStr">
        <x:is>
          <x:t xml:space="preserve">Device and Media Controls — Disposal</x:t>
        </x:is>
      </x:c>
      <x:c r="J98" s="5" t="inlineStr">
        <x:is>
          <x:t xml:space="preserve">Best-fit</x:t>
        </x:is>
      </x:c>
      <x:c r="K98" s="5" t="inlineStr">
        <x:is>
          <x:t xml:space="preserve">In this overlap set, the control appears through a data-retention/disposal action item, so disposal is the closest direct HIPAA citation.</x:t>
        </x:is>
      </x:c>
      <x:c r="L98"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8" s="5" t="inlineStr">
        <x:is>
          <x:t xml:space="preserve">This same internal control also appears on customer-contract rows elsewhere in the uploaded spreadsheets, but that contractual context is not the shared action item here.</x:t>
        </x:is>
      </x:c>
      <x:c r="N98" s="5" t="inlineStr">
        <x:is>
          <x:t xml:space="preserve">1616.09l1 Organizational.16</x:t>
        </x:is>
      </x:c>
      <x:c r="O98" s="5" t="n">
        <x:v>1</x:v>
      </x:c>
      <x:c r="P98" s="5" t="n"/>
      <x:c r="Q98" s="5" t="inlineStr">
        <x:is>
          <x:t xml:space="preserve">Data Classification</x:t>
        </x:is>
      </x:c>
      <x:c r="R98" s="5" t="inlineStr">
        <x:is>
          <x:t xml:space="preserve">Policy</x:t>
        </x:is>
      </x:c>
      <x:c r="S98" s="5" t="n"/>
      <x:c r="T98" s="5" t="inlineStr">
        <x:is>
          <x:t xml:space="preserve">HITRUST e1.csv</x:t>
        </x:is>
      </x:c>
      <x:c r="U98" s="5" t="inlineStr">
        <x:is>
          <x:t xml:space="preserve">45 C.F.R. § 164.310(d)(2)(i)</x:t>
        </x:is>
      </x:c>
      <x:c r="V98" s="5" t="inlineStr">
        <x:is>
          <x:t xml:space="preserve">Device and Media Controls — Disposal</x:t>
        </x:is>
      </x:c>
      <x:c r="W98" s="5" t="inlineStr">
        <x:is>
          <x:t xml:space="preserve">Implement policies and procedures to address the final disposition of ePHI and the hardware or electronic media on which it is stored.</x:t>
        </x:is>
      </x:c>
      <x:c r="X98" s="5" t="inlineStr">
        <x:is>
          <x:t xml:space="preserve">Required implementation specification</x:t>
        </x:is>
      </x:c>
      <x:c r="Y98" s="5" t="inlineStr">
        <x:is>
          <x:t xml:space="preserve">Physical Safeguards</x:t>
        </x:is>
      </x:c>
      <x:c r="Z98" s="28" t="inlineStr">
        <x:is>
          <x:t xml:space="preserve">https://www.ecfr.gov/current/title-45/subtitle-A/subchapter-C/part-164/section-164.310</x:t>
        </x:is>
      </x:c>
      <x:c r="AA98" s="28" t="inlineStr">
        <x:is>
          <x:t xml:space="preserve">https://www.hhs.gov/hipaa/for-professionals/faq/575/what-does-hipaa-require-of-covered-entities-when-they-dispose-information/index.html</x:t>
        </x:is>
      </x:c>
      <x:c r="AB98" s="5" t="n"/>
      <x:c r="AC98" s="5" t="n"/>
      <x:c r="AD98" s="5" t="n"/>
      <x:c r="AE98" s="5" t="n"/>
      <x:c r="AF98" s="5" t="n"/>
      <x:c r="AG98" s="5" t="n"/>
      <x:c r="AH98" s="5" t="n"/>
      <x:c r="AI98" s="5" t="n"/>
      <x:c r="AJ98" s="5" t="n"/>
      <x:c r="AK98" s="5" t="n"/>
      <x:c r="AL98" s="5" t="n"/>
      <x:c r="AM98" s="5" t="n"/>
      <x:c r="AN98" s="5" t="n"/>
      <x:c r="AO98" s="5" t="n"/>
      <x:c r="AP98" s="5" t="inlineStr">
        <x:is>
          <x:t xml:space="preserve">Retention and Disposal</x:t>
        </x:is>
      </x:c>
      <x:c r="AQ98" s="5" t="n"/>
    </x:row>
    <x:row r="99" ht="30" customHeight="1">
      <x:c r="A99" s="5" t="inlineStr">
        <x:is>
          <x:t xml:space="preserve">REQ-67-HIPAA</x:t>
        </x:is>
      </x:c>
      <x:c r="B99" s="5" t="inlineStr">
        <x:is>
          <x:t xml:space="preserve">1767.07d1Organizational.2</x:t>
        </x:is>
      </x:c>
      <x:c r="C99" s="5" t="n">
        <x:v>1</x:v>
      </x:c>
      <x:c r="D99" s="5" t="inlineStr">
        <x:is>
          <x:t xml:space="preserve">Data Classification, Retention and Disposal</x:t>
        </x:is>
      </x:c>
      <x:c r="E99" s="5" t="inlineStr">
        <x:is>
          <x:t xml:space="preserve">Policy</x:t>
        </x:is>
      </x:c>
      <x:c r="F99" s="5" t="inlineStr">
        <x:is>
          <x:t xml:space="preserve">HITRUST e1.csv</x:t>
        </x:is>
      </x:c>
      <x:c r="G99" s="5" t="inlineStr">
        <x:is>
          <x:t xml:space="preserve">Many:Many</x:t>
        </x:is>
      </x:c>
      <x:c r="H99" s="5" t="inlineStr">
        <x:is>
          <x:t xml:space="preserve">45 CFR § 164.310(d)(2)(i)</x:t>
        </x:is>
      </x:c>
      <x:c r="I99" s="5" t="inlineStr">
        <x:is>
          <x:t xml:space="preserve">Device and Media Controls — Disposal</x:t>
        </x:is>
      </x:c>
      <x:c r="J99" s="5" t="inlineStr">
        <x:is>
          <x:t xml:space="preserve">Best-fit</x:t>
        </x:is>
      </x:c>
      <x:c r="K99" s="5" t="inlineStr">
        <x:is>
          <x:t xml:space="preserve">In this overlap set, the control appears through a data-retention/disposal action item, so disposal is the closest direct HIPAA citation.</x:t>
        </x:is>
      </x:c>
      <x:c r="L99"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99" s="5" t="inlineStr">
        <x:is>
          <x:t xml:space="preserve">This same internal control also appears on customer-contract rows elsewhere in the uploaded spreadsheets, but that contractual context is not the shared action item here.</x:t>
        </x:is>
      </x:c>
      <x:c r="N99" s="5" t="inlineStr">
        <x:is>
          <x:t xml:space="preserve">1767.07d1 Organizational.2</x:t>
        </x:is>
      </x:c>
      <x:c r="O99" s="5" t="n">
        <x:v>1</x:v>
      </x:c>
      <x:c r="P99" s="5" t="n"/>
      <x:c r="Q99" s="5" t="inlineStr">
        <x:is>
          <x:t xml:space="preserve">Data Classification</x:t>
        </x:is>
      </x:c>
      <x:c r="R99" s="5" t="inlineStr">
        <x:is>
          <x:t xml:space="preserve">Policy</x:t>
        </x:is>
      </x:c>
      <x:c r="S99" s="5" t="n"/>
      <x:c r="T99" s="5" t="inlineStr">
        <x:is>
          <x:t xml:space="preserve">HITRUST e1.csv</x:t>
        </x:is>
      </x:c>
      <x:c r="U99" s="5" t="inlineStr">
        <x:is>
          <x:t xml:space="preserve">45 C.F.R. § 164.310(d)(2)(i)</x:t>
        </x:is>
      </x:c>
      <x:c r="V99" s="5" t="inlineStr">
        <x:is>
          <x:t xml:space="preserve">Device and Media Controls — Disposal</x:t>
        </x:is>
      </x:c>
      <x:c r="W99" s="5" t="inlineStr">
        <x:is>
          <x:t xml:space="preserve">Implement policies and procedures to address the final disposition of ePHI and the hardware or electronic media on which it is stored.</x:t>
        </x:is>
      </x:c>
      <x:c r="X99" s="5" t="inlineStr">
        <x:is>
          <x:t xml:space="preserve">Required implementation specification</x:t>
        </x:is>
      </x:c>
      <x:c r="Y99" s="5" t="inlineStr">
        <x:is>
          <x:t xml:space="preserve">Physical Safeguards</x:t>
        </x:is>
      </x:c>
      <x:c r="Z99" s="28" t="inlineStr">
        <x:is>
          <x:t xml:space="preserve">https://www.ecfr.gov/current/title-45/subtitle-A/subchapter-C/part-164/section-164.310</x:t>
        </x:is>
      </x:c>
      <x:c r="AA99" s="28" t="inlineStr">
        <x:is>
          <x:t xml:space="preserve">https://www.hhs.gov/hipaa/for-professionals/faq/575/what-does-hipaa-require-of-covered-entities-when-they-dispose-information/index.html</x:t>
        </x:is>
      </x:c>
      <x:c r="AB99" s="5" t="n"/>
      <x:c r="AC99" s="5" t="n"/>
      <x:c r="AD99" s="5" t="n"/>
      <x:c r="AE99" s="5" t="n"/>
      <x:c r="AF99" s="5" t="n"/>
      <x:c r="AG99" s="5" t="n"/>
      <x:c r="AH99" s="5" t="n"/>
      <x:c r="AI99" s="5" t="n"/>
      <x:c r="AJ99" s="5" t="n"/>
      <x:c r="AK99" s="5" t="n"/>
      <x:c r="AL99" s="5" t="n"/>
      <x:c r="AM99" s="5" t="n"/>
      <x:c r="AN99" s="5" t="n"/>
      <x:c r="AO99" s="5" t="n"/>
      <x:c r="AP99" s="5" t="inlineStr">
        <x:is>
          <x:t xml:space="preserve">Retention and Disposal</x:t>
        </x:is>
      </x:c>
      <x:c r="AQ99" s="5" t="n"/>
    </x:row>
    <x:row r="100" ht="30" customHeight="1">
      <x:c r="A100" s="5" t="inlineStr">
        <x:is>
          <x:t xml:space="preserve">REQ-67-HIPAA</x:t>
        </x:is>
      </x:c>
      <x:c r="B100" s="5" t="inlineStr">
        <x:is>
          <x:t xml:space="preserve">19142.06c1Organizational.8</x:t>
        </x:is>
      </x:c>
      <x:c r="C100" s="5" t="n">
        <x:v>1</x:v>
      </x:c>
      <x:c r="D100" s="5" t="inlineStr">
        <x:is>
          <x:t xml:space="preserve">Data Classification, Retention and Disposal</x:t>
        </x:is>
      </x:c>
      <x:c r="E100" s="5" t="inlineStr">
        <x:is>
          <x:t xml:space="preserve">Policy</x:t>
        </x:is>
      </x:c>
      <x:c r="F100" s="5" t="inlineStr">
        <x:is>
          <x:t xml:space="preserve">HITRUST e1.csv</x:t>
        </x:is>
      </x:c>
      <x:c r="G100" s="5" t="inlineStr">
        <x:is>
          <x:t xml:space="preserve">Many:Many</x:t>
        </x:is>
      </x:c>
      <x:c r="H100" s="5" t="inlineStr">
        <x:is>
          <x:t xml:space="preserve">45 CFR § 164.310(d)(2)(i)</x:t>
        </x:is>
      </x:c>
      <x:c r="I100" s="5" t="inlineStr">
        <x:is>
          <x:t xml:space="preserve">Device and Media Controls — Disposal</x:t>
        </x:is>
      </x:c>
      <x:c r="J100" s="5" t="inlineStr">
        <x:is>
          <x:t xml:space="preserve">Best-fit</x:t>
        </x:is>
      </x:c>
      <x:c r="K100" s="5" t="inlineStr">
        <x:is>
          <x:t xml:space="preserve">In this overlap set, the control appears through a data-retention/disposal action item, so disposal is the closest direct HIPAA citation.</x:t>
        </x:is>
      </x:c>
      <x:c r="L100" s="28" t="inlineStr">
        <x:is>
          <x:t xml:space="preserve">https://www.ecfr.gov/current/title-45/subtitle-A/subchapter-C/part-164/section-164.310 | https://www.hhs.gov/hipaa/for-professionals/faq/575/what-does-hipaa-require-of-covered-entities-when-they-dispose-information/index.html | https://www.hhs.gov/hipaa/for-professionals/compliance-enforcement/audit/protocol/index.html</x:t>
        </x:is>
      </x:c>
      <x:c r="M100" s="5" t="inlineStr">
        <x:is>
          <x:t xml:space="preserve">This same internal control also appears on customer-contract rows elsewhere in the uploaded spreadsheets, but that contractual context is not the shared action item here.</x:t>
        </x:is>
      </x:c>
      <x:c r="N100" s="5" t="inlineStr">
        <x:is>
          <x:t xml:space="preserve">19142.06c1 Organizational.8</x:t>
        </x:is>
      </x:c>
      <x:c r="O100" s="5" t="n">
        <x:v>1</x:v>
      </x:c>
      <x:c r="P100" s="5" t="n"/>
      <x:c r="Q100" s="5" t="inlineStr">
        <x:is>
          <x:t xml:space="preserve">Data Classification</x:t>
        </x:is>
      </x:c>
      <x:c r="R100" s="5" t="inlineStr">
        <x:is>
          <x:t xml:space="preserve">Policy</x:t>
        </x:is>
      </x:c>
      <x:c r="S100" s="5" t="n"/>
      <x:c r="T100" s="5" t="inlineStr">
        <x:is>
          <x:t xml:space="preserve">HITRUST e1.csv</x:t>
        </x:is>
      </x:c>
      <x:c r="U100" s="5" t="inlineStr">
        <x:is>
          <x:t xml:space="preserve">45 C.F.R. § 164.310(d)(2)(i)</x:t>
        </x:is>
      </x:c>
      <x:c r="V100" s="5" t="inlineStr">
        <x:is>
          <x:t xml:space="preserve">Device and Media Controls — Disposal</x:t>
        </x:is>
      </x:c>
      <x:c r="W100" s="5" t="inlineStr">
        <x:is>
          <x:t xml:space="preserve">Implement policies and procedures to address the final disposition of ePHI and the hardware or electronic media on which it is stored.</x:t>
        </x:is>
      </x:c>
      <x:c r="X100" s="5" t="inlineStr">
        <x:is>
          <x:t xml:space="preserve">Required implementation specification</x:t>
        </x:is>
      </x:c>
      <x:c r="Y100" s="5" t="inlineStr">
        <x:is>
          <x:t xml:space="preserve">Physical Safeguards</x:t>
        </x:is>
      </x:c>
      <x:c r="Z100" s="28" t="inlineStr">
        <x:is>
          <x:t xml:space="preserve">https://www.ecfr.gov/current/title-45/subtitle-A/subchapter-C/part-164/section-164.310</x:t>
        </x:is>
      </x:c>
      <x:c r="AA100" s="28" t="inlineStr">
        <x:is>
          <x:t xml:space="preserve">https://www.hhs.gov/hipaa/for-professionals/faq/575/what-does-hipaa-require-of-covered-entities-when-they-dispose-information/index.html</x:t>
        </x:is>
      </x:c>
      <x:c r="AB100" s="5" t="n"/>
      <x:c r="AC100" s="5" t="n"/>
      <x:c r="AD100" s="5" t="n"/>
      <x:c r="AE100" s="5" t="n"/>
      <x:c r="AF100" s="5" t="n"/>
      <x:c r="AG100" s="5" t="n"/>
      <x:c r="AH100" s="5" t="n"/>
      <x:c r="AI100" s="5" t="n"/>
      <x:c r="AJ100" s="5" t="n"/>
      <x:c r="AK100" s="5" t="n"/>
      <x:c r="AL100" s="5" t="n"/>
      <x:c r="AM100" s="5" t="n"/>
      <x:c r="AN100" s="5" t="n"/>
      <x:c r="AO100" s="5" t="n"/>
      <x:c r="AP100" s="5" t="inlineStr">
        <x:is>
          <x:t xml:space="preserve">Retention and Disposal</x:t>
        </x:is>
      </x:c>
      <x:c r="AQ100" s="5" t="n"/>
    </x:row>
    <x:row r="101" ht="30" customHeight="1">
      <x:c r="A101" s="5" t="inlineStr">
        <x:is>
          <x:t xml:space="preserve">REQ-995-HIPAA</x:t>
        </x:is>
      </x:c>
      <x:c r="B101" s="5" t="inlineStr">
        <x:is>
          <x:t xml:space="preserve">06.09b1System.2</x:t>
        </x:is>
      </x:c>
      <x:c r="C101" s="5" t="n">
        <x:v>1</x:v>
      </x:c>
      <x:c r="D101" s="5" t="inlineStr">
        <x:is>
          <x:t xml:space="preserve">All Software and Infrastructure Production Changes During the Review Period [INSERT EXAM PERIOD]</x:t>
        </x:is>
      </x:c>
      <x:c r="E101" s="5" t="inlineStr">
        <x:is>
          <x:t xml:space="preserve">Population</x:t>
        </x:is>
      </x:c>
      <x:c r="F101" s="5" t="inlineStr">
        <x:is>
          <x:t xml:space="preserve">HITRUST e1.csv</x:t>
        </x:is>
      </x:c>
      <x:c r="G101" s="5" t="inlineStr">
        <x:is>
          <x:t xml:space="preserve">Many:Many</x:t>
        </x:is>
      </x:c>
      <x:c r="H101" s="5" t="inlineStr">
        <x:is>
          <x:t xml:space="preserve">45 CFR § 164.308(a)(8) | 45 CFR § 164.316(b)(1)</x:t>
        </x:is>
      </x:c>
      <x:c r="I101" s="5" t="inlineStr">
        <x:is>
          <x:t xml:space="preserve">Evaluation | Documentation</x:t>
        </x:is>
      </x:c>
      <x:c r="J101" s="5" t="inlineStr">
        <x:is>
          <x:t xml:space="preserve">Best-fit composite</x:t>
        </x:is>
      </x:c>
      <x:c r="K101" s="5" t="inlineStr">
        <x:is>
          <x:t xml:space="preserve">Generic population/evidence control used to show production changes during the review period.</x:t>
        </x:is>
      </x:c>
      <x:c r="L101"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101" s="5" t="inlineStr">
        <x:is>
          <x:t xml:space="preserve">Internal control is generic; citation follows the specific evidence row context.</x:t>
        </x:is>
      </x:c>
      <x:c r="N101" s="5" t="inlineStr">
        <x:is>
          <x:t xml:space="preserve">06.09b1 System.2</x:t>
        </x:is>
      </x:c>
      <x:c r="O101" s="5" t="n">
        <x:v>2</x:v>
      </x:c>
      <x:c r="P101" s="5" t="n"/>
      <x:c r="Q101" s="5" t="inlineStr">
        <x:is>
          <x:t xml:space="preserve">All Software and Infrastructure Production Changes During the Review Period [INSERT EXAM PERIOD]</x:t>
        </x:is>
      </x:c>
      <x:c r="R101" s="5" t="inlineStr">
        <x:is>
          <x:t xml:space="preserve">Population</x:t>
        </x:is>
      </x:c>
      <x:c r="S101" s="5" t="n"/>
      <x:c r="T101" s="5" t="inlineStr">
        <x:is>
          <x:t xml:space="preserve">HITRUST e1.csv</x:t>
        </x:is>
      </x:c>
      <x:c r="U101" s="5" t="inlineStr">
        <x:is>
          <x:t xml:space="preserve">45 C.F.R. § 164.308(a)(8)</x:t>
        </x:is>
      </x:c>
      <x:c r="V101" s="5" t="inlineStr">
        <x:is>
          <x:t xml:space="preserve">Evaluation</x:t>
        </x:is>
      </x:c>
      <x:c r="W101" s="5" t="inlineStr">
        <x:is>
          <x:t xml:space="preserve">Perform periodic technical and nontechnical evaluations, and repeat them in response to environmental or operational changes affecting the security of ePHI.</x:t>
        </x:is>
      </x:c>
      <x:c r="X101" s="5" t="inlineStr">
        <x:is>
          <x:t xml:space="preserve">Required standard</x:t>
        </x:is>
      </x:c>
      <x:c r="Y101" s="5" t="inlineStr">
        <x:is>
          <x:t xml:space="preserve">Administrative Safeguards</x:t>
        </x:is>
      </x:c>
      <x:c r="Z101" s="28" t="inlineStr">
        <x:is>
          <x:t xml:space="preserve">https://www.ecfr.gov/current/title-45/subtitle-A/subchapter-C/part-164/section-164.308</x:t>
        </x:is>
      </x:c>
      <x:c r="AA101" s="28" t="inlineStr">
        <x:is>
          <x:t xml:space="preserve">https://www.hhs.gov/ocr/privacy/hipaa/administrative/securityrule/index.html</x:t>
        </x:is>
      </x:c>
      <x:c r="AB101" s="5" t="inlineStr">
        <x:is>
          <x:t xml:space="preserve">45 C.F.R. § 164.316(b)(1)</x:t>
        </x:is>
      </x:c>
      <x:c r="AC101" s="5" t="inlineStr">
        <x:is>
          <x:t xml:space="preserve">Documentation</x:t>
        </x:is>
      </x:c>
      <x:c r="AD101" s="5" t="inlineStr">
        <x:is>
          <x:t xml:space="preserve">Maintain written or electronic policies and procedures implemented to comply with the Security Rule and written or electronic records of required actions, activities, and assessments.</x:t>
        </x:is>
      </x:c>
      <x:c r="AE101" s="5" t="inlineStr">
        <x:is>
          <x:t xml:space="preserve">Standard</x:t>
        </x:is>
      </x:c>
      <x:c r="AF101" s="5" t="inlineStr">
        <x:is>
          <x:t xml:space="preserve">Policies / Documentation</x:t>
        </x:is>
      </x:c>
      <x:c r="AG101" s="28" t="inlineStr">
        <x:is>
          <x:t xml:space="preserve">https://www.ecfr.gov/current/title-45/subtitle-A/subchapter-C/part-164/section-164.316</x:t>
        </x:is>
      </x:c>
      <x:c r="AH101" s="28" t="inlineStr">
        <x:is>
          <x:t xml:space="preserve">https://www.hhs.gov/sites/default/files/ocr/privacy/hipaa/administrative/securityrule/pprequirements.pdf</x:t>
        </x:is>
      </x:c>
      <x:c r="AI101" s="5" t="n"/>
      <x:c r="AJ101" s="5" t="n"/>
      <x:c r="AK101" s="5" t="n"/>
      <x:c r="AL101" s="5" t="n"/>
      <x:c r="AM101" s="5" t="n"/>
      <x:c r="AN101" s="5" t="n"/>
      <x:c r="AO101" s="5" t="n"/>
      <x:c r="AP101" s="5" t="n"/>
      <x:c r="AQ101" s="5" t="n"/>
    </x:row>
    <x:row r="102" ht="30" customHeight="1">
      <x:c r="A102" s="5" t="inlineStr">
        <x:is>
          <x:t xml:space="preserve">REQ-995-HIPAA</x:t>
        </x:is>
      </x:c>
      <x:c r="B102" s="5" t="inlineStr">
        <x:is>
          <x:t xml:space="preserve">11143.02i1Organizational.3</x:t>
        </x:is>
      </x:c>
      <x:c r="C102" s="5" t="n">
        <x:v>1</x:v>
      </x:c>
      <x:c r="D102" s="5" t="inlineStr">
        <x:is>
          <x:t xml:space="preserve">All Terminated Employees During the Review Period [INSERT EXAM PERIOD]</x:t>
        </x:is>
      </x:c>
      <x:c r="E102" s="5" t="inlineStr">
        <x:is>
          <x:t xml:space="preserve">Population</x:t>
        </x:is>
      </x:c>
      <x:c r="F102" s="5" t="inlineStr">
        <x:is>
          <x:t xml:space="preserve">HITRUST e1.csv</x:t>
        </x:is>
      </x:c>
      <x:c r="G102" s="5" t="inlineStr">
        <x:is>
          <x:t xml:space="preserve">Many:1</x:t>
        </x:is>
      </x:c>
      <x:c r="H102" s="5" t="inlineStr">
        <x:is>
          <x:t xml:space="preserve">45 CFR § 164.308(a)(3)(ii)(C) | 45 CFR § 164.316(b)(1)</x:t>
        </x:is>
      </x:c>
      <x:c r="I102" s="5" t="inlineStr">
        <x:is>
          <x:t xml:space="preserve">Workforce Security — Termination Procedures | Documentation</x:t>
        </x:is>
      </x:c>
      <x:c r="J102" s="5" t="inlineStr">
        <x:is>
          <x:t xml:space="preserve">Best-fit composite</x:t>
        </x:is>
      </x:c>
      <x:c r="K102" s="5" t="inlineStr">
        <x:is>
          <x:t xml:space="preserve">Generic population/evidence control used to show termination-related access removals during the review period.</x:t>
        </x:is>
      </x:c>
      <x:c r="L102" s="28" t="inlineStr">
        <x:is>
          <x:t xml:space="preserve">https://www.ecfr.gov/current/title-45/subtitle-A/subchapter-C/part-164/section-164.308 | https://www.ecfr.gov/current/title-45/subtitle-A/subchapter-C/part-164/section-164.316 | https://www.hhs.gov/hipaa/for-professionals/compliance-enforcement/audit/protocol/index.html | https://www.hhs.gov/hipaa/for-professionals/security/guidance/cybersecurity-newsletter-summer-2019/index.html</x:t>
        </x:is>
      </x:c>
      <x:c r="M102" s="5" t="inlineStr">
        <x:is>
          <x:t xml:space="preserve">Internal control is generic; citation follows the specific evidence row context.</x:t>
        </x:is>
      </x:c>
      <x:c r="N102" s="5" t="inlineStr">
        <x:is>
          <x:t xml:space="preserve">11143.02i1 Organizational.3</x:t>
        </x:is>
      </x:c>
      <x:c r="O102" s="5" t="n">
        <x:v>2</x:v>
      </x:c>
      <x:c r="P102" s="5" t="n"/>
      <x:c r="Q102" s="5" t="inlineStr">
        <x:is>
          <x:t xml:space="preserve">All Terminated Employees During the Review Period [INSERT EXAM PERIOD]</x:t>
        </x:is>
      </x:c>
      <x:c r="R102" s="5" t="inlineStr">
        <x:is>
          <x:t xml:space="preserve">Population</x:t>
        </x:is>
      </x:c>
      <x:c r="S102" s="5" t="n"/>
      <x:c r="T102" s="5" t="inlineStr">
        <x:is>
          <x:t xml:space="preserve">HITRUST e1.csv</x:t>
        </x:is>
      </x:c>
      <x:c r="U102" s="5" t="inlineStr">
        <x:is>
          <x:t xml:space="preserve">45 C.F.R. § 164.308(a)(3)(ii)(C)</x:t>
        </x:is>
      </x:c>
      <x:c r="V102" s="5" t="inlineStr">
        <x:is>
          <x:t xml:space="preserve">Workforce Security — Termination Procedures</x:t>
        </x:is>
      </x:c>
      <x:c r="W102" s="5" t="inlineStr">
        <x:is>
          <x:t xml:space="preserve">Implement procedures for terminating a workforce member’s access to ePHI when employment ends or when access should otherwise be removed.</x:t>
        </x:is>
      </x:c>
      <x:c r="X102" s="5" t="inlineStr">
        <x:is>
          <x:t xml:space="preserve">Addressable implementation specification</x:t>
        </x:is>
      </x:c>
      <x:c r="Y102" s="5" t="inlineStr">
        <x:is>
          <x:t xml:space="preserve">Administrative Safeguards</x:t>
        </x:is>
      </x:c>
      <x:c r="Z102" s="28" t="inlineStr">
        <x:is>
          <x:t xml:space="preserve">https://www.ecfr.gov/current/title-45/subtitle-A/subchapter-C/part-164/section-164.308</x:t>
        </x:is>
      </x:c>
      <x:c r="AA102" s="28" t="inlineStr">
        <x:is>
          <x:t xml:space="preserve">https://www.hhs.gov/hipaa/for-professionals/security/guidance/cybersecurity-newsletter-summer-2019/index.html</x:t>
        </x:is>
      </x:c>
      <x:c r="AB102" s="5" t="inlineStr">
        <x:is>
          <x:t xml:space="preserve">45 C.F.R. § 164.316(b)(1)</x:t>
        </x:is>
      </x:c>
      <x:c r="AC102" s="5" t="inlineStr">
        <x:is>
          <x:t xml:space="preserve">Documentation</x:t>
        </x:is>
      </x:c>
      <x:c r="AD102" s="5" t="inlineStr">
        <x:is>
          <x:t xml:space="preserve">Maintain written or electronic policies and procedures implemented to comply with the Security Rule and written or electronic records of required actions, activities, and assessments.</x:t>
        </x:is>
      </x:c>
      <x:c r="AE102" s="5" t="inlineStr">
        <x:is>
          <x:t xml:space="preserve">Standard</x:t>
        </x:is>
      </x:c>
      <x:c r="AF102" s="5" t="inlineStr">
        <x:is>
          <x:t xml:space="preserve">Policies / Documentation</x:t>
        </x:is>
      </x:c>
      <x:c r="AG102" s="28" t="inlineStr">
        <x:is>
          <x:t xml:space="preserve">https://www.ecfr.gov/current/title-45/subtitle-A/subchapter-C/part-164/section-164.316</x:t>
        </x:is>
      </x:c>
      <x:c r="AH102" s="28" t="inlineStr">
        <x:is>
          <x:t xml:space="preserve">https://www.hhs.gov/sites/default/files/ocr/privacy/hipaa/administrative/securityrule/pprequirements.pdf</x:t>
        </x:is>
      </x:c>
      <x:c r="AI102" s="5" t="n"/>
      <x:c r="AJ102" s="5" t="n"/>
      <x:c r="AK102" s="5" t="n"/>
      <x:c r="AL102" s="5" t="n"/>
      <x:c r="AM102" s="5" t="n"/>
      <x:c r="AN102" s="5" t="n"/>
      <x:c r="AO102" s="5" t="n"/>
      <x:c r="AP102" s="5" t="n"/>
      <x:c r="AQ102" s="5" t="n"/>
    </x:row>
    <x:row r="103" ht="30" customHeight="1">
      <x:c r="A103" s="5" t="inlineStr">
        <x:is>
          <x:t xml:space="preserve">REQ-995-HIPAA</x:t>
        </x:is>
      </x:c>
      <x:c r="B103" s="5" t="inlineStr">
        <x:is>
          <x:t xml:space="preserve">1561.11c1Organizational.4</x:t>
        </x:is>
      </x:c>
      <x:c r="C103" s="5" t="n">
        <x:v>1</x:v>
      </x:c>
      <x:c r="D103" s="5" t="inlineStr">
        <x:is>
          <x:t xml:space="preserve">All Incidents Identified During the Review Period [INSERT EXAM PERIOD]</x:t>
        </x:is>
      </x:c>
      <x:c r="E103" s="5" t="inlineStr">
        <x:is>
          <x:t xml:space="preserve">Population</x:t>
        </x:is>
      </x:c>
      <x:c r="F103" s="5" t="inlineStr">
        <x:is>
          <x:t xml:space="preserve">HITRUST e1.csv</x:t>
        </x:is>
      </x:c>
      <x:c r="G103" s="5" t="inlineStr">
        <x:is>
          <x:t xml:space="preserve">Many:1</x:t>
        </x:is>
      </x:c>
      <x:c r="H103" s="5" t="inlineStr">
        <x:is>
          <x:t xml:space="preserve">45 CFR § 164.308(a)(6)(ii) | 45 CFR § 164.316(b)(1)</x:t>
        </x:is>
      </x:c>
      <x:c r="I103" s="5" t="inlineStr">
        <x:is>
          <x:t xml:space="preserve">Security Incident Procedures — Response and Reporting | Documentation</x:t>
        </x:is>
      </x:c>
      <x:c r="J103" s="5" t="inlineStr">
        <x:is>
          <x:t xml:space="preserve">Best-fit composite</x:t>
        </x:is>
      </x:c>
      <x:c r="K103" s="5" t="inlineStr">
        <x:is>
          <x:t xml:space="preserve">Generic population/evidence control used to show incidents and outcomes during the review period.</x:t>
        </x:is>
      </x:c>
      <x:c r="L103" s="28" t="inlineStr">
        <x:is>
          <x:t xml:space="preserve">https://www.ecfr.gov/current/title-45/subtitle-A/subchapter-C/part-164/section-164.308 | https://www.ecfr.gov/current/title-45/subtitle-A/subchapter-C/part-164/section-164.316 | https://www.hhs.gov/hipaa/for-professionals/faq/2002/what-does-the-security-rule-require-a-covered-entity-to-do-to-comply/index.html | https://www.hhs.gov/hipaa/for-professionals/compliance-enforcement/audit/protocol/index.html</x:t>
        </x:is>
      </x:c>
      <x:c r="M103" s="5" t="inlineStr">
        <x:is>
          <x:t xml:space="preserve">Internal control is generic; citation follows the specific evidence row context.</x:t>
        </x:is>
      </x:c>
      <x:c r="N103" s="5" t="inlineStr">
        <x:is>
          <x:t xml:space="preserve">1561.11c1 Organizational.4</x:t>
        </x:is>
      </x:c>
      <x:c r="O103" s="5" t="n">
        <x:v>2</x:v>
      </x:c>
      <x:c r="P103" s="5" t="n"/>
      <x:c r="Q103" s="5" t="inlineStr">
        <x:is>
          <x:t xml:space="preserve">All Incidents Identified During the Review Period [INSERT EXAM PERIOD]</x:t>
        </x:is>
      </x:c>
      <x:c r="R103" s="5" t="inlineStr">
        <x:is>
          <x:t xml:space="preserve">Population</x:t>
        </x:is>
      </x:c>
      <x:c r="S103" s="5" t="n"/>
      <x:c r="T103" s="5" t="inlineStr">
        <x:is>
          <x:t xml:space="preserve">HITRUST e1.csv</x:t>
        </x:is>
      </x:c>
      <x:c r="U103" s="5" t="inlineStr">
        <x:is>
          <x:t xml:space="preserve">45 C.F.R. § 164.308(a)(6)(ii)</x:t>
        </x:is>
      </x:c>
      <x:c r="V103" s="5" t="inlineStr">
        <x:is>
          <x:t xml:space="preserve">Security Incident Procedures — Response and Reporting</x:t>
        </x:is>
      </x:c>
      <x:c r="W103" s="5" t="inlineStr">
        <x:is>
          <x:t xml:space="preserve">Identify and respond to suspected or known security incidents, mitigate harmful effects to the extent practicable, and document incidents and outcomes.</x:t>
        </x:is>
      </x:c>
      <x:c r="X103" s="5" t="inlineStr">
        <x:is>
          <x:t xml:space="preserve">Required implementation specification</x:t>
        </x:is>
      </x:c>
      <x:c r="Y103" s="5" t="inlineStr">
        <x:is>
          <x:t xml:space="preserve">Administrative Safeguards</x:t>
        </x:is>
      </x:c>
      <x:c r="Z103" s="28" t="inlineStr">
        <x:is>
          <x:t xml:space="preserve">https://www.ecfr.gov/current/title-45/subtitle-A/subchapter-C/part-164/section-164.308</x:t>
        </x:is>
      </x:c>
      <x:c r="AA103" s="28" t="inlineStr">
        <x:is>
          <x:t xml:space="preserve">https://www.hhs.gov/hipaa/for-professionals/faq/2002/what-does-the-security-rule-require-a-covered-entity-to-do-to-comply/index.html</x:t>
        </x:is>
      </x:c>
      <x:c r="AB103" s="5" t="inlineStr">
        <x:is>
          <x:t xml:space="preserve">45 C.F.R. § 164.316(b)(1)</x:t>
        </x:is>
      </x:c>
      <x:c r="AC103" s="5" t="inlineStr">
        <x:is>
          <x:t xml:space="preserve">Documentation</x:t>
        </x:is>
      </x:c>
      <x:c r="AD103" s="5" t="inlineStr">
        <x:is>
          <x:t xml:space="preserve">Maintain written or electronic policies and procedures implemented to comply with the Security Rule and written or electronic records of required actions, activities, and assessments.</x:t>
        </x:is>
      </x:c>
      <x:c r="AE103" s="5" t="inlineStr">
        <x:is>
          <x:t xml:space="preserve">Standard</x:t>
        </x:is>
      </x:c>
      <x:c r="AF103" s="5" t="inlineStr">
        <x:is>
          <x:t xml:space="preserve">Policies / Documentation</x:t>
        </x:is>
      </x:c>
      <x:c r="AG103" s="28" t="inlineStr">
        <x:is>
          <x:t xml:space="preserve">https://www.ecfr.gov/current/title-45/subtitle-A/subchapter-C/part-164/section-164.316</x:t>
        </x:is>
      </x:c>
      <x:c r="AH103" s="28" t="inlineStr">
        <x:is>
          <x:t xml:space="preserve">https://www.hhs.gov/sites/default/files/ocr/privacy/hipaa/administrative/securityrule/pprequirements.pdf</x:t>
        </x:is>
      </x:c>
      <x:c r="AI103" s="5" t="n"/>
      <x:c r="AJ103" s="5" t="n"/>
      <x:c r="AK103" s="5" t="n"/>
      <x:c r="AL103" s="5" t="n"/>
      <x:c r="AM103" s="5" t="n"/>
      <x:c r="AN103" s="5" t="n"/>
      <x:c r="AO103" s="5" t="n"/>
      <x:c r="AP103" s="5" t="n"/>
      <x:c r="AQ103" s="5" t="n"/>
    </x:row>
    <x:row r="104" ht="30" customHeight="1">
      <x:c r="A104" s="5" t="inlineStr">
        <x:is>
          <x:t xml:space="preserve">REQ-995-HIPAA</x:t>
        </x:is>
      </x:c>
      <x:c r="B104" s="5" t="inlineStr">
        <x:is>
          <x:t xml:space="preserve">1704.03b1Organizational.12</x:t>
        </x:is>
      </x:c>
      <x:c r="C104" s="5" t="n">
        <x:v>1</x:v>
      </x:c>
      <x:c r="D104" s="5" t="inlineStr">
        <x:is>
          <x:t xml:space="preserve">All Software and Infrastructure Production Changes During the Review Period [INSERT EXAM PERIOD]</x:t>
        </x:is>
      </x:c>
      <x:c r="E104" s="5" t="inlineStr">
        <x:is>
          <x:t xml:space="preserve">Population</x:t>
        </x:is>
      </x:c>
      <x:c r="F104" s="5" t="inlineStr">
        <x:is>
          <x:t xml:space="preserve">HITRUST e1.csv</x:t>
        </x:is>
      </x:c>
      <x:c r="G104" s="5" t="inlineStr">
        <x:is>
          <x:t xml:space="preserve">Many:Many</x:t>
        </x:is>
      </x:c>
      <x:c r="H104" s="5" t="inlineStr">
        <x:is>
          <x:t xml:space="preserve">45 CFR § 164.308(a)(8) | 45 CFR § 164.316(b)(1)</x:t>
        </x:is>
      </x:c>
      <x:c r="I104" s="5" t="inlineStr">
        <x:is>
          <x:t xml:space="preserve">Evaluation | Documentation</x:t>
        </x:is>
      </x:c>
      <x:c r="J104" s="5" t="inlineStr">
        <x:is>
          <x:t xml:space="preserve">Best-fit composite</x:t>
        </x:is>
      </x:c>
      <x:c r="K104" s="5" t="inlineStr">
        <x:is>
          <x:t xml:space="preserve">Generic population/evidence control used to show production changes during the review period.</x:t>
        </x:is>
      </x:c>
      <x:c r="L104" s="28" t="inlineStr">
        <x:is>
          <x:t xml:space="preserve">https://www.ecfr.gov/current/title-45/subtitle-A/subchapter-C/part-164/section-164.308 | https://www.ecfr.gov/current/title-45/subtitle-A/subchapter-C/part-164/section-164.316 | https://www.hhs.gov/hipaa/for-professionals/security/guidance/cybersecurity-newsletter-january-2026/index.html | https://www.hhs.gov/hipaa/for-professionals/security/guidance/guidance-risk-analysis/index.html</x:t>
        </x:is>
      </x:c>
      <x:c r="M104" s="5" t="inlineStr">
        <x:is>
          <x:t xml:space="preserve">Internal control is generic; citation follows the specific evidence row context.</x:t>
        </x:is>
      </x:c>
      <x:c r="N104" s="5" t="inlineStr">
        <x:is>
          <x:t xml:space="preserve">1704.03b1 Organizational.12</x:t>
        </x:is>
      </x:c>
      <x:c r="O104" s="5" t="n">
        <x:v>2</x:v>
      </x:c>
      <x:c r="P104" s="5" t="n"/>
      <x:c r="Q104" s="5" t="inlineStr">
        <x:is>
          <x:t xml:space="preserve">All Software and Infrastructure Production Changes During the Review Period [INSERT EXAM PERIOD]</x:t>
        </x:is>
      </x:c>
      <x:c r="R104" s="5" t="inlineStr">
        <x:is>
          <x:t xml:space="preserve">Population</x:t>
        </x:is>
      </x:c>
      <x:c r="S104" s="5" t="n"/>
      <x:c r="T104" s="5" t="inlineStr">
        <x:is>
          <x:t xml:space="preserve">HITRUST e1.csv</x:t>
        </x:is>
      </x:c>
      <x:c r="U104" s="5" t="inlineStr">
        <x:is>
          <x:t xml:space="preserve">45 C.F.R. § 164.308(a)(8)</x:t>
        </x:is>
      </x:c>
      <x:c r="V104" s="5" t="inlineStr">
        <x:is>
          <x:t xml:space="preserve">Evaluation</x:t>
        </x:is>
      </x:c>
      <x:c r="W104" s="5" t="inlineStr">
        <x:is>
          <x:t xml:space="preserve">Perform periodic technical and nontechnical evaluations, and repeat them in response to environmental or operational changes affecting the security of ePHI.</x:t>
        </x:is>
      </x:c>
      <x:c r="X104" s="5" t="inlineStr">
        <x:is>
          <x:t xml:space="preserve">Required standard</x:t>
        </x:is>
      </x:c>
      <x:c r="Y104" s="5" t="inlineStr">
        <x:is>
          <x:t xml:space="preserve">Administrative Safeguards</x:t>
        </x:is>
      </x:c>
      <x:c r="Z104" s="28" t="inlineStr">
        <x:is>
          <x:t xml:space="preserve">https://www.ecfr.gov/current/title-45/subtitle-A/subchapter-C/part-164/section-164.308</x:t>
        </x:is>
      </x:c>
      <x:c r="AA104" s="28" t="inlineStr">
        <x:is>
          <x:t xml:space="preserve">https://www.hhs.gov/ocr/privacy/hipaa/administrative/securityrule/index.html</x:t>
        </x:is>
      </x:c>
      <x:c r="AB104" s="5" t="inlineStr">
        <x:is>
          <x:t xml:space="preserve">45 C.F.R. § 164.316(b)(1)</x:t>
        </x:is>
      </x:c>
      <x:c r="AC104" s="5" t="inlineStr">
        <x:is>
          <x:t xml:space="preserve">Documentation</x:t>
        </x:is>
      </x:c>
      <x:c r="AD104" s="5" t="inlineStr">
        <x:is>
          <x:t xml:space="preserve">Maintain written or electronic policies and procedures implemented to comply with the Security Rule and written or electronic records of required actions, activities, and assessments.</x:t>
        </x:is>
      </x:c>
      <x:c r="AE104" s="5" t="inlineStr">
        <x:is>
          <x:t xml:space="preserve">Standard</x:t>
        </x:is>
      </x:c>
      <x:c r="AF104" s="5" t="inlineStr">
        <x:is>
          <x:t xml:space="preserve">Policies / Documentation</x:t>
        </x:is>
      </x:c>
      <x:c r="AG104" s="28" t="inlineStr">
        <x:is>
          <x:t xml:space="preserve">https://www.ecfr.gov/current/title-45/subtitle-A/subchapter-C/part-164/section-164.316</x:t>
        </x:is>
      </x:c>
      <x:c r="AH104" s="28" t="inlineStr">
        <x:is>
          <x:t xml:space="preserve">https://www.hhs.gov/sites/default/files/ocr/privacy/hipaa/administrative/securityrule/pprequirements.pdf</x:t>
        </x:is>
      </x:c>
      <x:c r="AI104" s="5" t="n"/>
      <x:c r="AJ104" s="5" t="n"/>
      <x:c r="AK104" s="5" t="n"/>
      <x:c r="AL104" s="5" t="n"/>
      <x:c r="AM104" s="5" t="n"/>
      <x:c r="AN104" s="5" t="n"/>
      <x:c r="AO104" s="5" t="n"/>
      <x:c r="AP104" s="5" t="n"/>
      <x:c r="AQ104" s="5" t="n"/>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45" customWidth="1"/>
    <x:col min="2" max="2" width="39" customWidth="1"/>
    <x:col min="3" max="3" width="60" customWidth="1"/>
    <x:col min="4" max="4" width="60" customWidth="1"/>
  </x:cols>
  <x:sheetData>
    <x:row r="1" ht="30" customHeight="1">
      <x:c r="A1" s="11" t="inlineStr">
        <x:is>
          <x:t xml:space="preserve">Source URL / Identifier</x:t>
        </x:is>
      </x:c>
      <x:c r="B1" s="11" t="inlineStr">
        <x:is>
          <x:t xml:space="preserve">Source Type</x:t>
        </x:is>
      </x:c>
      <x:c r="C1" s="11" t="inlineStr">
        <x:is>
          <x:t xml:space="preserve">Why Used</x:t>
        </x:is>
      </x:c>
      <x:c r="D1" s="11" t="inlineStr">
        <x:is>
          <x:t xml:space="preserve">Notes</x:t>
        </x:is>
      </x:c>
    </x:row>
    <x:row r="2" ht="30" customHeight="1">
      <x:c r="A2" s="28" t="inlineStr">
        <x:is>
          <x:t xml:space="preserve">https://docs.google.com/document/d/1W5FC1d6oqcAnoxBiPHHQMdXo6_EqhnFeiMjXq4_dX9s/edit?usp=sharing</x:t>
        </x:is>
      </x:c>
      <x:c r="B2" s="5" t="inlineStr">
        <x:is>
          <x:t xml:space="preserve">Thoropass company source (Google Doc)</x:t>
        </x:is>
      </x:c>
      <x:c r="C2" s="5" t="inlineStr">
        <x:is>
          <x:t xml:space="preserve">Live index for assessment views and note that Requirements and Frameworks columns contain all linked requirements/frameworks, not only the configured view.</x:t>
        </x:is>
      </x:c>
      <x:c r="D2" s="5" t="inlineStr">
        <x:is>
          <x:t xml:space="preserve">Referenced to confirm source semantics and view provenance.</x:t>
        </x:is>
      </x:c>
    </x:row>
    <x:row r="3" ht="30" customHeight="1">
      <x:c r="A3" s="5" t="inlineStr">
        <x:is>
          <x:t xml:space="preserve">Uploaded file: /mnt/data/SOC 2 T2 &amp; HITRUST e1.xlsx</x:t>
        </x:is>
      </x:c>
      <x:c r="B3" s="5" t="inlineStr">
        <x:is>
          <x:t xml:space="preserve">Uploaded workbook export</x:t>
        </x:is>
      </x:c>
      <x:c r="C3" s="5" t="inlineStr">
        <x:is>
          <x:t xml:space="preserve">Primary source used to preserve Thoropass/Airtable local-control and framework notation exactly as exported before normalization.</x:t>
        </x:is>
      </x:c>
      <x:c r="D3" s="5" t="inlineStr">
        <x:is>
          <x:t xml:space="preserve">Used for Source_ERs_Unique sheet.</x:t>
        </x:is>
      </x:c>
    </x:row>
    <x:row r="4" ht="30" customHeight="1">
      <x:c r="A4" s="5" t="inlineStr">
        <x:is>
          <x:t xml:space="preserve">Uploaded file: /mnt/data/SOC 2 T2 &amp; HITRUST e1.csv</x:t>
        </x:is>
      </x:c>
      <x:c r="B4" s="5" t="inlineStr">
        <x:is>
          <x:t xml:space="preserve">Uploaded CSV export</x:t>
        </x:is>
      </x:c>
      <x:c r="C4" s="5" t="inlineStr">
        <x:is>
          <x:t xml:space="preserve">Cross-check on the raw export format and delimiter behavior from Airtable.</x:t>
        </x:is>
      </x:c>
      <x:c r="D4" s="5" t="inlineStr">
        <x:is>
          <x:t xml:space="preserve">Used as a secondary source for delimiter semantics.</x:t>
        </x:is>
      </x:c>
    </x:row>
    <x:row r="5" ht="30" customHeight="1">
      <x:c r="A5" s="5" t="inlineStr">
        <x:is>
          <x:t xml:space="preserve">Uploaded file: /mnt/data/Airtable - SOC 2 T2 &amp; HITRUST e1.pdf</x:t>
        </x:is>
      </x:c>
      <x:c r="B5" s="5" t="inlineStr">
        <x:is>
          <x:t xml:space="preserve">Uploaded PDF print view</x:t>
        </x:is>
      </x:c>
      <x:c r="C5" s="5" t="inlineStr">
        <x:is>
          <x:t xml:space="preserve">Cross-check on how button-style linked items appear in the print view, including framework tokens such as ISO 27001/2 (2022).</x:t>
        </x:is>
      </x:c>
      <x:c r="D5" s="5" t="inlineStr">
        <x:is>
          <x:t xml:space="preserve">Used as a visual validation source.</x:t>
        </x:is>
      </x:c>
    </x:row>
    <x:row r="6" ht="30" customHeight="1">
      <x:c r="A6" s="28" t="inlineStr">
        <x:is>
          <x:t xml:space="preserve">https://www.ecfr.gov/current/title-45/subtitle-A/subchapter-C/part-164/section-164.306</x:t>
        </x:is>
      </x:c>
      <x:c r="B6" s="5" t="inlineStr">
        <x:is>
          <x:t xml:space="preserve">eCFR</x:t>
        </x:is>
      </x:c>
      <x:c r="C6" s="5" t="inlineStr">
        <x:is>
          <x:t xml:space="preserve">Security standards: general rules / maintenance language used for patching and change-management best-fit mappings.</x:t>
        </x:is>
      </x:c>
      <x:c r="D6" s="5" t="inlineStr">
        <x:is>
          <x:t xml:space="preserve">Imported from prior Source_Register sheet.</x:t>
        </x:is>
      </x:c>
    </x:row>
    <x:row r="7" ht="30" customHeight="1">
      <x:c r="A7" s="28" t="inlineStr">
        <x:is>
          <x:t xml:space="preserve">https://www.ecfr.gov/current/title-45/subtitle-A/subchapter-C/part-164/section-164.308</x:t>
        </x:is>
      </x:c>
      <x:c r="B7" s="5" t="inlineStr">
        <x:is>
          <x:t xml:space="preserve">eCFR</x:t>
        </x:is>
      </x:c>
      <x:c r="C7" s="5" t="inlineStr">
        <x:is>
          <x:t xml:space="preserve">Administrative safeguards section covering risk analysis, risk management, workforce security, access management, training, incident response, contingency planning, and evaluation.</x:t>
        </x:is>
      </x:c>
      <x:c r="D7" s="5" t="inlineStr">
        <x:is>
          <x:t xml:space="preserve">Imported from prior Source_Register sheet.</x:t>
        </x:is>
      </x:c>
    </x:row>
    <x:row r="8" ht="30" customHeight="1">
      <x:c r="A8" s="28" t="inlineStr">
        <x:is>
          <x:t xml:space="preserve">https://www.ecfr.gov/current/title-45/subtitle-A/subchapter-C/part-164/section-164.310</x:t>
        </x:is>
      </x:c>
      <x:c r="B8" s="5" t="inlineStr">
        <x:is>
          <x:t xml:space="preserve">eCFR</x:t>
        </x:is>
      </x:c>
      <x:c r="C8" s="5" t="inlineStr">
        <x:is>
          <x:t xml:space="preserve">Physical safeguards section covering device/media disposal, media re-use, accountability, and related controls.</x:t>
        </x:is>
      </x:c>
      <x:c r="D8" s="5" t="inlineStr">
        <x:is>
          <x:t xml:space="preserve">Imported from prior Source_Register sheet.</x:t>
        </x:is>
      </x:c>
    </x:row>
    <x:row r="9" ht="30" customHeight="1">
      <x:c r="A9" s="28" t="inlineStr">
        <x:is>
          <x:t xml:space="preserve">https://www.ecfr.gov/current/title-45/subtitle-A/subchapter-C/part-164/section-164.312</x:t>
        </x:is>
      </x:c>
      <x:c r="B9" s="5" t="inlineStr">
        <x:is>
          <x:t xml:space="preserve">eCFR</x:t>
        </x:is>
      </x:c>
      <x:c r="C9" s="5" t="inlineStr">
        <x:is>
          <x:t xml:space="preserve">Technical safeguards section covering access control, audit controls, integrity, authentication, and transmission security.</x:t>
        </x:is>
      </x:c>
      <x:c r="D9" s="5" t="inlineStr">
        <x:is>
          <x:t xml:space="preserve">Imported from prior Source_Register sheet.</x:t>
        </x:is>
      </x:c>
    </x:row>
    <x:row r="10" ht="30" customHeight="1">
      <x:c r="A10" s="28" t="inlineStr">
        <x:is>
          <x:t xml:space="preserve">https://www.ecfr.gov/current/title-45/subtitle-A/subchapter-C/part-164/section-164.316</x:t>
        </x:is>
      </x:c>
      <x:c r="B10" s="5" t="inlineStr">
        <x:is>
          <x:t xml:space="preserve">eCFR</x:t>
        </x:is>
      </x:c>
      <x:c r="C10" s="5" t="inlineStr">
        <x:is>
          <x:t xml:space="preserve">Policies/procedures and documentation requirements used for policy repositories and evidence rows.</x:t>
        </x:is>
      </x:c>
      <x:c r="D10" s="5" t="inlineStr">
        <x:is>
          <x:t xml:space="preserve">Imported from prior Source_Register sheet.</x:t>
        </x:is>
      </x:c>
    </x:row>
    <x:row r="11" ht="30" customHeight="1">
      <x:c r="A11" s="28" t="inlineStr">
        <x:is>
          <x:t xml:space="preserve">https://www.hhs.gov/ocr/privacy/hipaa/administrative/securityrule/index.html</x:t>
        </x:is>
      </x:c>
      <x:c r="B11" s="5" t="inlineStr">
        <x:is>
          <x:t xml:space="preserve">HHS OCR overview</x:t>
        </x:is>
      </x:c>
      <x:c r="C11" s="5" t="inlineStr">
        <x:is>
          <x:t xml:space="preserve">Current OCR Security Rule overview page identifying the governing Security Rule location.</x:t>
        </x:is>
      </x:c>
      <x:c r="D11" s="5" t="inlineStr">
        <x:is>
          <x:t xml:space="preserve">Imported from prior Source_Register sheet.</x:t>
        </x:is>
      </x:c>
    </x:row>
    <x:row r="12" ht="30" customHeight="1">
      <x:c r="A12" s="28" t="inlineStr">
        <x:is>
          <x:t xml:space="preserve">https://www.hhs.gov/sites/default/files/ocr/privacy/hipaa/administrative/combined/hipaa-simplification-201303.pdf</x:t>
        </x:is>
      </x:c>
      <x:c r="B12" s="5" t="inlineStr">
        <x:is>
          <x:t xml:space="preserve">HHS OCR combined regulation text</x:t>
        </x:is>
      </x:c>
      <x:c r="C12" s="5" t="inlineStr">
        <x:is>
          <x:t xml:space="preserve">Appendix A Security Standards Matrix with standard and implementation-specification titles used for exact naming.</x:t>
        </x:is>
      </x:c>
      <x:c r="D12" s="5" t="inlineStr">
        <x:is>
          <x:t xml:space="preserve">Imported from prior Source_Register sheet.</x:t>
        </x:is>
      </x:c>
    </x:row>
    <x:row r="13" ht="30" customHeight="1">
      <x:c r="A13" s="28" t="inlineStr">
        <x:is>
          <x:t xml:space="preserve">https://www.hhs.gov/hipaa/for-professionals/compliance-enforcement/audit/protocol/index.html</x:t>
        </x:is>
      </x:c>
      <x:c r="B13" s="5" t="inlineStr">
        <x:is>
          <x:t xml:space="preserve">HHS OCR audit protocol</x:t>
        </x:is>
      </x:c>
      <x:c r="C13" s="5" t="inlineStr">
        <x:is>
          <x:t xml:space="preserve">Public audit protocol used for detailed implementation-specification descriptions and example evidence artifacts.</x:t>
        </x:is>
      </x:c>
      <x:c r="D13" s="5" t="inlineStr">
        <x:is>
          <x:t xml:space="preserve">Imported from prior Source_Register sheet.</x:t>
        </x:is>
      </x:c>
    </x:row>
    <x:row r="14" ht="30" customHeight="1">
      <x:c r="A14" s="28" t="inlineStr">
        <x:is>
          <x:t xml:space="preserve">https://www.hhs.gov/sites/default/files/ocr/privacy/hipaa/administrative/securityrule/adminsafeguards.pdf</x:t>
        </x:is>
      </x:c>
      <x:c r="B14" s="5" t="inlineStr">
        <x:is>
          <x:t xml:space="preserve">HHS OCR guidance paper</x:t>
        </x:is>
      </x:c>
      <x:c r="C14" s="5" t="inlineStr">
        <x:is>
          <x:t xml:space="preserve">Administrative safeguards guidance used for access management, password management, malicious software, and training context.</x:t>
        </x:is>
      </x:c>
      <x:c r="D14" s="5" t="inlineStr">
        <x:is>
          <x:t xml:space="preserve">Imported from prior Source_Register sheet.</x:t>
        </x:is>
      </x:c>
    </x:row>
    <x:row r="15" ht="30" customHeight="1">
      <x:c r="A15" s="28" t="inlineStr">
        <x:is>
          <x:t xml:space="preserve">https://www.hhs.gov/sites/default/files/ocr/privacy/hipaa/administrative/securityrule/pprequirements.pdf</x:t>
        </x:is>
      </x:c>
      <x:c r="B15" s="5" t="inlineStr">
        <x:is>
          <x:t xml:space="preserve">HHS OCR guidance paper</x:t>
        </x:is>
      </x:c>
      <x:c r="C15" s="5" t="inlineStr">
        <x:is>
          <x:t xml:space="preserve">Policies/procedures and documentation guidance used for documentation-focused mappings.</x:t>
        </x:is>
      </x:c>
      <x:c r="D15" s="5" t="inlineStr">
        <x:is>
          <x:t xml:space="preserve">Imported from prior Source_Register sheet.</x:t>
        </x:is>
      </x:c>
    </x:row>
    <x:row r="16" ht="30" customHeight="1">
      <x:c r="A16" s="28" t="inlineStr">
        <x:is>
          <x:t xml:space="preserve">https://www.hhs.gov/hipaa/for-professionals/security/guidance/guidance-risk-analysis/index.html</x:t>
        </x:is>
      </x:c>
      <x:c r="B16" s="5" t="inlineStr">
        <x:is>
          <x:t xml:space="preserve">HHS OCR guidance</x:t>
        </x:is>
      </x:c>
      <x:c r="C16" s="5" t="inlineStr">
        <x:is>
          <x:t xml:space="preserve">Risk analysis guidance used for risk-analysis mappings and for inventory/evaluation best-fit notes.</x:t>
        </x:is>
      </x:c>
      <x:c r="D16" s="5" t="inlineStr">
        <x:is>
          <x:t xml:space="preserve">Imported from prior Source_Register sheet.</x:t>
        </x:is>
      </x:c>
    </x:row>
    <x:row r="17" ht="30" customHeight="1">
      <x:c r="A17" s="28" t="inlineStr">
        <x:is>
          <x:t xml:space="preserve">https://www.hhs.gov/hipaa/for-professionals/security/guidance/cybersecurity-newsletter-january-2026/index.html</x:t>
        </x:is>
      </x:c>
      <x:c r="B17" s="5" t="inlineStr">
        <x:is>
          <x:t xml:space="preserve">HHS OCR cybersecurity newsletter</x:t>
        </x:is>
      </x:c>
      <x:c r="C17" s="5" t="inlineStr">
        <x:is>
          <x:t xml:space="preserve">Authoritative OCR guidance tying unpatched software, vulnerability scanning, authentication, testing, and maintenance to HIPAA provisions.</x:t>
        </x:is>
      </x:c>
      <x:c r="D17" s="5" t="inlineStr">
        <x:is>
          <x:t xml:space="preserve">Imported from prior Source_Register sheet.</x:t>
        </x:is>
      </x:c>
    </x:row>
    <x:row r="18" ht="30" customHeight="1">
      <x:c r="A18" s="28" t="inlineStr">
        <x:is>
          <x:t xml:space="preserve">https://www.hhs.gov/hipaa/for-professionals/security/guidance/cybersecurity-newsletter-october-2024/index.html</x:t>
        </x:is>
      </x:c>
      <x:c r="B18" s="5" t="inlineStr">
        <x:is>
          <x:t xml:space="preserve">HHS OCR cybersecurity newsletter</x:t>
        </x:is>
      </x:c>
      <x:c r="C18" s="5" t="inlineStr">
        <x:is>
          <x:t xml:space="preserve">OCR guidance explaining that a technology asset inventory and data-flow diagrams support accurate risk analysis.</x:t>
        </x:is>
      </x:c>
      <x:c r="D18" s="5" t="inlineStr">
        <x:is>
          <x:t xml:space="preserve">Imported from prior Source_Register sheet.</x:t>
        </x:is>
      </x:c>
    </x:row>
    <x:row r="19" ht="30" customHeight="1">
      <x:c r="A19" s="28" t="inlineStr">
        <x:is>
          <x:t xml:space="preserve">https://www.hhs.gov/hipaa/for-professionals/security/guidance/cybersecurity-newsletter-summer-2019/index.html</x:t>
        </x:is>
      </x:c>
      <x:c r="B19" s="5" t="inlineStr">
        <x:is>
          <x:t xml:space="preserve">HHS OCR cybersecurity newsletter</x:t>
        </x:is>
      </x:c>
      <x:c r="C19" s="5" t="inlineStr">
        <x:is>
          <x:t xml:space="preserve">OCR guidance used for insider-threat / termination / access-change / segmentation examples.</x:t>
        </x:is>
      </x:c>
      <x:c r="D19" s="5" t="inlineStr">
        <x:is>
          <x:t xml:space="preserve">Imported from prior Source_Register sheet.</x:t>
        </x:is>
      </x:c>
    </x:row>
    <x:row r="20" ht="30" customHeight="1">
      <x:c r="A20" s="28" t="inlineStr">
        <x:is>
          <x:t xml:space="preserve">https://www.hhs.gov/hipaa/for-professionals/security/guidance/cybersecurity/ransomware-fact-sheet/index.html</x:t>
        </x:is>
      </x:c>
      <x:c r="B20" s="5" t="inlineStr">
        <x:is>
          <x:t xml:space="preserve">HHS OCR fact sheet</x:t>
        </x:is>
      </x:c>
      <x:c r="C20" s="5" t="inlineStr">
        <x:is>
          <x:t xml:space="preserve">OCR contingency-plan guidance used for backups, disaster recovery, and testing.</x:t>
        </x:is>
      </x:c>
      <x:c r="D20" s="5" t="inlineStr">
        <x:is>
          <x:t xml:space="preserve">Imported from prior Source_Register sheet.</x:t>
        </x:is>
      </x:c>
    </x:row>
    <x:row r="21" ht="30" customHeight="1">
      <x:c r="A21" s="28" t="inlineStr">
        <x:is>
          <x:t xml:space="preserve">https://www.hhs.gov/hipaa/for-professionals/faq/2002/what-does-the-security-rule-require-a-covered-entity-to-do-to-comply/index.html</x:t>
        </x:is>
      </x:c>
      <x:c r="B21" s="5" t="inlineStr">
        <x:is>
          <x:t xml:space="preserve">HHS OCR FAQ</x:t>
        </x:is>
      </x:c>
      <x:c r="C21" s="5" t="inlineStr">
        <x:is>
          <x:t xml:space="preserve">OCR FAQ used for the Security Incident Procedures standard and Response and Reporting implementation specification.</x:t>
        </x:is>
      </x:c>
      <x:c r="D21" s="5" t="inlineStr">
        <x:is>
          <x:t xml:space="preserve">Imported from prior Source_Register sheet.</x:t>
        </x:is>
      </x:c>
    </x:row>
    <x:row r="22" ht="30" customHeight="1">
      <x:c r="A22" s="28" t="inlineStr">
        <x:is>
          <x:t xml:space="preserve">https://www.hhs.gov/hipaa/for-professionals/faq/575/what-does-hipaa-require-of-covered-entities-when-they-dispose-information/index.html</x:t>
        </x:is>
      </x:c>
      <x:c r="B22" s="5" t="inlineStr">
        <x:is>
          <x:t xml:space="preserve">HHS OCR FAQ</x:t>
        </x:is>
      </x:c>
      <x:c r="C22" s="5" t="inlineStr">
        <x:is>
          <x:t xml:space="preserve">OCR FAQ used for disposal and media re-use mappings.</x:t>
        </x:is>
      </x:c>
      <x:c r="D22" s="5" t="inlineStr">
        <x:is>
          <x:t xml:space="preserve">Imported from prior Source_Register sheet.</x:t>
        </x:is>
      </x:c>
    </x:row>
    <x:row r="23" ht="30" customHeight="1">
      <x:c r="A23" s="28" t="inlineStr">
        <x:is>
          <x:t xml:space="preserve">https://www.hhs.gov/hipaa/for-professionals/compliance-enforcement/audit/protocol-edited/index.html</x:t>
        </x:is>
      </x:c>
      <x:c r="B23" s="5" t="inlineStr">
        <x:is>
          <x:t xml:space="preserve">HHS OCR audit protocol (edited)</x:t>
        </x:is>
      </x:c>
      <x:c r="C23" s="5" t="inlineStr">
        <x:is>
          <x:t xml:space="preserve">Detailed implementation-specification descriptions used for requirement summaries and citation validation.</x:t>
        </x:is>
      </x:c>
      <x:c r="D23" s="5" t="inlineStr">
        <x:is>
          <x:t xml:space="preserve">Used in the final pass because this endpoint was accessible in-browser.</x:t>
        </x:is>
      </x:c>
    </x:row>
  </x:sheetData>
  <x:pageMargins left="0.7" right="0.7" top="0.75" bottom="0.75" header="0.3" footer="0.3"/>
</x:worksheet>
</file>