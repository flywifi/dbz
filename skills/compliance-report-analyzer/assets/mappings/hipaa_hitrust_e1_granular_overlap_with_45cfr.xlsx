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38300b8724a3811/Desktop/"/>
    </mc:Choice>
  </mc:AlternateContent>
  <xr:revisionPtr revIDLastSave="0" documentId="8_{CAA440EB-DBDB-4299-87AB-6B8817DE8DEB}" xr6:coauthVersionLast="47" xr6:coauthVersionMax="47" xr10:uidLastSave="{00000000-0000-0000-0000-000000000000}"/>
  <bookViews>
    <workbookView xWindow="7656" yWindow="1176" windowWidth="30960" windowHeight="12120" xr2:uid="{00000000-000D-0000-FFFF-FFFF00000000}"/>
  </bookViews>
  <sheets>
    <sheet name="Summary" sheetId="1" r:id="rId1"/>
    <sheet name="Action_Item_Overlap" sheetId="2" r:id="rId2"/>
    <sheet name="Normalized_Tuples" sheetId="3" r:id="rId3"/>
    <sheet name="Pair_Summary" sheetId="4" r:id="rId4"/>
    <sheet name="HIPAA_45CFR_Mapping" sheetId="5" r:id="rId5"/>
    <sheet name="Source_Register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4" i="4" l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H32" i="2"/>
  <c r="F32" i="2"/>
  <c r="I32" i="2" s="1"/>
  <c r="J32" i="2" s="1"/>
  <c r="H31" i="2"/>
  <c r="F31" i="2"/>
  <c r="I31" i="2" s="1"/>
  <c r="J31" i="2" s="1"/>
  <c r="H30" i="2"/>
  <c r="F30" i="2"/>
  <c r="I30" i="2" s="1"/>
  <c r="J30" i="2" s="1"/>
  <c r="H29" i="2"/>
  <c r="F29" i="2"/>
  <c r="I29" i="2" s="1"/>
  <c r="J29" i="2" s="1"/>
  <c r="H28" i="2"/>
  <c r="F28" i="2"/>
  <c r="I28" i="2" s="1"/>
  <c r="J28" i="2" s="1"/>
  <c r="H27" i="2"/>
  <c r="F27" i="2"/>
  <c r="I27" i="2" s="1"/>
  <c r="J27" i="2" s="1"/>
  <c r="H26" i="2"/>
  <c r="F26" i="2"/>
  <c r="I26" i="2" s="1"/>
  <c r="J26" i="2" s="1"/>
  <c r="H25" i="2"/>
  <c r="F25" i="2"/>
  <c r="I25" i="2" s="1"/>
  <c r="J25" i="2" s="1"/>
  <c r="H24" i="2"/>
  <c r="F24" i="2"/>
  <c r="I24" i="2" s="1"/>
  <c r="J24" i="2" s="1"/>
  <c r="H23" i="2"/>
  <c r="F23" i="2"/>
  <c r="I23" i="2" s="1"/>
  <c r="J23" i="2" s="1"/>
  <c r="H22" i="2"/>
  <c r="F22" i="2"/>
  <c r="I22" i="2" s="1"/>
  <c r="J22" i="2" s="1"/>
  <c r="H21" i="2"/>
  <c r="F21" i="2"/>
  <c r="I21" i="2" s="1"/>
  <c r="J21" i="2" s="1"/>
  <c r="H20" i="2"/>
  <c r="F20" i="2"/>
  <c r="I20" i="2" s="1"/>
  <c r="J20" i="2" s="1"/>
  <c r="H19" i="2"/>
  <c r="F19" i="2"/>
  <c r="I19" i="2" s="1"/>
  <c r="J19" i="2" s="1"/>
  <c r="H18" i="2"/>
  <c r="F18" i="2"/>
  <c r="I18" i="2" s="1"/>
  <c r="J18" i="2" s="1"/>
  <c r="H17" i="2"/>
  <c r="F17" i="2"/>
  <c r="I17" i="2" s="1"/>
  <c r="J17" i="2" s="1"/>
  <c r="H16" i="2"/>
  <c r="F16" i="2"/>
  <c r="I16" i="2" s="1"/>
  <c r="J16" i="2" s="1"/>
  <c r="H15" i="2"/>
  <c r="F15" i="2"/>
  <c r="I15" i="2" s="1"/>
  <c r="J15" i="2" s="1"/>
  <c r="H14" i="2"/>
  <c r="F14" i="2"/>
  <c r="I14" i="2" s="1"/>
  <c r="J14" i="2" s="1"/>
  <c r="H13" i="2"/>
  <c r="F13" i="2"/>
  <c r="I13" i="2" s="1"/>
  <c r="J13" i="2" s="1"/>
  <c r="H12" i="2"/>
  <c r="F12" i="2"/>
  <c r="I12" i="2" s="1"/>
  <c r="J12" i="2" s="1"/>
  <c r="H11" i="2"/>
  <c r="F11" i="2"/>
  <c r="I11" i="2" s="1"/>
  <c r="J11" i="2" s="1"/>
  <c r="H10" i="2"/>
  <c r="F10" i="2"/>
  <c r="I10" i="2" s="1"/>
  <c r="J10" i="2" s="1"/>
  <c r="H9" i="2"/>
  <c r="F9" i="2"/>
  <c r="I9" i="2" s="1"/>
  <c r="J9" i="2" s="1"/>
  <c r="H8" i="2"/>
  <c r="F8" i="2"/>
  <c r="I8" i="2" s="1"/>
  <c r="J8" i="2" s="1"/>
  <c r="H7" i="2"/>
  <c r="F7" i="2"/>
  <c r="I7" i="2" s="1"/>
  <c r="J7" i="2" s="1"/>
  <c r="H6" i="2"/>
  <c r="F6" i="2"/>
  <c r="I6" i="2" s="1"/>
  <c r="J6" i="2" s="1"/>
  <c r="H5" i="2"/>
  <c r="F5" i="2"/>
  <c r="I5" i="2" s="1"/>
  <c r="J5" i="2" s="1"/>
  <c r="H4" i="2"/>
  <c r="F4" i="2"/>
  <c r="I4" i="2" s="1"/>
  <c r="J4" i="2" s="1"/>
  <c r="H3" i="2"/>
  <c r="F3" i="2"/>
  <c r="I3" i="2" s="1"/>
  <c r="J3" i="2" s="1"/>
  <c r="H2" i="2"/>
  <c r="F2" i="2"/>
  <c r="I2" i="2" s="1"/>
  <c r="J2" i="2" s="1"/>
</calcChain>
</file>

<file path=xl/sharedStrings.xml><?xml version="1.0" encoding="utf-8"?>
<sst xmlns="http://schemas.openxmlformats.org/spreadsheetml/2006/main" count="3901" uniqueCount="618">
  <si>
    <t>HIPAA vs HITRUST e1 — Granular Overlap Crosswalk</t>
  </si>
  <si>
    <t>Source files used</t>
  </si>
  <si>
    <t>Metric</t>
  </si>
  <si>
    <t>Value</t>
  </si>
  <si>
    <t>Most reused control pairs</t>
  </si>
  <si>
    <t>HITRUST e1.csv</t>
  </si>
  <si>
    <t>Overlapping action items</t>
  </si>
  <si>
    <t>HIPAA</t>
  </si>
  <si>
    <t>HITRUST</t>
  </si>
  <si>
    <t>Count</t>
  </si>
  <si>
    <t>HIPAA Security.csv</t>
  </si>
  <si>
    <t>Normalized control-pair/action-item tuples</t>
  </si>
  <si>
    <t>REQ-1-HIPAA</t>
  </si>
  <si>
    <t>0113.04a1Organizational.2</t>
  </si>
  <si>
    <t>Distinct HIPAA ↔ HITRUST control pairs</t>
  </si>
  <si>
    <t>REQ-12-HIPAA</t>
  </si>
  <si>
    <t>1:1 action-item overlaps</t>
  </si>
  <si>
    <t>REQ-13-HIPAA</t>
  </si>
  <si>
    <t>1:Many action-item overlaps</t>
  </si>
  <si>
    <t>REQ-17-HIPAA</t>
  </si>
  <si>
    <t>1704.03b1Organizational.12</t>
  </si>
  <si>
    <t>Many:1 action-item overlaps</t>
  </si>
  <si>
    <t>REQ-20-HIPAA</t>
  </si>
  <si>
    <t>Many:Many action-item overlaps</t>
  </si>
  <si>
    <t>REQ-26-HIPAA</t>
  </si>
  <si>
    <t>10.01d1System.10</t>
  </si>
  <si>
    <t>REQ-29-HIPAA</t>
  </si>
  <si>
    <t>11.01e1System.2</t>
  </si>
  <si>
    <t>Second pass added 45 CFR citations from public authoritative HHS/OCR and eCFR sources. Where the uploaded spreadsheets exposed only internal HIPAA control IDs (not official section labels), the workbook marks the citation as Direct, Composite, or Best-fit based on the action-item context and OCR guidance.</t>
  </si>
  <si>
    <t>REQ-31-HIPAA</t>
  </si>
  <si>
    <t>11143.02i1Organizational.3</t>
  </si>
  <si>
    <t>REQ-33-HIPAA</t>
  </si>
  <si>
    <t>04.01x1Organizational.5</t>
  </si>
  <si>
    <t>REQ-35-HIPAA</t>
  </si>
  <si>
    <t>REQ-55-HIPAA</t>
  </si>
  <si>
    <t>06.09b1System.2</t>
  </si>
  <si>
    <t>How to read the tabs</t>
  </si>
  <si>
    <t>Action_Item_Overlap</t>
  </si>
  <si>
    <t>One row per shared action item, with control lists on both sides and action-level mapping cardinality.</t>
  </si>
  <si>
    <t>Normalized_Tuples</t>
  </si>
  <si>
    <t>Most granular view: one row per HIPAA control ↔ HITRUST e1 control within a shared action item.</t>
  </si>
  <si>
    <t>Pair_Summary</t>
  </si>
  <si>
    <t>Deduplicated control pairs, plus the action items where each pair appears.</t>
  </si>
  <si>
    <t>Second-pass 45 CFR enrichment</t>
  </si>
  <si>
    <t>45 CFR metric</t>
  </si>
  <si>
    <t>Normalized tuples with added 45 CFR citations</t>
  </si>
  <si>
    <t>Distinct (HIPAA control, action item) citation mappings</t>
  </si>
  <si>
    <t>Rows with direct matches</t>
  </si>
  <si>
    <t>Rows with composite matches</t>
  </si>
  <si>
    <t>Rows with best-fit matches</t>
  </si>
  <si>
    <t>New tabs in this version</t>
  </si>
  <si>
    <t>HIPAA_45CFR_Mapping</t>
  </si>
  <si>
    <t>Unique HIPAA-control + action-item contexts with the added 45 CFR citations, confidence level, basis, and source URLs.</t>
  </si>
  <si>
    <t>Source_Register</t>
  </si>
  <si>
    <t>Register of authoritative public HHS/OCR and eCFR sources used for the citation enrichment.</t>
  </si>
  <si>
    <t>Source File</t>
  </si>
  <si>
    <t>Reference ID</t>
  </si>
  <si>
    <t>Category</t>
  </si>
  <si>
    <t>Action Item</t>
  </si>
  <si>
    <t>HIPAA Controls</t>
  </si>
  <si>
    <t>HIPAA Control Count</t>
  </si>
  <si>
    <t>HITRUST e1 Controls</t>
  </si>
  <si>
    <t>HITRUST Control Count</t>
  </si>
  <si>
    <t>Mapping Type</t>
  </si>
  <si>
    <t>Overlap Notes</t>
  </si>
  <si>
    <t>HIPAA 45 CFR Citation(s)</t>
  </si>
  <si>
    <t>HIPAA Standard / Spec</t>
  </si>
  <si>
    <t>45 CFR Mapping Confidence</t>
  </si>
  <si>
    <t>45 CFR Mapping Basis</t>
  </si>
  <si>
    <t>Authoritative Public Source URL(s)</t>
  </si>
  <si>
    <t>45 CFR Notes</t>
  </si>
  <si>
    <t>ER-18</t>
  </si>
  <si>
    <t>Configuration</t>
  </si>
  <si>
    <t>Anti-malware and Alerts</t>
  </si>
  <si>
    <t>REQ-38-HIPAA</t>
  </si>
  <si>
    <t>0226.09k1Organizational.2, 08.09m1Organizational.8, 02962.09j1Organizational.5, 0207.09j1Organizational.6</t>
  </si>
  <si>
    <t>45 CFR § 164.308(a)(5)(ii)(B)</t>
  </si>
  <si>
    <t>Security Awareness and Training — Protection from Malicious Software</t>
  </si>
  <si>
    <t>Direct</t>
  </si>
  <si>
    <t>Anti-malware evidence aligns directly to guarding against, detecting, and reporting malicious software.</t>
  </si>
  <si>
    <t>https://www.ecfr.gov/current/title-45/subtitle-A/subchapter-C/part-164/section-164.308 | https://www.hhs.gov/sites/default/files/ocr/privacy/hipaa/administrative/securityrule/adminsafeguards.pdf | https://www.hhs.gov/sites/default/files/ocr/privacy/hipaa/administrative/combined/hipaa-simplification-201303.pdf</t>
  </si>
  <si>
    <t>Alerts are treated as part of guarding against/detecting malicious software.</t>
  </si>
  <si>
    <t>ER-114</t>
  </si>
  <si>
    <t>Backups and Schedules</t>
  </si>
  <si>
    <t>REQ-62-HIPAA, REQ-63-HIPAA</t>
  </si>
  <si>
    <t>1616.09l1Organizational.16, 16.09l1Organizational.4, 1618.09l1Organizational.45</t>
  </si>
  <si>
    <t>45 CFR § 164.308(a)(7)(ii)(A) | 45 CFR § 164.308(a)(7)(ii)(B)</t>
  </si>
  <si>
    <t>Contingency Plan — Data Backup Plan | Contingency Plan — Disaster Recovery Plan</t>
  </si>
  <si>
    <t>Direct | Best-fit</t>
  </si>
  <si>
    <t>Backup schedules most directly align to maintaining retrievable exact copies of ePHI. | Backup/replication planning most closely aligns to restoring lost data and recovering operations after a disruption.</t>
  </si>
  <si>
    <t>https://www.ecfr.gov/current/title-45/subtitle-A/subchapter-C/part-164/section-164.308 | https://www.hhs.gov/hipaa/for-professionals/compliance-enforcement/audit/protocol/index.html | https://www.hhs.gov/hipaa/for-professionals/security/guidance/cybersecurity/ransomware-fact-sheet/index.html | https://www.hhs.gov/sites/default/files/ocr/privacy/hipaa/administrative/combined/hipaa-simplification-201303.pdf</t>
  </si>
  <si>
    <t>Used for backup schedule evidence. | Used for schedule-level backup rows when the internal control appears to emphasize recoverability/replication.</t>
  </si>
  <si>
    <t>ER-1</t>
  </si>
  <si>
    <t>Data Encryption at Rest</t>
  </si>
  <si>
    <t>REQ-33-HIPAA, REQ-34-HIPAA, REQ-35-HIPAA</t>
  </si>
  <si>
    <t>04.01x1Organizational.5, 1903.06d1Organizational.3456711</t>
  </si>
  <si>
    <t>45 CFR § 164.312(a)(2)(iv)</t>
  </si>
  <si>
    <t>Access Control — Encryption and Decryption</t>
  </si>
  <si>
    <t>At-rest encryption evidence aligns directly to the encryption/decryption implementation specification under access control. | Control/action-item context aligns to at-rest encryption. | This internal control ID also appears on an at-rest encryption row in the source spreadsheets, so the row context points to at-rest encryption even though the same control family also covers transmission encryption elsewhere.</t>
  </si>
  <si>
    <t>https://www.ecfr.gov/current/title-45/subtitle-A/subchapter-C/part-164/section-164.312 | https://www.hhs.gov/hipaa/for-professionals/compliance-enforcement/audit/protocol/index.html | https://www.hhs.gov/sites/default/files/ocr/privacy/hipaa/administrative/combined/hipaa-simplification-201303.pdf</t>
  </si>
  <si>
    <t>Used when the shared action item is explicitly at-rest encryption. | Used for data-encryption-at-rest rows. | Row-context mapping takes precedence over the broader internal control family.</t>
  </si>
  <si>
    <t>ER-3</t>
  </si>
  <si>
    <t>Encryption In Transit (Ex. TLS Protocols)</t>
  </si>
  <si>
    <t>REQ-33-HIPAA, REQ-35-HIPAA</t>
  </si>
  <si>
    <t>04.01x1Organizational.5, 0913.09s1Organizational.5, 1013.01r1System.2, 0862.09m2Organizational.8, 0928.09v2Organizational.1, 0945.09y1Organizational.3, 0954.10d1System.1, 0903.10f1Organizational.1.a</t>
  </si>
  <si>
    <t>45 CFR § 164.312(e)(2)(ii)</t>
  </si>
  <si>
    <t>Transmission Security — Encryption</t>
  </si>
  <si>
    <t>Transmission-encryption evidence aligns directly to the transmission-security encryption implementation specification. | Action item explicitly addresses encryption in transit.</t>
  </si>
  <si>
    <t>https://www.ecfr.gov/current/title-45/subtitle-A/subchapter-C/part-164/section-164.312 | https://www.hhs.gov/sites/default/files/ocr/privacy/hipaa/administrative/combined/hipaa-simplification-201303.pdf | https://www.hhs.gov/hipaa/for-professionals/security/guidance/cybersecurity-newsletter-january-2026/index.html</t>
  </si>
  <si>
    <t>Used when the shared action item is explicitly in-transit encryption. | Used for transport/TLS evidence.</t>
  </si>
  <si>
    <t>ER-88</t>
  </si>
  <si>
    <t>Evidence of Multi-Factor Authentication</t>
  </si>
  <si>
    <t>REQ-27-HIPAA</t>
  </si>
  <si>
    <t>11.01q1System.3, 11.01q1System.4</t>
  </si>
  <si>
    <t>45 CFR § 164.312(d)</t>
  </si>
  <si>
    <t>Person or Entity Authentication</t>
  </si>
  <si>
    <t>MFA evidence most directly supports verifying that the person or entity seeking access is the one claimed.</t>
  </si>
  <si>
    <t>https://www.ecfr.gov/current/title-45/subtitle-A/subchapter-C/part-164/section-164.312 | https://www.hhs.gov/hipaa/for-professionals/compliance-enforcement/audit/protocol/index.html | https://www.hhs.gov/hipaa/for-professionals/security/guidance/cybersecurity-newsletter-january-2026/index.html</t>
  </si>
  <si>
    <t>HIPAA does not mandate a specific technology such as MFA in all cases, but MFA evidence is a strong implementation of this standard.</t>
  </si>
  <si>
    <t>ER-91</t>
  </si>
  <si>
    <t>Firewall Rules/Security Groups</t>
  </si>
  <si>
    <t>REQ-37-HIPAA</t>
  </si>
  <si>
    <t>0265.09m1Organizational.2, 0805.01m1Organizational.12</t>
  </si>
  <si>
    <t>45 CFR § 164.312(a)(1)</t>
  </si>
  <si>
    <t>Access Control</t>
  </si>
  <si>
    <t>Best-fit</t>
  </si>
  <si>
    <t>Firewall rules/security groups are a technical means of enforcing access restrictions around systems containing ePHI.</t>
  </si>
  <si>
    <t>https://www.ecfr.gov/current/title-45/subtitle-A/subchapter-C/part-164/section-164.312 | https://www.hhs.gov/hipaa/for-professionals/compliance-enforcement/audit/protocol/index.html | https://www.hhs.gov/hipaa/for-professionals/security/guidance/cybersecurity-newsletter-summer-2019/index.html</t>
  </si>
  <si>
    <t>Mapped to the broad access-control standard because HIPAA does not list firewall rules as a separate named specification.</t>
  </si>
  <si>
    <t>ER-12</t>
  </si>
  <si>
    <t>List of All Production Systems (Servers, VMs, Data Stores)</t>
  </si>
  <si>
    <t>REQ-33-HIPAA, REQ-34-HIPAA, REQ-43-HIPAA, REQ-102-HIPAA</t>
  </si>
  <si>
    <t>0701.07a1Organizational.8, 0701.07a1Organizational.7, 07.07a1Organizational.8</t>
  </si>
  <si>
    <t>45 CFR § 164.308(a)(1)(ii)(A) | 45 CFR § 164.312(a)(2)(iv) | 45 CFR § 164.312(e)(2)(ii) | 45 CFR § 164.308(a)(1)(ii)(B)</t>
  </si>
  <si>
    <t>Security Management Process — Risk Analysis | Access Control — Encryption and Decryption | Transmission Security — Encryption | Security Management Process — Risk Management</t>
  </si>
  <si>
    <t>Best-fit composite | Best-fit</t>
  </si>
  <si>
    <t>System-inventory evidence is not explicitly named in the Security Rule, but OCR guidance treats asset inventories and system scoping as supporting accurate risk analysis and implementation of encryption safeguards. | System inventory supports scoping/coverage of at-rest encryption and accurate risk analysis. | A production-systems inventory is supporting evidence for patch coverage and vulnerability scoping under risk analysis/risk management. | HIPAA does not expressly mandate an IT asset inventory, but OCR guidance says a comprehensive technology asset inventory and ePHI data-flow diagrams are valuable tools for an accurate and thorough risk analysis.</t>
  </si>
  <si>
    <t>https://www.ecfr.gov/current/title-45/subtitle-A/subchapter-C/part-164/section-164.308 | https://www.ecfr.gov/current/title-45/subtitle-A/subchapter-C/part-164/section-164.312 | https://www.hhs.gov/hipaa/for-professionals/security/guidance/guidance-risk-analysis/index.html | https://www.hhs.gov/hipaa/for-professionals/security/guidance/cybersecurity-newsletter-october-2024/index.html | https://www.hhs.gov/hipaa/for-professionals/security/guidance/cybersecurity-newsletter-january-2026/index.html</t>
  </si>
  <si>
    <t>Inventory/list-of-systems evidence is supporting evidence for encryption coverage, not a standalone named HIPAA inventory mandate. | Asset inventory is supporting evidence rather than an explicit standalone at-rest-encryption requirement. | OCR guidance treats a technology asset inventory as a valuable tool for accurate and thorough risk analysis. | Mapped as supporting evidence for risk analysis rather than as a standalone named HIPAA inventory control.</t>
  </si>
  <si>
    <t>ER-83</t>
  </si>
  <si>
    <t>Network Diagram and Segmentation</t>
  </si>
  <si>
    <t>REQ-36-HIPAA</t>
  </si>
  <si>
    <t>0805.01m1Organizational.12, 0504.09m1Organizational.13</t>
  </si>
  <si>
    <t>HIPAA does not explicitly name network segmentation, but OCR guidance and enforcement materials cite segmentation as a way to implement access control between systems.</t>
  </si>
  <si>
    <t>https://www.ecfr.gov/current/title-45/subtitle-A/subchapter-C/part-164/section-164.312 | https://www.hhs.gov/hipaa/for-professionals/security/guidance/cybersecurity-newsletter-january-2026/index.html | https://www.hhs.gov/hipaa/for-professionals/security/guidance/cybersecurity-newsletter-summer-2019/index.html</t>
  </si>
  <si>
    <t>Mapped as an access-control implementation example rather than a standalone named HIPAA implementation specification.</t>
  </si>
  <si>
    <t>ER-67</t>
  </si>
  <si>
    <t>Password Vault and Shared Accounts</t>
  </si>
  <si>
    <t>REQ-28-HIPAA, REQ-31-HIPAA</t>
  </si>
  <si>
    <t>1123.01q1System.2</t>
  </si>
  <si>
    <t>45 CFR § 164.312(a)(2)(i) | 45 CFR § 164.308(a)(4)(ii)(C) | 45 CFR § 164.308(a)(3)(ii)(C)</t>
  </si>
  <si>
    <t>Access Control — Unique User Identification | Information Access Management — Access Establishment and Modification | Workforce Security — Termination Procedures</t>
  </si>
  <si>
    <t>Composite</t>
  </si>
  <si>
    <t>Password-vault/shared-account and privileged-access evidence supports unique attribution of user activity and management of privileged rights. | Shared-account and privileged-access listings support timely removal of departing users and accountability for access tied to individuals.</t>
  </si>
  <si>
    <t>https://www.ecfr.gov/current/title-45/subtitle-A/subchapter-C/part-164/section-164.312 | https://www.ecfr.gov/current/title-45/subtitle-A/subchapter-C/part-164/section-164.308 | https://www.hhs.gov/hipaa/for-professionals/compliance-enforcement/audit/protocol/index.html | https://www.hhs.gov/sites/default/files/ocr/privacy/hipaa/administrative/securityrule/adminsafeguards.pdf | https://www.hhs.gov/hipaa/for-professionals/security/guidance/cybersecurity-newsletter-summer-2019/index.html</t>
  </si>
  <si>
    <t>Shared or generic-account controls are best matched to unique user identification, with access-right administration as a secondary basis. | Best read as supporting evidence that terminated users are removed from shared/privileged access paths.</t>
  </si>
  <si>
    <t>ER-25</t>
  </si>
  <si>
    <t>Passwords for All In-Scope Production Systems</t>
  </si>
  <si>
    <t>45 CFR § 164.308(a)(5)(ii)(D) | 45 CFR § 164.312(a)(1)</t>
  </si>
  <si>
    <t>Security Awareness and Training — Password Management | Access Control</t>
  </si>
  <si>
    <t>Password configuration evidence most directly aligns to password-management requirements and the broader access-control standard.</t>
  </si>
  <si>
    <t>https://www.ecfr.gov/current/title-45/subtitle-A/subchapter-C/part-164/section-164.308 | https://www.ecfr.gov/current/title-45/subtitle-A/subchapter-C/part-164/section-164.312 | https://www.hhs.gov/sites/default/files/ocr/privacy/hipaa/administrative/securityrule/adminsafeguards.pdf | https://www.hhs.gov/hipaa/for-professionals/compliance-enforcement/audit/protocol/index.html</t>
  </si>
  <si>
    <t>This row is password-configuration evidence; MFA is not the primary evidence artifact here.</t>
  </si>
  <si>
    <t>ER-271</t>
  </si>
  <si>
    <t>Operational</t>
  </si>
  <si>
    <t>Asset Custody Log</t>
  </si>
  <si>
    <t>REQ-109-HIPAA</t>
  </si>
  <si>
    <t>0704.07a1Organizational.8, 0701.07a1Organizational.8</t>
  </si>
  <si>
    <t>45 CFR § 164.310(d)(2)(iii)</t>
  </si>
  <si>
    <t>Device and Media Controls — Accountability</t>
  </si>
  <si>
    <t>Asset custody logs align directly to maintaining a record of the movements of hardware/electronic media and the person responsible.</t>
  </si>
  <si>
    <t>https://www.ecfr.gov/current/title-45/subtitle-A/subchapter-C/part-164/section-164.310 | https://www.hhs.gov/hipaa/for-professionals/compliance-enforcement/audit/protocol/index.html | https://www.hhs.gov/sites/default/files/ocr/privacy/hipaa/administrative/combined/hipaa-simplification-201303.pdf</t>
  </si>
  <si>
    <t>Used for custody/chain-of-responsibility evidence.</t>
  </si>
  <si>
    <t>ER-123</t>
  </si>
  <si>
    <t>Completed Production Data Backup Test</t>
  </si>
  <si>
    <t>REQ-61-HIPAA</t>
  </si>
  <si>
    <t>1616.09l1Organizational.16</t>
  </si>
  <si>
    <t>45 CFR § 164.308(a)(7)(ii)(D)</t>
  </si>
  <si>
    <t>Contingency Plan — Testing and Revision Procedure</t>
  </si>
  <si>
    <t>A completed backup test aligns directly to periodic testing/revision of contingency plans.</t>
  </si>
  <si>
    <t>https://www.ecfr.gov/current/title-45/subtitle-A/subchapter-C/part-164/section-164.308 | https://www.hhs.gov/hipaa/for-professionals/compliance-enforcement/audit/protocol/index.html | https://www.hhs.gov/hipaa/for-professionals/security/guidance/cybersecurity/ransomware-fact-sheet/index.html</t>
  </si>
  <si>
    <t>Used for explicit backup-test evidence.</t>
  </si>
  <si>
    <t>ER-56</t>
  </si>
  <si>
    <t>Information Security Policy Repository</t>
  </si>
  <si>
    <t>REQ-1-HIPAA, REQ-12-HIPAA, REQ-13-HIPAA</t>
  </si>
  <si>
    <t>45 CFR § 164.316(a) | 45 CFR § 164.316(b)(1) | 45 CFR § 164.308(a)(5)</t>
  </si>
  <si>
    <t>Policies and Procedures | Documentation | Security Awareness and Training</t>
  </si>
  <si>
    <t>Best-fit (broad policy control) | Direct</t>
  </si>
  <si>
    <t>Internal control/action item is a general information-security policy repository rather than a single named HIPAA implementation specification; mapped to the Security Rule's policies/procedures and documentation requirements. | Action item and control context align to workforce security-awareness training for new hires. | Action item and control context align to ongoing/current-employee security-awareness training.</t>
  </si>
  <si>
    <t>https://www.ecfr.gov/current/title-45/subtitle-A/subchapter-C/part-164/section-164.316 | https://www.hhs.gov/sites/default/files/ocr/privacy/hipaa/administrative/securityrule/pprequirements.pdf | https://www.hhs.gov/ocr/privacy/hipaa/administrative/securityrule/index.html | https://www.ecfr.gov/current/title-45/subtitle-A/subchapter-C/part-164/section-164.308 | https://www.hhs.gov/sites/default/files/ocr/privacy/hipaa/administrative/combined/hipaa-simplification-201303.pdf | https://www.hhs.gov/sites/default/files/ocr/privacy/hipaa/administrative/securityrule/adminsafeguards.pdf</t>
  </si>
  <si>
    <t>Used as the umbrella HIPAA citation for documented security policies. This is broader than any single safeguard requirement. | Mapped at the standard level because the spreadsheet does not break new-hire training into the more granular addressable sub-specifications. | Mapped at the standard level because the spreadsheet expresses periodic training broadly, not only reminders or phishing-specific sub-controls.</t>
  </si>
  <si>
    <t>ER-105</t>
  </si>
  <si>
    <t>Risk Assessment</t>
  </si>
  <si>
    <t>REQ-17-HIPAA, REQ-20-HIPAA, REQ-110-HIPAA</t>
  </si>
  <si>
    <t>45 CFR § 164.308(a)(1)(ii)(A) | 45 CFR § 164.308(a)(1)(ii)(B)</t>
  </si>
  <si>
    <t>Security Management Process — Risk Analysis | Security Management Process — Risk Management</t>
  </si>
  <si>
    <t>Control context aligns to identifying risks and vulnerabilities to ePHI. | Control context aligns to reducing identified risks and vulnerabilities to a reasonable and appropriate level. | The source spreadsheet only exposes an internal control ID on the Risk Assessment action item, so the closest authoritative HIPAA citation is Risk Analysis.</t>
  </si>
  <si>
    <t>https://www.ecfr.gov/current/title-45/subtitle-A/subchapter-C/part-164/section-164.308 | https://www.hhs.gov/sites/default/files/ocr/privacy/hipaa/administrative/combined/hipaa-simplification-201303.pdf | https://www.hhs.gov/hipaa/for-professionals/security/guidance/guidance-risk-analysis/index.html</t>
  </si>
  <si>
    <t>Risk analysis is the most direct HIPAA citation for assessment-oriented rows. | Used for policy and operational rows focused on treatment/mitigation of identified risks. | Matched by action-item semantics because the internal control itself is not labeled with an official HIPAA section.</t>
  </si>
  <si>
    <t>ER-86</t>
  </si>
  <si>
    <t>Policy</t>
  </si>
  <si>
    <t>REQ-29-HIPAA, REQ-24-HIPAA, REQ-30-HIPAA, REQ-31-HIPAA</t>
  </si>
  <si>
    <t>45 CFR § 164.308(a)(4)(ii)(C) | 45 CFR § 164.312(a)(1) | 45 CFR § 164.308(a)(4)(i) | 45 CFR § 164.308(a)(4)(ii)(B) | 45 CFR § 164.308(a)(3)(ii)(C)</t>
  </si>
  <si>
    <t>Information Access Management — Access Establishment and Modification | Access Control | Information Access Management | Information Access Management — Access Authorization | Workforce Security — Termination Procedures</t>
  </si>
  <si>
    <t>Direct | Composite</t>
  </si>
  <si>
    <t>Access-review documentation aligns directly to the requirement to establish, document, review, and modify user rights of access. | Broad access-control policy control spans both the technical access-control standard and the administrative information-access-management standard. | New-hire access request and approval evidence aligns directly to access authorization. | The same internal control appears within a general access-control policy row; termination remains the most likely HIPAA basis, with access-right modification as supporting context.</t>
  </si>
  <si>
    <t>https://www.ecfr.gov/current/title-45/subtitle-A/subchapter-C/part-164/section-164.308 | https://www.hhs.gov/hipaa/for-professionals/compliance-enforcement/audit/protocol/index.html | https://www.hhs.gov/sites/default/files/ocr/privacy/hipaa/administrative/securityrule/adminsafeguards.pdf | https://www.ecfr.gov/current/title-45/subtitle-A/subchapter-C/part-164/section-164.312 | https://www.hhs.gov/sites/default/files/ocr/privacy/hipaa/administrative/combined/hipaa-simplification-201303.pdf | https://www.hhs.gov/hipaa/for-professionals/security/guidance/cybersecurity-newsletter-summer-2019/index.html</t>
  </si>
  <si>
    <t>Used for both access-review evidence and broader policy statements that emphasize periodic review/modification. | Used when the spreadsheet row is a general access-control policy without a narrower authorization/review/termination artifact. | Used for access-request forms/templates and access-control rows that center on approvals. | Mapped conservatively because the internal control ID spans both termination evidence and access-control policy language.</t>
  </si>
  <si>
    <t>ER-115</t>
  </si>
  <si>
    <t>Backups</t>
  </si>
  <si>
    <t>REQ-61-HIPAA, REQ-60-HIPAA</t>
  </si>
  <si>
    <t>45 CFR § 164.308(a)(7)(ii)(A) | 45 CFR § 164.308(a)(7)(ii)(D)</t>
  </si>
  <si>
    <t>Contingency Plan — Data Backup Plan | Contingency Plan — Testing and Revision Procedure</t>
  </si>
  <si>
    <t>Composite | Direct</t>
  </si>
  <si>
    <t>This internal control appears on general backup-policy rows and explicit backup-test rows, so both backup-plan and test/revision citations are included. | Backup policy aligns directly to creation and maintenance of retrievable exact copies of ePHI.</t>
  </si>
  <si>
    <t>Broader than a single implementation specification because the source spreadsheet uses the same control across planning and testing evidence. | Used for backup-policy rows.</t>
  </si>
  <si>
    <t>ER-61</t>
  </si>
  <si>
    <t>Change Management</t>
  </si>
  <si>
    <t>REQ-53-HIPAA</t>
  </si>
  <si>
    <t>06.09b1System.2, 1769.09i1System.12</t>
  </si>
  <si>
    <t>45 CFR § 164.308(a)(8) | 45 CFR § 164.306(e) | 45 CFR § 164.316(b)(2)(iii)</t>
  </si>
  <si>
    <t>Evaluation | Maintenance | Documentation — Updates</t>
  </si>
  <si>
    <t>Best-fit composite</t>
  </si>
  <si>
    <t>HIPAA does not expressly name change management, but OCR guidance links environmental/operational changes to ongoing evaluation, maintenance, and updating of security documentation.</t>
  </si>
  <si>
    <t>https://www.ecfr.gov/current/title-45/subtitle-A/subchapter-C/part-164/section-164.308 | https://www.ecfr.gov/current/title-45/subtitle-A/subchapter-C/part-164/section-164.306 | https://www.ecfr.gov/current/title-45/subtitle-A/subchapter-C/part-164/section-164.316 | https://www.hhs.gov/hipaa/for-professionals/security/guidance/cybersecurity-newsletter-january-2026/index.html | https://www.hhs.gov/hipaa/for-professionals/security/guidance/guidance-risk-analysis/index.html</t>
  </si>
  <si>
    <t>Used for the change-management policy row as the closest HIPAA analogue.</t>
  </si>
  <si>
    <t>ER-108</t>
  </si>
  <si>
    <t>Data Classification, Retention and Disposal</t>
  </si>
  <si>
    <t>REQ-32-HIPAA, REQ-67-HIPAA, REQ-66-HIPAA</t>
  </si>
  <si>
    <t>1239.09aa1System.4, 1616.09l1Organizational.16, 1767.07d1Organizational.2, 0305.09q1Organizational.12, 19142.06c1Organizational.8</t>
  </si>
  <si>
    <t>45 CFR § 164.310(d)(2)(i) | 45 CFR § 164.310(d)(2)(ii)</t>
  </si>
  <si>
    <t>Device and Media Controls — Disposal | Device and Media Controls — Media Re-use</t>
  </si>
  <si>
    <t>The direct HIPAA overlap in this action item is final disposition/disposal; HIPAA does not explicitly name data classification or retention as standalone Security Rule specifications. | In this overlap set, the control appears through a data-retention/disposal action item, so disposal is the closest direct HIPAA citation. | Within the data-retention/disposal action item, this internal control is best matched to sanitization/reuse of media; HIPAA does not separately name classification or retention.</t>
  </si>
  <si>
    <t>https://www.ecfr.gov/current/title-45/subtitle-A/subchapter-C/part-164/section-164.310 | https://www.hhs.gov/hipaa/for-professionals/compliance-enforcement/audit/protocol/index.html | https://www.hhs.gov/hipaa/for-professionals/faq/575/what-does-hipaa-require-of-covered-entities-when-they-dispose-information/index.html</t>
  </si>
  <si>
    <t>Only the disposal portion of the action item maps directly to an express HIPAA implementation specification. | This same internal control also appears on customer-contract rows elsewhere in the uploaded spreadsheets, but that contractual context is not the shared action item here. | Only the media-reuse/sanitization aspect maps directly to an express HIPAA specification.</t>
  </si>
  <si>
    <t>ER-55</t>
  </si>
  <si>
    <t>Incident Response</t>
  </si>
  <si>
    <t>REQ-48-HIPAA, REQ-49-HIPAA</t>
  </si>
  <si>
    <t>1561.11c1Organizational.4, 1589.11c1Organizational.5</t>
  </si>
  <si>
    <t>45 CFR § 164.308(a)(6)(i) | 45 CFR § 164.308(a)(6)(ii)</t>
  </si>
  <si>
    <t>Security Incident Procedures | Security Incident Procedures — Response and Reporting</t>
  </si>
  <si>
    <t>Incident-response policy aligns directly to the Security Incident Procedures standard. | This internal control best aligns to the response/reporting implementation specification under incident procedures.</t>
  </si>
  <si>
    <t>https://www.ecfr.gov/current/title-45/subtitle-A/subchapter-C/part-164/section-164.308 | https://www.hhs.gov/sites/default/files/ocr/privacy/hipaa/administrative/combined/hipaa-simplification-201303.pdf | https://www.hhs.gov/hipaa/for-professionals/faq/2002/what-does-the-security-rule-require-a-covered-entity-to-do-to-comply/index.html</t>
  </si>
  <si>
    <t>Used for policy-level incident-response rows. | Used where the spreadsheet distinguishes the response/reporting component of incident handling.</t>
  </si>
  <si>
    <t>ER-57</t>
  </si>
  <si>
    <t>Information Security</t>
  </si>
  <si>
    <t>ER-24</t>
  </si>
  <si>
    <t>Password and Multi-Factor Authentication</t>
  </si>
  <si>
    <t>10.01d1System.10, 11.01p1System.5</t>
  </si>
  <si>
    <t>45 CFR § 164.308(a)(5)(ii)(D) | 45 CFR § 164.312(d)</t>
  </si>
  <si>
    <t>Security Awareness and Training — Password Management | Person or Entity Authentication</t>
  </si>
  <si>
    <t>Action item explicitly combines password controls with MFA, so both password management and authentication verification are cited.</t>
  </si>
  <si>
    <t>Covers password creation/change/safeguarding and MFA-style authentication evidence.</t>
  </si>
  <si>
    <t>ER-41</t>
  </si>
  <si>
    <t>Risk Management</t>
  </si>
  <si>
    <t>REQ-17-HIPAA, REQ-20-HIPAA</t>
  </si>
  <si>
    <t>1704.03b1Organizational.12, 1701.03a1Organizational.12345678</t>
  </si>
  <si>
    <t>Control context aligns to identifying risks and vulnerabilities to ePHI. | Control context aligns to reducing identified risks and vulnerabilities to a reasonable and appropriate level.</t>
  </si>
  <si>
    <t>Risk analysis is the most direct HIPAA citation for assessment-oriented rows. | Used for policy and operational rows focused on treatment/mitigation of identified risks.</t>
  </si>
  <si>
    <t>ER-141</t>
  </si>
  <si>
    <t>Population</t>
  </si>
  <si>
    <t>All Incidents Identified During the Review Period [INSERT EXAM PERIOD]</t>
  </si>
  <si>
    <t>REQ-50-HIPAA, REQ-995-HIPAA</t>
  </si>
  <si>
    <t>1561.11c1Organizational.4</t>
  </si>
  <si>
    <t>45 CFR § 164.308(a)(6)(ii) | 45 CFR § 164.316(b)(1)</t>
  </si>
  <si>
    <t>Security Incident Procedures — Response and Reporting | Documentation</t>
  </si>
  <si>
    <t>Composite | Best-fit composite</t>
  </si>
  <si>
    <t>Incident tickets/population evidence show response/reporting activities and the required documentation of incidents and outcomes. | Generic population/evidence control used to show incidents and outcomes during the review period.</t>
  </si>
  <si>
    <t>https://www.ecfr.gov/current/title-45/subtitle-A/subchapter-C/part-164/section-164.308 | https://www.ecfr.gov/current/title-45/subtitle-A/subchapter-C/part-164/section-164.316 | https://www.hhs.gov/hipaa/for-professionals/faq/2002/what-does-the-security-rule-require-a-covered-entity-to-do-to-comply/index.html | https://www.hhs.gov/hipaa/for-professionals/compliance-enforcement/audit/protocol/index.html</t>
  </si>
  <si>
    <t>Documentation is added because the evidence row is a ticket/log of incidents during the review period. | Internal control is generic; citation follows the specific evidence row context.</t>
  </si>
  <si>
    <t>ER-139</t>
  </si>
  <si>
    <t>All Software and Infrastructure Production Changes During the Review Period [INSERT EXAM PERIOD]</t>
  </si>
  <si>
    <t>REQ-55-HIPAA, REQ-995-HIPAA</t>
  </si>
  <si>
    <t>06.09b1System.2, 1704.03b1Organizational.12</t>
  </si>
  <si>
    <t>45 CFR § 164.308(a)(8) | 45 CFR § 164.316(b)(1)</t>
  </si>
  <si>
    <t>Evaluation | Documentation</t>
  </si>
  <si>
    <t>Production-change tickets/population evidence are not a named HIPAA specification, but they are strong evidence of evaluating and documenting operational changes affecting ePHI safeguards. | Generic population/evidence control used to show production changes during the review period.</t>
  </si>
  <si>
    <t>https://www.ecfr.gov/current/title-45/subtitle-A/subchapter-C/part-164/section-164.308 | https://www.ecfr.gov/current/title-45/subtitle-A/subchapter-C/part-164/section-164.316 | https://www.hhs.gov/hipaa/for-professionals/security/guidance/cybersecurity-newsletter-january-2026/index.html | https://www.hhs.gov/hipaa/for-professionals/security/guidance/guidance-risk-analysis/index.html</t>
  </si>
  <si>
    <t>Best-fit evidence mapping; HIPAA does not mandate a particular ticketing mechanism. | Internal control is generic; citation follows the specific evidence row context.</t>
  </si>
  <si>
    <t>ER-136</t>
  </si>
  <si>
    <t>All Terminated Employees During the Review Period [INSERT EXAM PERIOD]</t>
  </si>
  <si>
    <t>REQ-31-HIPAA, REQ-995-HIPAA</t>
  </si>
  <si>
    <t>45 CFR § 164.308(a)(3)(ii)(C) | 45 CFR § 164.316(b)(1)</t>
  </si>
  <si>
    <t>Workforce Security — Termination Procedures | Documentation</t>
  </si>
  <si>
    <t>Termination tickets/population evidence align directly to terminating access and documenting the action taken. | Generic population/evidence control used to show termination-related access removals during the review period.</t>
  </si>
  <si>
    <t>https://www.ecfr.gov/current/title-45/subtitle-A/subchapter-C/part-164/section-164.308 | https://www.ecfr.gov/current/title-45/subtitle-A/subchapter-C/part-164/section-164.316 | https://www.hhs.gov/hipaa/for-professionals/compliance-enforcement/audit/protocol/index.html | https://www.hhs.gov/hipaa/for-professionals/security/guidance/cybersecurity-newsletter-summer-2019/index.html</t>
  </si>
  <si>
    <t>Documentation is added because the row is explicit evidence that access-removal events were carried out and recorded. | Internal control is generic; citation follows the specific evidence row context.</t>
  </si>
  <si>
    <t>ER-87</t>
  </si>
  <si>
    <t>Sample</t>
  </si>
  <si>
    <t>Access Review Documentation</t>
  </si>
  <si>
    <t>45 CFR § 164.308(a)(4)(ii)(C)</t>
  </si>
  <si>
    <t>Information Access Management — Access Establishment and Modification</t>
  </si>
  <si>
    <t>Access-review documentation aligns directly to the requirement to establish, document, review, and modify user rights of access.</t>
  </si>
  <si>
    <t>https://www.ecfr.gov/current/title-45/subtitle-A/subchapter-C/part-164/section-164.308 | https://www.hhs.gov/hipaa/for-professionals/compliance-enforcement/audit/protocol/index.html | https://www.hhs.gov/sites/default/files/ocr/privacy/hipaa/administrative/securityrule/adminsafeguards.pdf</t>
  </si>
  <si>
    <t>Used for both access-review evidence and broader policy statements that emphasize periodic review/modification.</t>
  </si>
  <si>
    <t>ER-84</t>
  </si>
  <si>
    <t>Employee Termination Ticket</t>
  </si>
  <si>
    <t>Termination tickets/population evidence align directly to terminating access and documenting the action taken.</t>
  </si>
  <si>
    <t>Documentation is added because the row is explicit evidence that access-removal events were carried out and recorded.</t>
  </si>
  <si>
    <t>ER-53</t>
  </si>
  <si>
    <t>Evidence of Vulnerability Scan Results</t>
  </si>
  <si>
    <t>REQ-46-HIPAA, REQ-47-HIPAA</t>
  </si>
  <si>
    <t>07.10m1Organizational.3</t>
  </si>
  <si>
    <t>OCR guidance identifies vulnerability scanning as one way to identify risks and vulnerabilities to ePHI. | Vulnerability remediation is the treatment/mitigation step after risks are identified.</t>
  </si>
  <si>
    <t>https://www.ecfr.gov/current/title-45/subtitle-A/subchapter-C/part-164/section-164.308 | https://www.hhs.gov/hipaa/for-professionals/security/guidance/cybersecurity-newsletter-january-2026/index.html | https://www.hhs.gov/hipaa/for-professionals/security/guidance/guidance-risk-analysis/index.html</t>
  </si>
  <si>
    <t>Used for vulnerability-scan result evidence. | Used for remediation evidence and related patch/vulnerability-management policy rows.</t>
  </si>
  <si>
    <t>ER-89</t>
  </si>
  <si>
    <t>New Hire Access Request Form</t>
  </si>
  <si>
    <t>REQ-30-HIPAA</t>
  </si>
  <si>
    <t>1143.01c1System.123</t>
  </si>
  <si>
    <t>45 CFR § 164.308(a)(4)(ii)(B)</t>
  </si>
  <si>
    <t>Information Access Management — Access Authorization</t>
  </si>
  <si>
    <t>New-hire access request and approval evidence aligns directly to access authorization.</t>
  </si>
  <si>
    <t>Used for access-request forms/templates and access-control rows that center on approvals.</t>
  </si>
  <si>
    <t>ER-33</t>
  </si>
  <si>
    <t>New Hire Security Awareness Training</t>
  </si>
  <si>
    <t>1308.09j1Organizational.5.a, 13998.02e1Organizational.2, 13.02e1Organizational.6</t>
  </si>
  <si>
    <t>45 CFR § 164.308(a)(5)</t>
  </si>
  <si>
    <t>Security Awareness and Training</t>
  </si>
  <si>
    <t>Action item and control context align to workforce security-awareness training for new hires.</t>
  </si>
  <si>
    <t>https://www.ecfr.gov/current/title-45/subtitle-A/subchapter-C/part-164/section-164.308 | https://www.hhs.gov/sites/default/files/ocr/privacy/hipaa/administrative/combined/hipaa-simplification-201303.pdf | https://www.hhs.gov/sites/default/files/ocr/privacy/hipaa/administrative/securityrule/adminsafeguards.pdf</t>
  </si>
  <si>
    <t>Mapped at the standard level because the spreadsheet does not break new-hire training into the more granular addressable sub-specifications.</t>
  </si>
  <si>
    <t>ER-62</t>
  </si>
  <si>
    <t>Software/Infrastructure Production Change Ticket</t>
  </si>
  <si>
    <t>Production-change tickets/population evidence are not a named HIPAA specification, but they are strong evidence of evaluating and documenting operational changes affecting ePHI safeguards.</t>
  </si>
  <si>
    <t>Best-fit evidence mapping; HIPAA does not mandate a particular ticketing mechanism.</t>
  </si>
  <si>
    <t>HIPAA Control</t>
  </si>
  <si>
    <t>HITRUST e1 Control</t>
  </si>
  <si>
    <t>Action-Item Mapping Type</t>
  </si>
  <si>
    <t>Pair Reuse Count</t>
  </si>
  <si>
    <t>REQ-24-HIPAA</t>
  </si>
  <si>
    <t>Many:1</t>
  </si>
  <si>
    <t>45 CFR § 164.312(a)(1); 45 CFR § 164.308(a)(4)(i)</t>
  </si>
  <si>
    <t>Access Control; Information Access Management</t>
  </si>
  <si>
    <t>Broad access-control policy control spans both the technical access-control standard and the administrative information-access-management standard.</t>
  </si>
  <si>
    <t>https://www.ecfr.gov/current/title-45/subtitle-A/subchapter-C/part-164/section-164.312 | https://www.ecfr.gov/current/title-45/subtitle-A/subchapter-C/part-164/section-164.308 | https://www.hhs.gov/hipaa/for-professionals/compliance-enforcement/audit/protocol/index.html | https://www.hhs.gov/sites/default/files/ocr/privacy/hipaa/administrative/combined/hipaa-simplification-201303.pdf</t>
  </si>
  <si>
    <t>Used when the spreadsheet row is a general access-control policy without a narrower authorization/review/termination artifact.</t>
  </si>
  <si>
    <t>45 CFR § 164.308(a)(3)(ii)(C); 45 CFR § 164.308(a)(4)(ii)(C)</t>
  </si>
  <si>
    <t>Workforce Security — Termination Procedures; Information Access Management — Access Establishment and Modification</t>
  </si>
  <si>
    <t>The same internal control appears within a general access-control policy row; termination remains the most likely HIPAA basis, with access-right modification as supporting context.</t>
  </si>
  <si>
    <t>https://www.ecfr.gov/current/title-45/subtitle-A/subchapter-C/part-164/section-164.308 | https://www.hhs.gov/hipaa/for-professionals/compliance-enforcement/audit/protocol/index.html | https://www.hhs.gov/hipaa/for-professionals/security/guidance/cybersecurity-newsletter-summer-2019/index.html</t>
  </si>
  <si>
    <t>Mapped conservatively because the internal control ID spans both termination evidence and access-control policy language.</t>
  </si>
  <si>
    <t>1:1</t>
  </si>
  <si>
    <t>REQ-50-HIPAA</t>
  </si>
  <si>
    <t>45 CFR § 164.308(a)(6)(ii); 45 CFR § 164.316(b)(1)</t>
  </si>
  <si>
    <t>Security Incident Procedures — Response and Reporting; Documentation</t>
  </si>
  <si>
    <t>Incident tickets/population evidence show response/reporting activities and the required documentation of incidents and outcomes.</t>
  </si>
  <si>
    <t>Documentation is added because the evidence row is a ticket/log of incidents during the review period.</t>
  </si>
  <si>
    <t>REQ-995-HIPAA</t>
  </si>
  <si>
    <t>Generic population/evidence control used to show incidents and outcomes during the review period.</t>
  </si>
  <si>
    <t>Internal control is generic; citation follows the specific evidence row context.</t>
  </si>
  <si>
    <t>Many:Many</t>
  </si>
  <si>
    <t>45 CFR § 164.308(a)(8); 45 CFR § 164.316(b)(1)</t>
  </si>
  <si>
    <t>Evaluation; Documentation</t>
  </si>
  <si>
    <t>Generic population/evidence control used to show production changes during the review period.</t>
  </si>
  <si>
    <t>45 CFR § 164.308(a)(3)(ii)(C); 45 CFR § 164.316(b)(1)</t>
  </si>
  <si>
    <t>Workforce Security — Termination Procedures; Documentation</t>
  </si>
  <si>
    <t>Generic population/evidence control used to show termination-related access removals during the review period.</t>
  </si>
  <si>
    <t>0207.09j1Organizational.6</t>
  </si>
  <si>
    <t>1:Many</t>
  </si>
  <si>
    <t>0226.09k1Organizational.2</t>
  </si>
  <si>
    <t>02962.09j1Organizational.5</t>
  </si>
  <si>
    <t>08.09m1Organizational.8</t>
  </si>
  <si>
    <t>0701.07a1Organizational.8</t>
  </si>
  <si>
    <t>0704.07a1Organizational.8</t>
  </si>
  <si>
    <t>REQ-60-HIPAA</t>
  </si>
  <si>
    <t>45 CFR § 164.308(a)(7)(ii)(A)</t>
  </si>
  <si>
    <t>Contingency Plan — Data Backup Plan</t>
  </si>
  <si>
    <t>Backup policy aligns directly to creation and maintenance of retrievable exact copies of ePHI.</t>
  </si>
  <si>
    <t>https://www.ecfr.gov/current/title-45/subtitle-A/subchapter-C/part-164/section-164.308 | https://www.hhs.gov/sites/default/files/ocr/privacy/hipaa/administrative/combined/hipaa-simplification-201303.pdf | https://www.hhs.gov/hipaa/for-professionals/security/guidance/cybersecurity/ransomware-fact-sheet/index.html</t>
  </si>
  <si>
    <t>Used for backup-policy rows.</t>
  </si>
  <si>
    <t>45 CFR § 164.308(a)(7)(ii)(A); 45 CFR § 164.308(a)(7)(ii)(D)</t>
  </si>
  <si>
    <t>Contingency Plan — Data Backup Plan; Contingency Plan — Testing and Revision Procedure</t>
  </si>
  <si>
    <t>This internal control appears on general backup-policy rows and explicit backup-test rows, so both backup-plan and test/revision citations are included.</t>
  </si>
  <si>
    <t>Broader than a single implementation specification because the source spreadsheet uses the same control across planning and testing evidence.</t>
  </si>
  <si>
    <t>REQ-62-HIPAA</t>
  </si>
  <si>
    <t>16.09l1Organizational.4</t>
  </si>
  <si>
    <t>Backup schedules most directly align to maintaining retrievable exact copies of ePHI.</t>
  </si>
  <si>
    <t>Used for backup schedule evidence.</t>
  </si>
  <si>
    <t>1618.09l1Organizational.45</t>
  </si>
  <si>
    <t>REQ-63-HIPAA</t>
  </si>
  <si>
    <t>45 CFR § 164.308(a)(7)(ii)(B)</t>
  </si>
  <si>
    <t>Contingency Plan — Disaster Recovery Plan</t>
  </si>
  <si>
    <t>Backup/replication planning most closely aligns to restoring lost data and recovering operations after a disruption.</t>
  </si>
  <si>
    <t>Used for schedule-level backup rows when the internal control appears to emphasize recoverability/replication.</t>
  </si>
  <si>
    <t>45 CFR § 164.308(a)(8); 45 CFR § 164.306(e); 45 CFR § 164.316(b)(2)(iii)</t>
  </si>
  <si>
    <t>Evaluation; Maintenance; Documentation — Updates</t>
  </si>
  <si>
    <t>1769.09i1System.12</t>
  </si>
  <si>
    <t>REQ-32-HIPAA</t>
  </si>
  <si>
    <t>0305.09q1Organizational.12</t>
  </si>
  <si>
    <t>45 CFR § 164.310(d)(2)(i)</t>
  </si>
  <si>
    <t>Device and Media Controls — Disposal</t>
  </si>
  <si>
    <t>The direct HIPAA overlap in this action item is final disposition/disposal; HIPAA does not explicitly name data classification or retention as standalone Security Rule specifications.</t>
  </si>
  <si>
    <t>Only the disposal portion of the action item maps directly to an express HIPAA implementation specification.</t>
  </si>
  <si>
    <t>1239.09aa1System.4</t>
  </si>
  <si>
    <t>1767.07d1Organizational.2</t>
  </si>
  <si>
    <t>19142.06c1Organizational.8</t>
  </si>
  <si>
    <t>REQ-66-HIPAA</t>
  </si>
  <si>
    <t>45 CFR § 164.310(d)(2)(ii)</t>
  </si>
  <si>
    <t>Device and Media Controls — Media Re-use</t>
  </si>
  <si>
    <t>Within the data-retention/disposal action item, this internal control is best matched to sanitization/reuse of media; HIPAA does not separately name classification or retention.</t>
  </si>
  <si>
    <t>Only the media-reuse/sanitization aspect maps directly to an express HIPAA specification.</t>
  </si>
  <si>
    <t>REQ-67-HIPAA</t>
  </si>
  <si>
    <t>In this overlap set, the control appears through a data-retention/disposal action item, so disposal is the closest direct HIPAA citation.</t>
  </si>
  <si>
    <t>https://www.ecfr.gov/current/title-45/subtitle-A/subchapter-C/part-164/section-164.310 | https://www.hhs.gov/hipaa/for-professionals/faq/575/what-does-hipaa-require-of-covered-entities-when-they-dispose-information/index.html | https://www.hhs.gov/hipaa/for-professionals/compliance-enforcement/audit/protocol/index.html</t>
  </si>
  <si>
    <t>This same internal control also appears on customer-contract rows elsewhere in the uploaded spreadsheets, but that contractual context is not the shared action item here.</t>
  </si>
  <si>
    <t>At-rest encryption evidence aligns directly to the encryption/decryption implementation specification under access control.</t>
  </si>
  <si>
    <t>Used when the shared action item is explicitly at-rest encryption.</t>
  </si>
  <si>
    <t>1903.06d1Organizational.3456711</t>
  </si>
  <si>
    <t>REQ-34-HIPAA</t>
  </si>
  <si>
    <t>Control/action-item context aligns to at-rest encryption.</t>
  </si>
  <si>
    <t>Used for data-encryption-at-rest rows.</t>
  </si>
  <si>
    <t>This internal control ID also appears on an at-rest encryption row in the source spreadsheets, so the row context points to at-rest encryption even though the same control family also covers transmission encryption elsewhere.</t>
  </si>
  <si>
    <t>Row-context mapping takes precedence over the broader internal control family.</t>
  </si>
  <si>
    <t>Transmission-encryption evidence aligns directly to the transmission-security encryption implementation specification.</t>
  </si>
  <si>
    <t>Used when the shared action item is explicitly in-transit encryption.</t>
  </si>
  <si>
    <t>0862.09m2Organizational.8</t>
  </si>
  <si>
    <t>0903.10f1Organizational.1.a</t>
  </si>
  <si>
    <t>0913.09s1Organizational.5</t>
  </si>
  <si>
    <t>0928.09v2Organizational.1</t>
  </si>
  <si>
    <t>0945.09y1Organizational.3</t>
  </si>
  <si>
    <t>0954.10d1System.1</t>
  </si>
  <si>
    <t>1013.01r1System.2</t>
  </si>
  <si>
    <t>Action item explicitly addresses encryption in transit.</t>
  </si>
  <si>
    <t>Used for transport/TLS evidence.</t>
  </si>
  <si>
    <t>11.01q1System.3</t>
  </si>
  <si>
    <t>11.01q1System.4</t>
  </si>
  <si>
    <t>REQ-46-HIPAA</t>
  </si>
  <si>
    <t>45 CFR § 164.308(a)(1)(ii)(A)</t>
  </si>
  <si>
    <t>Security Management Process — Risk Analysis</t>
  </si>
  <si>
    <t>OCR guidance identifies vulnerability scanning as one way to identify risks and vulnerabilities to ePHI.</t>
  </si>
  <si>
    <t>Used for vulnerability-scan result evidence.</t>
  </si>
  <si>
    <t>REQ-47-HIPAA</t>
  </si>
  <si>
    <t>45 CFR § 164.308(a)(1)(ii)(B)</t>
  </si>
  <si>
    <t>Security Management Process — Risk Management</t>
  </si>
  <si>
    <t>Vulnerability remediation is the treatment/mitigation step after risks are identified.</t>
  </si>
  <si>
    <t>Used for remediation evidence and related patch/vulnerability-management policy rows.</t>
  </si>
  <si>
    <t>0265.09m1Organizational.2</t>
  </si>
  <si>
    <t>0805.01m1Organizational.12</t>
  </si>
  <si>
    <t>REQ-48-HIPAA</t>
  </si>
  <si>
    <t>45 CFR § 164.308(a)(6)(i)</t>
  </si>
  <si>
    <t>Security Incident Procedures</t>
  </si>
  <si>
    <t>Incident-response policy aligns directly to the Security Incident Procedures standard.</t>
  </si>
  <si>
    <t>Used for policy-level incident-response rows.</t>
  </si>
  <si>
    <t>1589.11c1Organizational.5</t>
  </si>
  <si>
    <t>REQ-49-HIPAA</t>
  </si>
  <si>
    <t>45 CFR § 164.308(a)(6)(ii)</t>
  </si>
  <si>
    <t>Security Incident Procedures — Response and Reporting</t>
  </si>
  <si>
    <t>This internal control best aligns to the response/reporting implementation specification under incident procedures.</t>
  </si>
  <si>
    <t>Used where the spreadsheet distinguishes the response/reporting component of incident handling.</t>
  </si>
  <si>
    <t>45 CFR § 164.316(a); 45 CFR § 164.316(b)(1)</t>
  </si>
  <si>
    <t>Policies and Procedures; Documentation</t>
  </si>
  <si>
    <t>Best-fit (broad policy control)</t>
  </si>
  <si>
    <t>Internal control/action item is a general information-security policy repository rather than a single named HIPAA implementation specification; mapped to the Security Rule's policies/procedures and documentation requirements.</t>
  </si>
  <si>
    <t>https://www.ecfr.gov/current/title-45/subtitle-A/subchapter-C/part-164/section-164.316 | https://www.hhs.gov/sites/default/files/ocr/privacy/hipaa/administrative/securityrule/pprequirements.pdf | https://www.hhs.gov/ocr/privacy/hipaa/administrative/securityrule/index.html</t>
  </si>
  <si>
    <t>Used as the umbrella HIPAA citation for documented security policies. This is broader than any single safeguard requirement.</t>
  </si>
  <si>
    <t>Action item and control context align to ongoing/current-employee security-awareness training.</t>
  </si>
  <si>
    <t>Mapped at the standard level because the spreadsheet expresses periodic training broadly, not only reminders or phishing-specific sub-controls.</t>
  </si>
  <si>
    <t>REQ-102-HIPAA</t>
  </si>
  <si>
    <t>07.07a1Organizational.8</t>
  </si>
  <si>
    <t>HIPAA does not expressly mandate an IT asset inventory, but OCR guidance says a comprehensive technology asset inventory and ePHI data-flow diagrams are valuable tools for an accurate and thorough risk analysis.</t>
  </si>
  <si>
    <t>https://www.ecfr.gov/current/title-45/subtitle-A/subchapter-C/part-164/section-164.308 | https://www.hhs.gov/hipaa/for-professionals/security/guidance/guidance-risk-analysis/index.html | https://www.hhs.gov/hipaa/for-professionals/security/guidance/cybersecurity-newsletter-october-2024/index.html</t>
  </si>
  <si>
    <t>Mapped as supporting evidence for risk analysis rather than as a standalone named HIPAA inventory control.</t>
  </si>
  <si>
    <t>0701.07a1Organizational.7</t>
  </si>
  <si>
    <t>45 CFR § 164.308(a)(1)(ii)(A); 45 CFR § 164.312(a)(2)(iv); 45 CFR § 164.312(e)(2)(ii)</t>
  </si>
  <si>
    <t>Security Management Process — Risk Analysis; Access Control — Encryption and Decryption; Transmission Security — Encryption</t>
  </si>
  <si>
    <t>System-inventory evidence is not explicitly named in the Security Rule, but OCR guidance treats asset inventories and system scoping as supporting accurate risk analysis and implementation of encryption safeguards.</t>
  </si>
  <si>
    <t>Inventory/list-of-systems evidence is supporting evidence for encryption coverage, not a standalone named HIPAA inventory mandate.</t>
  </si>
  <si>
    <t>45 CFR § 164.308(a)(1)(ii)(A); 45 CFR § 164.312(a)(2)(iv)</t>
  </si>
  <si>
    <t>Security Management Process — Risk Analysis; Access Control — Encryption and Decryption</t>
  </si>
  <si>
    <t>System inventory supports scoping/coverage of at-rest encryption and accurate risk analysis.</t>
  </si>
  <si>
    <t>https://www.ecfr.gov/current/title-45/subtitle-A/subchapter-C/part-164/section-164.308 | https://www.ecfr.gov/current/title-45/subtitle-A/subchapter-C/part-164/section-164.312 | https://www.hhs.gov/hipaa/for-professionals/security/guidance/guidance-risk-analysis/index.html | https://www.hhs.gov/hipaa/for-professionals/security/guidance/cybersecurity-newsletter-october-2024/index.html</t>
  </si>
  <si>
    <t>Asset inventory is supporting evidence rather than an explicit standalone at-rest-encryption requirement.</t>
  </si>
  <si>
    <t>REQ-43-HIPAA</t>
  </si>
  <si>
    <t>45 CFR § 164.308(a)(1)(ii)(A); 45 CFR § 164.308(a)(1)(ii)(B)</t>
  </si>
  <si>
    <t>Security Management Process — Risk Analysis; Security Management Process — Risk Management</t>
  </si>
  <si>
    <t>A production-systems inventory is supporting evidence for patch coverage and vulnerability scoping under risk analysis/risk management.</t>
  </si>
  <si>
    <t>https://www.ecfr.gov/current/title-45/subtitle-A/subchapter-C/part-164/section-164.308 | https://www.hhs.gov/hipaa/for-professionals/security/guidance/cybersecurity-newsletter-october-2024/index.html | https://www.hhs.gov/hipaa/for-professionals/security/guidance/cybersecurity-newsletter-january-2026/index.html | https://www.hhs.gov/hipaa/for-professionals/security/guidance/guidance-risk-analysis/index.html</t>
  </si>
  <si>
    <t>OCR guidance treats a technology asset inventory as a valuable tool for accurate and thorough risk analysis.</t>
  </si>
  <si>
    <t>0504.09m1Organizational.13</t>
  </si>
  <si>
    <t>13.02e1Organizational.6</t>
  </si>
  <si>
    <t>1308.09j1Organizational.5.a</t>
  </si>
  <si>
    <t>13998.02e1Organizational.2</t>
  </si>
  <si>
    <t>REQ-28-HIPAA</t>
  </si>
  <si>
    <t>45 CFR § 164.312(a)(2)(i); 45 CFR § 164.308(a)(4)(ii)(C)</t>
  </si>
  <si>
    <t>Access Control — Unique User Identification; Information Access Management — Access Establishment and Modification</t>
  </si>
  <si>
    <t>Password-vault/shared-account and privileged-access evidence supports unique attribution of user activity and management of privileged rights.</t>
  </si>
  <si>
    <t>https://www.ecfr.gov/current/title-45/subtitle-A/subchapter-C/part-164/section-164.312 | https://www.ecfr.gov/current/title-45/subtitle-A/subchapter-C/part-164/section-164.308 | https://www.hhs.gov/hipaa/for-professionals/compliance-enforcement/audit/protocol/index.html | https://www.hhs.gov/sites/default/files/ocr/privacy/hipaa/administrative/securityrule/adminsafeguards.pdf</t>
  </si>
  <si>
    <t>Shared or generic-account controls are best matched to unique user identification, with access-right administration as a secondary basis.</t>
  </si>
  <si>
    <t>45 CFR § 164.308(a)(3)(ii)(C); 45 CFR § 164.312(a)(2)(i)</t>
  </si>
  <si>
    <t>Workforce Security — Termination Procedures; Access Control — Unique User Identification</t>
  </si>
  <si>
    <t>Shared-account and privileged-access listings support timely removal of departing users and accountability for access tied to individuals.</t>
  </si>
  <si>
    <t>https://www.ecfr.gov/current/title-45/subtitle-A/subchapter-C/part-164/section-164.308 | https://www.ecfr.gov/current/title-45/subtitle-A/subchapter-C/part-164/section-164.312 | https://www.hhs.gov/hipaa/for-professionals/compliance-enforcement/audit/protocol/index.html | https://www.hhs.gov/hipaa/for-professionals/security/guidance/cybersecurity-newsletter-summer-2019/index.html</t>
  </si>
  <si>
    <t>Best read as supporting evidence that terminated users are removed from shared/privileged access paths.</t>
  </si>
  <si>
    <t>45 CFR § 164.308(a)(5)(ii)(D); 45 CFR § 164.312(d)</t>
  </si>
  <si>
    <t>Security Awareness and Training — Password Management; Person or Entity Authentication</t>
  </si>
  <si>
    <t>11.01p1System.5</t>
  </si>
  <si>
    <t>45 CFR § 164.308(a)(5)(ii)(D); 45 CFR § 164.312(a)(1)</t>
  </si>
  <si>
    <t>Security Awareness and Training — Password Management; Access Control</t>
  </si>
  <si>
    <t>REQ-110-HIPAA</t>
  </si>
  <si>
    <t>The source spreadsheet only exposes an internal control ID on the Risk Assessment action item, so the closest authoritative HIPAA citation is Risk Analysis.</t>
  </si>
  <si>
    <t>https://www.ecfr.gov/current/title-45/subtitle-A/subchapter-C/part-164/section-164.308 | https://www.hhs.gov/hipaa/for-professionals/security/guidance/guidance-risk-analysis/index.html | https://www.hhs.gov/sites/default/files/ocr/privacy/hipaa/administrative/combined/hipaa-simplification-201303.pdf</t>
  </si>
  <si>
    <t>Matched by action-item semantics because the internal control itself is not labeled with an official HIPAA section.</t>
  </si>
  <si>
    <t>Control context aligns to identifying risks and vulnerabilities to ePHI.</t>
  </si>
  <si>
    <t>Risk analysis is the most direct HIPAA citation for assessment-oriented rows.</t>
  </si>
  <si>
    <t>Control context aligns to reducing identified risks and vulnerabilities to a reasonable and appropriate level.</t>
  </si>
  <si>
    <t>Used for policy and operational rows focused on treatment/mitigation of identified risks.</t>
  </si>
  <si>
    <t>1701.03a1Organizational.12345678</t>
  </si>
  <si>
    <t>Action Item Count</t>
  </si>
  <si>
    <t>Action Items</t>
  </si>
  <si>
    <t>Categories</t>
  </si>
  <si>
    <t>Source Files</t>
  </si>
  <si>
    <t>Mapping Types Seen</t>
  </si>
  <si>
    <t>Information Security; Information Security Policy Repository</t>
  </si>
  <si>
    <t>Policy, Operational</t>
  </si>
  <si>
    <t>45 CFR § 164.316(a) | 45 CFR § 164.316(b)(1)</t>
  </si>
  <si>
    <t>Policies and Procedures | Documentation</t>
  </si>
  <si>
    <t>Risk Assessment; Risk Management</t>
  </si>
  <si>
    <t>Operational, Policy</t>
  </si>
  <si>
    <t>Many:1, Many:Many</t>
  </si>
  <si>
    <t>Password and Multi-Factor Authentication; Passwords for All In-Scope Production Systems</t>
  </si>
  <si>
    <t>Policy, Configuration</t>
  </si>
  <si>
    <t>1:Many, 1:1</t>
  </si>
  <si>
    <t>45 CFR § 164.308(a)(5)(ii)(D) | 45 CFR § 164.312(d) | 45 CFR § 164.312(a)(1)</t>
  </si>
  <si>
    <t>Security Awareness and Training — Password Management | Person or Entity Authentication | Access Control</t>
  </si>
  <si>
    <t>Action item explicitly combines password controls with MFA, so both password management and authentication verification are cited. | Password configuration evidence most directly aligns to password-management requirements and the broader access-control standard.</t>
  </si>
  <si>
    <t>Covers password creation/change/safeguarding and MFA-style authentication evidence. | This row is password-configuration evidence; MFA is not the primary evidence artifact here.</t>
  </si>
  <si>
    <t>Access Control; Access Review Documentation</t>
  </si>
  <si>
    <t>Policy, Sample</t>
  </si>
  <si>
    <t>Many:1, 1:1</t>
  </si>
  <si>
    <t>All Terminated Employees During the Review Period [INSERT EXAM PERIOD]; Employee Termination Ticket</t>
  </si>
  <si>
    <t>Population, Sample</t>
  </si>
  <si>
    <t>Data Encryption at Rest; Encryption In Transit (Ex. TLS Protocols)</t>
  </si>
  <si>
    <t>45 CFR § 164.312(a)(2)(iv) | 45 CFR § 164.312(e)(2)(ii)</t>
  </si>
  <si>
    <t>Access Control — Encryption and Decryption | Transmission Security — Encryption</t>
  </si>
  <si>
    <t>At-rest encryption evidence aligns directly to the encryption/decryption implementation specification under access control. | Transmission-encryption evidence aligns directly to the transmission-security encryption implementation specification.</t>
  </si>
  <si>
    <t>https://www.ecfr.gov/current/title-45/subtitle-A/subchapter-C/part-164/section-164.312 | https://www.hhs.gov/hipaa/for-professionals/compliance-enforcement/audit/protocol/index.html | https://www.hhs.gov/sites/default/files/ocr/privacy/hipaa/administrative/combined/hipaa-simplification-201303.pdf | https://www.hhs.gov/hipaa/for-professionals/security/guidance/cybersecurity-newsletter-january-2026/index.html</t>
  </si>
  <si>
    <t>Used when the shared action item is explicitly at-rest encryption. | Used when the shared action item is explicitly in-transit encryption.</t>
  </si>
  <si>
    <t>Best-fit | Direct</t>
  </si>
  <si>
    <t>This internal control ID also appears on an at-rest encryption row in the source spreadsheets, so the row context points to at-rest encryption even though the same control family also covers transmission encryption elsewhere. | Action item explicitly addresses encryption in transit.</t>
  </si>
  <si>
    <t>Row-context mapping takes precedence over the broader internal control family. | Used for transport/TLS evidence.</t>
  </si>
  <si>
    <t>All Software and Infrastructure Production Changes During the Review Period [INSERT EXAM PERIOD]; Software/Infrastructure Production Change Ticket</t>
  </si>
  <si>
    <t>Many:Many, 1:1</t>
  </si>
  <si>
    <t>Backups; Completed Production Data Backup Test</t>
  </si>
  <si>
    <t>This internal control appears on general backup-policy rows and explicit backup-test rows, so both backup-plan and test/revision citations are included. | A completed backup test aligns directly to periodic testing/revision of contingency plans.</t>
  </si>
  <si>
    <t>Broader than a single implementation specification because the source spreadsheet uses the same control across planning and testing evidence. | Used for explicit backup-test evidence.</t>
  </si>
  <si>
    <t>45 CFR § 164.312(a)(1) | 45 CFR § 164.308(a)(4)(i)</t>
  </si>
  <si>
    <t>Access Control | Information Access Management</t>
  </si>
  <si>
    <t>45 CFR § 164.312(a)(2)(i) | 45 CFR § 164.308(a)(4)(ii)(C)</t>
  </si>
  <si>
    <t>Access Control — Unique User Identification | Information Access Management — Access Establishment and Modification</t>
  </si>
  <si>
    <t>45 CFR § 164.308(a)(3)(ii)(C) | 45 CFR § 164.308(a)(4)(ii)(C)</t>
  </si>
  <si>
    <t>Workforce Security — Termination Procedures | Information Access Management — Access Establishment and Modification</t>
  </si>
  <si>
    <t>45 CFR § 164.308(a)(3)(ii)(C) | 45 CFR § 164.312(a)(2)(i)</t>
  </si>
  <si>
    <t>Workforce Security — Termination Procedures | Access Control — Unique User Identification</t>
  </si>
  <si>
    <t>45 CFR § 164.308(a)(1)(ii)(A) | 45 CFR § 164.312(a)(2)(iv) | 45 CFR § 164.312(e)(2)(ii)</t>
  </si>
  <si>
    <t>Security Management Process — Risk Analysis | Access Control — Encryption and Decryption | Transmission Security — Encryption</t>
  </si>
  <si>
    <t>45 CFR § 164.308(a)(1)(ii)(A) | 45 CFR § 164.312(a)(2)(iv)</t>
  </si>
  <si>
    <t>Security Management Process — Risk Analysis | Access Control — Encryption and Decryption</t>
  </si>
  <si>
    <t>HIPAA → 45 CFR mapping register (action-item context)</t>
  </si>
  <si>
    <t>Tuple_Count</t>
  </si>
  <si>
    <t>HITRUST_e1_Controls</t>
  </si>
  <si>
    <t>Reference_IDs</t>
  </si>
  <si>
    <t>07.07a1Organizational.8, 0701.07a1Organizational.7, 0701.07a1Organizational.8</t>
  </si>
  <si>
    <t>0701.07a1Organizational.8, 0704.07a1Organizational.8</t>
  </si>
  <si>
    <t>13.02e1Organizational.6, 1308.09j1Organizational.5.a, 13998.02e1Organizational.2</t>
  </si>
  <si>
    <t>1701.03a1Organizational.12345678, 1704.03b1Organizational.12</t>
  </si>
  <si>
    <t>0305.09q1Organizational.12, 1239.09aa1System.4, 1616.09l1Organizational.16, 1767.07d1Organizational.2, 19142.06c1Organizational.8</t>
  </si>
  <si>
    <t>04.01x1Organizational.5, 0862.09m2Organizational.8, 0903.10f1Organizational.1.a, 0913.09s1Organizational.5, 0928.09v2Organizational.1, 0945.09y1Organizational.3, 0954.10d1System.1, 1013.01r1System.2</t>
  </si>
  <si>
    <t>0504.09m1Organizational.13, 0805.01m1Organizational.12</t>
  </si>
  <si>
    <t>0207.09j1Organizational.6, 0226.09k1Organizational.2, 02962.09j1Organizational.5, 08.09m1Organizational.8</t>
  </si>
  <si>
    <t>16.09l1Organizational.4, 1616.09l1Organizational.16, 1618.09l1Organizational.45</t>
  </si>
  <si>
    <t>Authoritative public sources used for 45 CFR enrichment</t>
  </si>
  <si>
    <t>Source URL</t>
  </si>
  <si>
    <t>Source Type</t>
  </si>
  <si>
    <t>Why Used</t>
  </si>
  <si>
    <t>https://www.ecfr.gov/current/title-45/subtitle-A/subchapter-C/part-164/section-164.306</t>
  </si>
  <si>
    <t>eCFR</t>
  </si>
  <si>
    <t>Security standards: general rules / maintenance language used for patching and change-management best-fit mappings.</t>
  </si>
  <si>
    <t>https://www.ecfr.gov/current/title-45/subtitle-A/subchapter-C/part-164/section-164.308</t>
  </si>
  <si>
    <t>Administrative safeguards section covering risk analysis, risk management, workforce security, access management, training, incident response, contingency planning, and evaluation.</t>
  </si>
  <si>
    <t>https://www.ecfr.gov/current/title-45/subtitle-A/subchapter-C/part-164/section-164.310</t>
  </si>
  <si>
    <t>Physical safeguards section covering device/media disposal, media re-use, accountability, and related controls.</t>
  </si>
  <si>
    <t>https://www.ecfr.gov/current/title-45/subtitle-A/subchapter-C/part-164/section-164.312</t>
  </si>
  <si>
    <t>Technical safeguards section covering access control, audit controls, integrity, authentication, and transmission security.</t>
  </si>
  <si>
    <t>https://www.ecfr.gov/current/title-45/subtitle-A/subchapter-C/part-164/section-164.316</t>
  </si>
  <si>
    <t>Policies/procedures and documentation requirements used for policy repositories and evidence rows.</t>
  </si>
  <si>
    <t>https://www.hhs.gov/ocr/privacy/hipaa/administrative/securityrule/index.html</t>
  </si>
  <si>
    <t>HHS OCR overview</t>
  </si>
  <si>
    <t>Current OCR Security Rule overview page identifying the governing Security Rule location.</t>
  </si>
  <si>
    <t>https://www.hhs.gov/sites/default/files/ocr/privacy/hipaa/administrative/combined/hipaa-simplification-201303.pdf</t>
  </si>
  <si>
    <t>HHS OCR combined regulation text</t>
  </si>
  <si>
    <t>Appendix A Security Standards Matrix with standard and implementation-specification titles used for exact naming.</t>
  </si>
  <si>
    <t>https://www.hhs.gov/hipaa/for-professionals/compliance-enforcement/audit/protocol/index.html</t>
  </si>
  <si>
    <t>HHS OCR audit protocol</t>
  </si>
  <si>
    <t>Public audit protocol used for detailed implementation-specification descriptions and example evidence artifacts.</t>
  </si>
  <si>
    <t>https://www.hhs.gov/sites/default/files/ocr/privacy/hipaa/administrative/securityrule/adminsafeguards.pdf</t>
  </si>
  <si>
    <t>HHS OCR guidance paper</t>
  </si>
  <si>
    <t>Administrative safeguards guidance used for access management, password management, malicious software, and training context.</t>
  </si>
  <si>
    <t>https://www.hhs.gov/sites/default/files/ocr/privacy/hipaa/administrative/securityrule/pprequirements.pdf</t>
  </si>
  <si>
    <t>Policies/procedures and documentation guidance used for documentation-focused mappings.</t>
  </si>
  <si>
    <t>https://www.hhs.gov/hipaa/for-professionals/security/guidance/guidance-risk-analysis/index.html</t>
  </si>
  <si>
    <t>HHS OCR guidance</t>
  </si>
  <si>
    <t>Risk analysis guidance used for risk-analysis mappings and for inventory/evaluation best-fit notes.</t>
  </si>
  <si>
    <t>https://www.hhs.gov/hipaa/for-professionals/security/guidance/cybersecurity-newsletter-january-2026/index.html</t>
  </si>
  <si>
    <t>HHS OCR cybersecurity newsletter</t>
  </si>
  <si>
    <t>Authoritative OCR guidance tying unpatched software, vulnerability scanning, authentication, testing, and maintenance to HIPAA provisions.</t>
  </si>
  <si>
    <t>https://www.hhs.gov/hipaa/for-professionals/security/guidance/cybersecurity-newsletter-october-2024/index.html</t>
  </si>
  <si>
    <t>OCR guidance explaining that a technology asset inventory and data-flow diagrams support accurate risk analysis.</t>
  </si>
  <si>
    <t>https://www.hhs.gov/hipaa/for-professionals/security/guidance/cybersecurity-newsletter-summer-2019/index.html</t>
  </si>
  <si>
    <t>OCR guidance used for insider-threat / termination / access-change / segmentation examples.</t>
  </si>
  <si>
    <t>https://www.hhs.gov/hipaa/for-professionals/security/guidance/cybersecurity/ransomware-fact-sheet/index.html</t>
  </si>
  <si>
    <t>HHS OCR fact sheet</t>
  </si>
  <si>
    <t>OCR contingency-plan guidance used for backups, disaster recovery, and testing.</t>
  </si>
  <si>
    <t>https://www.hhs.gov/hipaa/for-professionals/faq/2002/what-does-the-security-rule-require-a-covered-entity-to-do-to-comply/index.html</t>
  </si>
  <si>
    <t>HHS OCR FAQ</t>
  </si>
  <si>
    <t>OCR FAQ used for the Security Incident Procedures standard and Response and Reporting implementation specification.</t>
  </si>
  <si>
    <t>https://www.hhs.gov/hipaa/for-professionals/faq/575/what-does-hipaa-require-of-covered-entities-when-they-dispose-information/index.html</t>
  </si>
  <si>
    <t>OCR FAQ used for disposal and media re-use mappings.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</si>
</sst>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1F4E78"/>
      <name val="Calibri"/>
    </font>
    <font>
      <sz val="10"/>
      <color rgb="FF000000"/>
      <name val="Calibri"/>
    </font>
    <font>
      <b/>
      <sz val="10"/>
      <color rgb="FF1F4E78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4FB"/>
      </patternFill>
    </fill>
    <fill>
      <patternFill patternType="solid">
        <fgColor rgb="FFE4DFEC"/>
      </patternFill>
    </fill>
    <fill>
      <patternFill patternType="solid">
        <fgColor rgb="FFFCE4D6"/>
      </patternFill>
    </fill>
    <fill>
      <patternFill patternType="solid">
        <fgColor rgb="FFE2F0D9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C7D1DB"/>
      </bottom>
      <diagonal/>
    </border>
    <border>
      <left/>
      <right/>
      <top/>
      <bottom style="thin">
        <color rgb="FFC7D1DB"/>
      </bottom>
      <diagonal/>
    </border>
    <border>
      <left/>
      <right/>
      <top/>
      <bottom style="medium">
        <color rgb="FF1F4E7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top" wrapText="1"/>
    </xf>
    <xf numFmtId="0" fontId="3" fillId="7" borderId="2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0" fillId="0" borderId="3" xfId="0" applyBorder="1"/>
    <xf numFmtId="0" fontId="3" fillId="0" borderId="0" xfId="0" applyFont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0" fillId="0" borderId="4" xfId="0" applyBorder="1"/>
    <xf numFmtId="0" fontId="3" fillId="0" borderId="0" xfId="0" applyFont="1" applyAlignment="1">
      <alignment vertical="top" wrapText="1"/>
    </xf>
    <xf numFmtId="0" fontId="0" fillId="0" borderId="0" xfId="0"/>
    <xf numFmtId="0" fontId="0" fillId="0" borderId="3" xfId="0" applyBorder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showGridLines="0" tabSelected="1" workbookViewId="0">
      <selection sqref="A1:L1"/>
    </sheetView>
  </sheetViews>
  <sheetFormatPr defaultRowHeight="14.4" x14ac:dyDescent="0.3"/>
  <cols>
    <col min="1" max="1" width="24" customWidth="1"/>
    <col min="2" max="2" width="66" customWidth="1"/>
    <col min="3" max="3" width="42" customWidth="1"/>
    <col min="4" max="4" width="14" customWidth="1"/>
    <col min="5" max="5" width="4" customWidth="1"/>
    <col min="6" max="6" width="20" customWidth="1"/>
    <col min="7" max="7" width="28" customWidth="1"/>
    <col min="8" max="8" width="10" customWidth="1"/>
    <col min="9" max="12" width="4" customWidth="1"/>
  </cols>
  <sheetData>
    <row r="1" spans="1:12" ht="24" customHeight="1" x14ac:dyDescent="0.3">
      <c r="A1" s="28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3" spans="1:12" x14ac:dyDescent="0.3">
      <c r="A3" s="1" t="s">
        <v>1</v>
      </c>
      <c r="C3" s="2" t="s">
        <v>2</v>
      </c>
      <c r="D3" s="2" t="s">
        <v>3</v>
      </c>
      <c r="F3" s="1" t="s">
        <v>4</v>
      </c>
    </row>
    <row r="4" spans="1:12" x14ac:dyDescent="0.3">
      <c r="A4" s="3" t="s">
        <v>5</v>
      </c>
      <c r="C4" s="4" t="s">
        <v>6</v>
      </c>
      <c r="D4" s="5">
        <v>31</v>
      </c>
      <c r="F4" s="6" t="s">
        <v>7</v>
      </c>
      <c r="G4" s="6" t="s">
        <v>8</v>
      </c>
      <c r="H4" s="6" t="s">
        <v>9</v>
      </c>
    </row>
    <row r="5" spans="1:12" x14ac:dyDescent="0.3">
      <c r="A5" s="3" t="s">
        <v>10</v>
      </c>
      <c r="C5" s="4" t="s">
        <v>11</v>
      </c>
      <c r="D5" s="5">
        <v>115</v>
      </c>
      <c r="F5" s="4" t="s">
        <v>12</v>
      </c>
      <c r="G5" s="4" t="s">
        <v>13</v>
      </c>
      <c r="H5" s="5">
        <v>2</v>
      </c>
    </row>
    <row r="6" spans="1:12" x14ac:dyDescent="0.3">
      <c r="C6" s="4" t="s">
        <v>14</v>
      </c>
      <c r="D6" s="5">
        <v>103</v>
      </c>
      <c r="F6" s="4" t="s">
        <v>15</v>
      </c>
      <c r="G6" s="4" t="s">
        <v>13</v>
      </c>
      <c r="H6" s="5">
        <v>2</v>
      </c>
    </row>
    <row r="7" spans="1:12" x14ac:dyDescent="0.3">
      <c r="C7" s="4" t="s">
        <v>16</v>
      </c>
      <c r="D7" s="5">
        <v>6</v>
      </c>
      <c r="F7" s="4" t="s">
        <v>17</v>
      </c>
      <c r="G7" s="4" t="s">
        <v>13</v>
      </c>
      <c r="H7" s="5">
        <v>2</v>
      </c>
    </row>
    <row r="8" spans="1:12" x14ac:dyDescent="0.3">
      <c r="C8" s="4" t="s">
        <v>18</v>
      </c>
      <c r="D8" s="5">
        <v>8</v>
      </c>
      <c r="F8" s="4" t="s">
        <v>19</v>
      </c>
      <c r="G8" s="4" t="s">
        <v>20</v>
      </c>
      <c r="H8" s="5">
        <v>2</v>
      </c>
    </row>
    <row r="9" spans="1:12" x14ac:dyDescent="0.3">
      <c r="C9" s="4" t="s">
        <v>21</v>
      </c>
      <c r="D9" s="5">
        <v>9</v>
      </c>
      <c r="F9" s="4" t="s">
        <v>22</v>
      </c>
      <c r="G9" s="4" t="s">
        <v>20</v>
      </c>
      <c r="H9" s="5">
        <v>2</v>
      </c>
    </row>
    <row r="10" spans="1:12" x14ac:dyDescent="0.3">
      <c r="C10" s="4" t="s">
        <v>23</v>
      </c>
      <c r="D10" s="5">
        <v>8</v>
      </c>
      <c r="F10" s="4" t="s">
        <v>24</v>
      </c>
      <c r="G10" s="4" t="s">
        <v>25</v>
      </c>
      <c r="H10" s="5">
        <v>2</v>
      </c>
    </row>
    <row r="11" spans="1:12" x14ac:dyDescent="0.3">
      <c r="F11" s="4" t="s">
        <v>26</v>
      </c>
      <c r="G11" s="4" t="s">
        <v>27</v>
      </c>
      <c r="H11" s="5">
        <v>2</v>
      </c>
    </row>
    <row r="12" spans="1:12" ht="48" customHeight="1" x14ac:dyDescent="0.3">
      <c r="A12" s="25" t="s">
        <v>28</v>
      </c>
      <c r="B12" s="26"/>
      <c r="C12" s="26"/>
      <c r="D12" s="26"/>
      <c r="E12" s="26"/>
      <c r="F12" s="4" t="s">
        <v>29</v>
      </c>
      <c r="G12" s="4" t="s">
        <v>30</v>
      </c>
      <c r="H12" s="5">
        <v>2</v>
      </c>
    </row>
    <row r="13" spans="1:12" ht="10.050000000000001" customHeight="1" x14ac:dyDescent="0.3">
      <c r="A13" s="27"/>
      <c r="B13" s="27"/>
      <c r="C13" s="27"/>
      <c r="D13" s="27"/>
      <c r="E13" s="27"/>
      <c r="F13" s="4" t="s">
        <v>31</v>
      </c>
      <c r="G13" s="4" t="s">
        <v>32</v>
      </c>
      <c r="H13" s="5">
        <v>2</v>
      </c>
    </row>
    <row r="14" spans="1:12" x14ac:dyDescent="0.3">
      <c r="F14" s="4" t="s">
        <v>33</v>
      </c>
      <c r="G14" s="4" t="s">
        <v>32</v>
      </c>
      <c r="H14" s="5">
        <v>2</v>
      </c>
    </row>
    <row r="15" spans="1:12" x14ac:dyDescent="0.3">
      <c r="F15" s="4" t="s">
        <v>34</v>
      </c>
      <c r="G15" s="4" t="s">
        <v>35</v>
      </c>
      <c r="H15" s="5">
        <v>2</v>
      </c>
    </row>
    <row r="16" spans="1:12" x14ac:dyDescent="0.3">
      <c r="A16" s="19"/>
      <c r="B16" s="19"/>
      <c r="C16" s="19"/>
      <c r="D16" s="19"/>
    </row>
    <row r="18" spans="1:4" x14ac:dyDescent="0.3">
      <c r="A18" s="1" t="s">
        <v>36</v>
      </c>
    </row>
    <row r="19" spans="1:4" ht="27.6" x14ac:dyDescent="0.3">
      <c r="A19" s="7" t="s">
        <v>37</v>
      </c>
      <c r="B19" s="8" t="s">
        <v>38</v>
      </c>
    </row>
    <row r="20" spans="1:4" ht="27.6" x14ac:dyDescent="0.3">
      <c r="A20" s="7" t="s">
        <v>39</v>
      </c>
      <c r="B20" s="8" t="s">
        <v>40</v>
      </c>
    </row>
    <row r="21" spans="1:4" x14ac:dyDescent="0.3">
      <c r="A21" s="7" t="s">
        <v>41</v>
      </c>
      <c r="B21" s="8" t="s">
        <v>42</v>
      </c>
    </row>
    <row r="23" spans="1:4" x14ac:dyDescent="0.3">
      <c r="A23" s="23" t="s">
        <v>43</v>
      </c>
      <c r="B23" s="24"/>
      <c r="C23" s="1" t="s">
        <v>44</v>
      </c>
      <c r="D23" s="1" t="s">
        <v>3</v>
      </c>
    </row>
    <row r="24" spans="1:4" x14ac:dyDescent="0.3">
      <c r="C24" s="3" t="s">
        <v>45</v>
      </c>
      <c r="D24" s="3">
        <v>115</v>
      </c>
    </row>
    <row r="25" spans="1:4" x14ac:dyDescent="0.3">
      <c r="C25" s="3" t="s">
        <v>46</v>
      </c>
      <c r="D25" s="3">
        <v>57</v>
      </c>
    </row>
    <row r="26" spans="1:4" x14ac:dyDescent="0.3">
      <c r="C26" s="3" t="s">
        <v>47</v>
      </c>
      <c r="D26" s="3">
        <v>54</v>
      </c>
    </row>
    <row r="27" spans="1:4" x14ac:dyDescent="0.3">
      <c r="C27" s="3" t="s">
        <v>48</v>
      </c>
      <c r="D27" s="3">
        <v>11</v>
      </c>
    </row>
    <row r="28" spans="1:4" x14ac:dyDescent="0.3">
      <c r="C28" s="3" t="s">
        <v>49</v>
      </c>
      <c r="D28" s="3">
        <v>50</v>
      </c>
    </row>
    <row r="30" spans="1:4" x14ac:dyDescent="0.3">
      <c r="A30" s="23" t="s">
        <v>50</v>
      </c>
      <c r="B30" s="24"/>
    </row>
    <row r="31" spans="1:4" ht="27.6" x14ac:dyDescent="0.3">
      <c r="A31" s="3" t="s">
        <v>51</v>
      </c>
      <c r="B31" s="20" t="s">
        <v>52</v>
      </c>
    </row>
    <row r="32" spans="1:4" ht="27.6" x14ac:dyDescent="0.3">
      <c r="A32" s="3" t="s">
        <v>53</v>
      </c>
      <c r="B32" s="20" t="s">
        <v>54</v>
      </c>
    </row>
  </sheetData>
  <mergeCells count="4">
    <mergeCell ref="A30:B30"/>
    <mergeCell ref="A12:E13"/>
    <mergeCell ref="A1:L1"/>
    <mergeCell ref="A23:B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2"/>
  <sheetViews>
    <sheetView showGridLines="0" workbookViewId="0"/>
  </sheetViews>
  <sheetFormatPr defaultRowHeight="14.4" x14ac:dyDescent="0.3"/>
  <cols>
    <col min="1" max="1" width="18" customWidth="1"/>
    <col min="2" max="2" width="14" customWidth="1"/>
    <col min="3" max="3" width="16" customWidth="1"/>
    <col min="4" max="4" width="42" customWidth="1"/>
    <col min="5" max="5" width="36" customWidth="1"/>
    <col min="6" max="6" width="12" customWidth="1"/>
    <col min="7" max="7" width="54" customWidth="1"/>
    <col min="8" max="8" width="14" customWidth="1"/>
    <col min="9" max="9" width="12" customWidth="1"/>
    <col min="10" max="10" width="68" customWidth="1"/>
    <col min="11" max="11" width="28" customWidth="1"/>
    <col min="12" max="12" width="42" customWidth="1"/>
    <col min="13" max="13" width="22" customWidth="1"/>
    <col min="14" max="14" width="52" customWidth="1"/>
    <col min="15" max="15" width="70" customWidth="1"/>
    <col min="16" max="16" width="56" customWidth="1"/>
  </cols>
  <sheetData>
    <row r="1" spans="1:16" ht="31.95" customHeight="1" x14ac:dyDescent="0.3">
      <c r="A1" s="9" t="s">
        <v>55</v>
      </c>
      <c r="B1" s="9" t="s">
        <v>56</v>
      </c>
      <c r="C1" s="9" t="s">
        <v>57</v>
      </c>
      <c r="D1" s="9" t="s">
        <v>58</v>
      </c>
      <c r="E1" s="9" t="s">
        <v>59</v>
      </c>
      <c r="F1" s="9" t="s">
        <v>60</v>
      </c>
      <c r="G1" s="9" t="s">
        <v>61</v>
      </c>
      <c r="H1" s="9" t="s">
        <v>62</v>
      </c>
      <c r="I1" s="9" t="s">
        <v>63</v>
      </c>
      <c r="J1" s="9" t="s">
        <v>64</v>
      </c>
      <c r="K1" s="9" t="s">
        <v>65</v>
      </c>
      <c r="L1" s="9" t="s">
        <v>66</v>
      </c>
      <c r="M1" s="9" t="s">
        <v>67</v>
      </c>
      <c r="N1" s="9" t="s">
        <v>68</v>
      </c>
      <c r="O1" s="9" t="s">
        <v>69</v>
      </c>
      <c r="P1" s="9" t="s">
        <v>70</v>
      </c>
    </row>
    <row r="2" spans="1:16" ht="36" customHeight="1" x14ac:dyDescent="0.3">
      <c r="A2" s="4" t="s">
        <v>5</v>
      </c>
      <c r="B2" s="4" t="s">
        <v>71</v>
      </c>
      <c r="C2" s="4" t="s">
        <v>72</v>
      </c>
      <c r="D2" s="4" t="s">
        <v>73</v>
      </c>
      <c r="E2" s="4" t="s">
        <v>74</v>
      </c>
      <c r="F2" s="10">
        <f t="shared" ref="F2:F32" si="0">IF(E2="",0,LEN(E2)-LEN(SUBSTITUTE(E2,",",""))+1)</f>
        <v>1</v>
      </c>
      <c r="G2" s="4" t="s">
        <v>75</v>
      </c>
      <c r="H2" s="10">
        <f t="shared" ref="H2:H32" si="1">IF(G2="",0,LEN(G2)-LEN(SUBSTITUTE(G2,",",""))+1)</f>
        <v>4</v>
      </c>
      <c r="I2" s="11" t="str">
        <f t="shared" ref="I2:I32" si="2">IF(AND(F2=1,H2=1),"1:1",IF(AND(F2=1,H2&gt;1),"1:Many",IF(AND(F2&gt;1,H2=1),"Many:1","Many:Many")))</f>
        <v>1:Many</v>
      </c>
      <c r="J2" s="4" t="str">
        <f t="shared" ref="J2:J32" si="3">IF(I2="1:1","Direct 1:1 overlap at the action-item level.",IF(I2="1:Many","One HIPAA local control decomposes into multiple HITRUST e1 controls in this action item.",IF(I2="Many:1","Multiple HIPAA local controls converge on one HITRUST e1 control in this action item.","Composite overlap: multiple HIPAA and HITRUST e1 controls are satisfied by the same action item.")))</f>
        <v>One HIPAA local control decomposes into multiple HITRUST e1 controls in this action item.</v>
      </c>
      <c r="K2" s="21" t="s">
        <v>76</v>
      </c>
      <c r="L2" s="21" t="s">
        <v>77</v>
      </c>
      <c r="M2" s="21" t="s">
        <v>78</v>
      </c>
      <c r="N2" s="21" t="s">
        <v>79</v>
      </c>
      <c r="O2" s="21" t="s">
        <v>80</v>
      </c>
      <c r="P2" s="21" t="s">
        <v>81</v>
      </c>
    </row>
    <row r="3" spans="1:16" ht="36" customHeight="1" x14ac:dyDescent="0.3">
      <c r="A3" s="4" t="s">
        <v>5</v>
      </c>
      <c r="B3" s="4" t="s">
        <v>82</v>
      </c>
      <c r="C3" s="4" t="s">
        <v>72</v>
      </c>
      <c r="D3" s="4" t="s">
        <v>83</v>
      </c>
      <c r="E3" s="4" t="s">
        <v>84</v>
      </c>
      <c r="F3" s="10">
        <f t="shared" si="0"/>
        <v>2</v>
      </c>
      <c r="G3" s="4" t="s">
        <v>85</v>
      </c>
      <c r="H3" s="10">
        <f t="shared" si="1"/>
        <v>3</v>
      </c>
      <c r="I3" s="12" t="str">
        <f t="shared" si="2"/>
        <v>Many:Many</v>
      </c>
      <c r="J3" s="4" t="str">
        <f t="shared" si="3"/>
        <v>Composite overlap: multiple HIPAA and HITRUST e1 controls are satisfied by the same action item.</v>
      </c>
      <c r="K3" s="21" t="s">
        <v>86</v>
      </c>
      <c r="L3" s="21" t="s">
        <v>87</v>
      </c>
      <c r="M3" s="21" t="s">
        <v>88</v>
      </c>
      <c r="N3" s="21" t="s">
        <v>89</v>
      </c>
      <c r="O3" s="21" t="s">
        <v>90</v>
      </c>
      <c r="P3" s="21" t="s">
        <v>91</v>
      </c>
    </row>
    <row r="4" spans="1:16" ht="36" customHeight="1" x14ac:dyDescent="0.3">
      <c r="A4" s="4" t="s">
        <v>5</v>
      </c>
      <c r="B4" s="4" t="s">
        <v>92</v>
      </c>
      <c r="C4" s="4" t="s">
        <v>72</v>
      </c>
      <c r="D4" s="4" t="s">
        <v>93</v>
      </c>
      <c r="E4" s="4" t="s">
        <v>94</v>
      </c>
      <c r="F4" s="10">
        <f t="shared" si="0"/>
        <v>3</v>
      </c>
      <c r="G4" s="4" t="s">
        <v>95</v>
      </c>
      <c r="H4" s="10">
        <f t="shared" si="1"/>
        <v>2</v>
      </c>
      <c r="I4" s="12" t="str">
        <f t="shared" si="2"/>
        <v>Many:Many</v>
      </c>
      <c r="J4" s="4" t="str">
        <f t="shared" si="3"/>
        <v>Composite overlap: multiple HIPAA and HITRUST e1 controls are satisfied by the same action item.</v>
      </c>
      <c r="K4" s="21" t="s">
        <v>96</v>
      </c>
      <c r="L4" s="21" t="s">
        <v>97</v>
      </c>
      <c r="M4" s="21" t="s">
        <v>88</v>
      </c>
      <c r="N4" s="21" t="s">
        <v>98</v>
      </c>
      <c r="O4" s="21" t="s">
        <v>99</v>
      </c>
      <c r="P4" s="21" t="s">
        <v>100</v>
      </c>
    </row>
    <row r="5" spans="1:16" ht="36" customHeight="1" x14ac:dyDescent="0.3">
      <c r="A5" s="4" t="s">
        <v>5</v>
      </c>
      <c r="B5" s="4" t="s">
        <v>101</v>
      </c>
      <c r="C5" s="4" t="s">
        <v>72</v>
      </c>
      <c r="D5" s="4" t="s">
        <v>102</v>
      </c>
      <c r="E5" s="4" t="s">
        <v>103</v>
      </c>
      <c r="F5" s="10">
        <f t="shared" si="0"/>
        <v>2</v>
      </c>
      <c r="G5" s="4" t="s">
        <v>104</v>
      </c>
      <c r="H5" s="10">
        <f t="shared" si="1"/>
        <v>8</v>
      </c>
      <c r="I5" s="12" t="str">
        <f t="shared" si="2"/>
        <v>Many:Many</v>
      </c>
      <c r="J5" s="4" t="str">
        <f t="shared" si="3"/>
        <v>Composite overlap: multiple HIPAA and HITRUST e1 controls are satisfied by the same action item.</v>
      </c>
      <c r="K5" s="21" t="s">
        <v>105</v>
      </c>
      <c r="L5" s="21" t="s">
        <v>106</v>
      </c>
      <c r="M5" s="21" t="s">
        <v>78</v>
      </c>
      <c r="N5" s="21" t="s">
        <v>107</v>
      </c>
      <c r="O5" s="21" t="s">
        <v>108</v>
      </c>
      <c r="P5" s="21" t="s">
        <v>109</v>
      </c>
    </row>
    <row r="6" spans="1:16" ht="36" customHeight="1" x14ac:dyDescent="0.3">
      <c r="A6" s="4" t="s">
        <v>5</v>
      </c>
      <c r="B6" s="4" t="s">
        <v>110</v>
      </c>
      <c r="C6" s="4" t="s">
        <v>72</v>
      </c>
      <c r="D6" s="4" t="s">
        <v>111</v>
      </c>
      <c r="E6" s="4" t="s">
        <v>112</v>
      </c>
      <c r="F6" s="10">
        <f t="shared" si="0"/>
        <v>1</v>
      </c>
      <c r="G6" s="4" t="s">
        <v>113</v>
      </c>
      <c r="H6" s="10">
        <f t="shared" si="1"/>
        <v>2</v>
      </c>
      <c r="I6" s="11" t="str">
        <f t="shared" si="2"/>
        <v>1:Many</v>
      </c>
      <c r="J6" s="4" t="str">
        <f t="shared" si="3"/>
        <v>One HIPAA local control decomposes into multiple HITRUST e1 controls in this action item.</v>
      </c>
      <c r="K6" s="21" t="s">
        <v>114</v>
      </c>
      <c r="L6" s="21" t="s">
        <v>115</v>
      </c>
      <c r="M6" s="21" t="s">
        <v>78</v>
      </c>
      <c r="N6" s="21" t="s">
        <v>116</v>
      </c>
      <c r="O6" s="21" t="s">
        <v>117</v>
      </c>
      <c r="P6" s="21" t="s">
        <v>118</v>
      </c>
    </row>
    <row r="7" spans="1:16" ht="36" customHeight="1" x14ac:dyDescent="0.3">
      <c r="A7" s="4" t="s">
        <v>5</v>
      </c>
      <c r="B7" s="4" t="s">
        <v>119</v>
      </c>
      <c r="C7" s="4" t="s">
        <v>72</v>
      </c>
      <c r="D7" s="4" t="s">
        <v>120</v>
      </c>
      <c r="E7" s="4" t="s">
        <v>121</v>
      </c>
      <c r="F7" s="10">
        <f t="shared" si="0"/>
        <v>1</v>
      </c>
      <c r="G7" s="4" t="s">
        <v>122</v>
      </c>
      <c r="H7" s="10">
        <f t="shared" si="1"/>
        <v>2</v>
      </c>
      <c r="I7" s="11" t="str">
        <f t="shared" si="2"/>
        <v>1:Many</v>
      </c>
      <c r="J7" s="4" t="str">
        <f t="shared" si="3"/>
        <v>One HIPAA local control decomposes into multiple HITRUST e1 controls in this action item.</v>
      </c>
      <c r="K7" s="21" t="s">
        <v>123</v>
      </c>
      <c r="L7" s="21" t="s">
        <v>124</v>
      </c>
      <c r="M7" s="21" t="s">
        <v>125</v>
      </c>
      <c r="N7" s="21" t="s">
        <v>126</v>
      </c>
      <c r="O7" s="21" t="s">
        <v>127</v>
      </c>
      <c r="P7" s="21" t="s">
        <v>128</v>
      </c>
    </row>
    <row r="8" spans="1:16" ht="36" customHeight="1" x14ac:dyDescent="0.3">
      <c r="A8" s="4" t="s">
        <v>5</v>
      </c>
      <c r="B8" s="4" t="s">
        <v>129</v>
      </c>
      <c r="C8" s="4" t="s">
        <v>72</v>
      </c>
      <c r="D8" s="4" t="s">
        <v>130</v>
      </c>
      <c r="E8" s="4" t="s">
        <v>131</v>
      </c>
      <c r="F8" s="10">
        <f t="shared" si="0"/>
        <v>4</v>
      </c>
      <c r="G8" s="4" t="s">
        <v>132</v>
      </c>
      <c r="H8" s="10">
        <f t="shared" si="1"/>
        <v>3</v>
      </c>
      <c r="I8" s="12" t="str">
        <f t="shared" si="2"/>
        <v>Many:Many</v>
      </c>
      <c r="J8" s="4" t="str">
        <f t="shared" si="3"/>
        <v>Composite overlap: multiple HIPAA and HITRUST e1 controls are satisfied by the same action item.</v>
      </c>
      <c r="K8" s="21" t="s">
        <v>133</v>
      </c>
      <c r="L8" s="21" t="s">
        <v>134</v>
      </c>
      <c r="M8" s="21" t="s">
        <v>135</v>
      </c>
      <c r="N8" s="21" t="s">
        <v>136</v>
      </c>
      <c r="O8" s="21" t="s">
        <v>137</v>
      </c>
      <c r="P8" s="21" t="s">
        <v>138</v>
      </c>
    </row>
    <row r="9" spans="1:16" ht="36" customHeight="1" x14ac:dyDescent="0.3">
      <c r="A9" s="4" t="s">
        <v>5</v>
      </c>
      <c r="B9" s="4" t="s">
        <v>139</v>
      </c>
      <c r="C9" s="4" t="s">
        <v>72</v>
      </c>
      <c r="D9" s="4" t="s">
        <v>140</v>
      </c>
      <c r="E9" s="4" t="s">
        <v>141</v>
      </c>
      <c r="F9" s="10">
        <f t="shared" si="0"/>
        <v>1</v>
      </c>
      <c r="G9" s="4" t="s">
        <v>142</v>
      </c>
      <c r="H9" s="10">
        <f t="shared" si="1"/>
        <v>2</v>
      </c>
      <c r="I9" s="11" t="str">
        <f t="shared" si="2"/>
        <v>1:Many</v>
      </c>
      <c r="J9" s="4" t="str">
        <f t="shared" si="3"/>
        <v>One HIPAA local control decomposes into multiple HITRUST e1 controls in this action item.</v>
      </c>
      <c r="K9" s="21" t="s">
        <v>123</v>
      </c>
      <c r="L9" s="21" t="s">
        <v>124</v>
      </c>
      <c r="M9" s="21" t="s">
        <v>125</v>
      </c>
      <c r="N9" s="21" t="s">
        <v>143</v>
      </c>
      <c r="O9" s="21" t="s">
        <v>144</v>
      </c>
      <c r="P9" s="21" t="s">
        <v>145</v>
      </c>
    </row>
    <row r="10" spans="1:16" ht="36" customHeight="1" x14ac:dyDescent="0.3">
      <c r="A10" s="4" t="s">
        <v>5</v>
      </c>
      <c r="B10" s="4" t="s">
        <v>146</v>
      </c>
      <c r="C10" s="4" t="s">
        <v>72</v>
      </c>
      <c r="D10" s="4" t="s">
        <v>147</v>
      </c>
      <c r="E10" s="4" t="s">
        <v>148</v>
      </c>
      <c r="F10" s="10">
        <f t="shared" si="0"/>
        <v>2</v>
      </c>
      <c r="G10" s="4" t="s">
        <v>149</v>
      </c>
      <c r="H10" s="10">
        <f t="shared" si="1"/>
        <v>1</v>
      </c>
      <c r="I10" s="13" t="str">
        <f t="shared" si="2"/>
        <v>Many:1</v>
      </c>
      <c r="J10" s="4" t="str">
        <f t="shared" si="3"/>
        <v>Multiple HIPAA local controls converge on one HITRUST e1 control in this action item.</v>
      </c>
      <c r="K10" s="21" t="s">
        <v>150</v>
      </c>
      <c r="L10" s="21" t="s">
        <v>151</v>
      </c>
      <c r="M10" s="21" t="s">
        <v>152</v>
      </c>
      <c r="N10" s="21" t="s">
        <v>153</v>
      </c>
      <c r="O10" s="21" t="s">
        <v>154</v>
      </c>
      <c r="P10" s="21" t="s">
        <v>155</v>
      </c>
    </row>
    <row r="11" spans="1:16" ht="36" customHeight="1" x14ac:dyDescent="0.3">
      <c r="A11" s="4" t="s">
        <v>5</v>
      </c>
      <c r="B11" s="4" t="s">
        <v>156</v>
      </c>
      <c r="C11" s="4" t="s">
        <v>72</v>
      </c>
      <c r="D11" s="4" t="s">
        <v>157</v>
      </c>
      <c r="E11" s="4" t="s">
        <v>24</v>
      </c>
      <c r="F11" s="10">
        <f t="shared" si="0"/>
        <v>1</v>
      </c>
      <c r="G11" s="4" t="s">
        <v>25</v>
      </c>
      <c r="H11" s="10">
        <f t="shared" si="1"/>
        <v>1</v>
      </c>
      <c r="I11" s="14" t="str">
        <f t="shared" si="2"/>
        <v>1:1</v>
      </c>
      <c r="J11" s="4" t="str">
        <f t="shared" si="3"/>
        <v>Direct 1:1 overlap at the action-item level.</v>
      </c>
      <c r="K11" s="21" t="s">
        <v>158</v>
      </c>
      <c r="L11" s="21" t="s">
        <v>159</v>
      </c>
      <c r="M11" s="21" t="s">
        <v>152</v>
      </c>
      <c r="N11" s="21" t="s">
        <v>160</v>
      </c>
      <c r="O11" s="21" t="s">
        <v>161</v>
      </c>
      <c r="P11" s="21" t="s">
        <v>162</v>
      </c>
    </row>
    <row r="12" spans="1:16" ht="36" customHeight="1" x14ac:dyDescent="0.3">
      <c r="A12" s="4" t="s">
        <v>10</v>
      </c>
      <c r="B12" s="4" t="s">
        <v>163</v>
      </c>
      <c r="C12" s="4" t="s">
        <v>164</v>
      </c>
      <c r="D12" s="4" t="s">
        <v>165</v>
      </c>
      <c r="E12" s="4" t="s">
        <v>166</v>
      </c>
      <c r="F12" s="10">
        <f t="shared" si="0"/>
        <v>1</v>
      </c>
      <c r="G12" s="4" t="s">
        <v>167</v>
      </c>
      <c r="H12" s="10">
        <f t="shared" si="1"/>
        <v>2</v>
      </c>
      <c r="I12" s="11" t="str">
        <f t="shared" si="2"/>
        <v>1:Many</v>
      </c>
      <c r="J12" s="4" t="str">
        <f t="shared" si="3"/>
        <v>One HIPAA local control decomposes into multiple HITRUST e1 controls in this action item.</v>
      </c>
      <c r="K12" s="21" t="s">
        <v>168</v>
      </c>
      <c r="L12" s="21" t="s">
        <v>169</v>
      </c>
      <c r="M12" s="21" t="s">
        <v>78</v>
      </c>
      <c r="N12" s="21" t="s">
        <v>170</v>
      </c>
      <c r="O12" s="21" t="s">
        <v>171</v>
      </c>
      <c r="P12" s="21" t="s">
        <v>172</v>
      </c>
    </row>
    <row r="13" spans="1:16" ht="36" customHeight="1" x14ac:dyDescent="0.3">
      <c r="A13" s="4" t="s">
        <v>5</v>
      </c>
      <c r="B13" s="4" t="s">
        <v>173</v>
      </c>
      <c r="C13" s="4" t="s">
        <v>164</v>
      </c>
      <c r="D13" s="4" t="s">
        <v>174</v>
      </c>
      <c r="E13" s="4" t="s">
        <v>175</v>
      </c>
      <c r="F13" s="10">
        <f t="shared" si="0"/>
        <v>1</v>
      </c>
      <c r="G13" s="4" t="s">
        <v>176</v>
      </c>
      <c r="H13" s="10">
        <f t="shared" si="1"/>
        <v>1</v>
      </c>
      <c r="I13" s="14" t="str">
        <f t="shared" si="2"/>
        <v>1:1</v>
      </c>
      <c r="J13" s="4" t="str">
        <f t="shared" si="3"/>
        <v>Direct 1:1 overlap at the action-item level.</v>
      </c>
      <c r="K13" s="21" t="s">
        <v>177</v>
      </c>
      <c r="L13" s="21" t="s">
        <v>178</v>
      </c>
      <c r="M13" s="21" t="s">
        <v>78</v>
      </c>
      <c r="N13" s="21" t="s">
        <v>179</v>
      </c>
      <c r="O13" s="21" t="s">
        <v>180</v>
      </c>
      <c r="P13" s="21" t="s">
        <v>181</v>
      </c>
    </row>
    <row r="14" spans="1:16" ht="36" customHeight="1" x14ac:dyDescent="0.3">
      <c r="A14" s="4" t="s">
        <v>5</v>
      </c>
      <c r="B14" s="4" t="s">
        <v>182</v>
      </c>
      <c r="C14" s="4" t="s">
        <v>164</v>
      </c>
      <c r="D14" s="4" t="s">
        <v>183</v>
      </c>
      <c r="E14" s="4" t="s">
        <v>184</v>
      </c>
      <c r="F14" s="10">
        <f t="shared" si="0"/>
        <v>3</v>
      </c>
      <c r="G14" s="4" t="s">
        <v>13</v>
      </c>
      <c r="H14" s="10">
        <f t="shared" si="1"/>
        <v>1</v>
      </c>
      <c r="I14" s="13" t="str">
        <f t="shared" si="2"/>
        <v>Many:1</v>
      </c>
      <c r="J14" s="4" t="str">
        <f t="shared" si="3"/>
        <v>Multiple HIPAA local controls converge on one HITRUST e1 control in this action item.</v>
      </c>
      <c r="K14" s="21" t="s">
        <v>185</v>
      </c>
      <c r="L14" s="21" t="s">
        <v>186</v>
      </c>
      <c r="M14" s="21" t="s">
        <v>187</v>
      </c>
      <c r="N14" s="21" t="s">
        <v>188</v>
      </c>
      <c r="O14" s="21" t="s">
        <v>189</v>
      </c>
      <c r="P14" s="21" t="s">
        <v>190</v>
      </c>
    </row>
    <row r="15" spans="1:16" ht="36" customHeight="1" x14ac:dyDescent="0.3">
      <c r="A15" s="4" t="s">
        <v>5</v>
      </c>
      <c r="B15" s="4" t="s">
        <v>191</v>
      </c>
      <c r="C15" s="4" t="s">
        <v>164</v>
      </c>
      <c r="D15" s="4" t="s">
        <v>192</v>
      </c>
      <c r="E15" s="4" t="s">
        <v>193</v>
      </c>
      <c r="F15" s="10">
        <f t="shared" si="0"/>
        <v>3</v>
      </c>
      <c r="G15" s="4" t="s">
        <v>20</v>
      </c>
      <c r="H15" s="10">
        <f t="shared" si="1"/>
        <v>1</v>
      </c>
      <c r="I15" s="13" t="str">
        <f t="shared" si="2"/>
        <v>Many:1</v>
      </c>
      <c r="J15" s="4" t="str">
        <f t="shared" si="3"/>
        <v>Multiple HIPAA local controls converge on one HITRUST e1 control in this action item.</v>
      </c>
      <c r="K15" s="21" t="s">
        <v>194</v>
      </c>
      <c r="L15" s="21" t="s">
        <v>195</v>
      </c>
      <c r="M15" s="21" t="s">
        <v>88</v>
      </c>
      <c r="N15" s="21" t="s">
        <v>196</v>
      </c>
      <c r="O15" s="21" t="s">
        <v>197</v>
      </c>
      <c r="P15" s="21" t="s">
        <v>198</v>
      </c>
    </row>
    <row r="16" spans="1:16" ht="36" customHeight="1" x14ac:dyDescent="0.3">
      <c r="A16" s="4" t="s">
        <v>5</v>
      </c>
      <c r="B16" s="4" t="s">
        <v>199</v>
      </c>
      <c r="C16" s="4" t="s">
        <v>200</v>
      </c>
      <c r="D16" s="4" t="s">
        <v>124</v>
      </c>
      <c r="E16" s="4" t="s">
        <v>201</v>
      </c>
      <c r="F16" s="10">
        <f t="shared" si="0"/>
        <v>4</v>
      </c>
      <c r="G16" s="4" t="s">
        <v>27</v>
      </c>
      <c r="H16" s="10">
        <f t="shared" si="1"/>
        <v>1</v>
      </c>
      <c r="I16" s="13" t="str">
        <f t="shared" si="2"/>
        <v>Many:1</v>
      </c>
      <c r="J16" s="4" t="str">
        <f t="shared" si="3"/>
        <v>Multiple HIPAA local controls converge on one HITRUST e1 control in this action item.</v>
      </c>
      <c r="K16" s="21" t="s">
        <v>202</v>
      </c>
      <c r="L16" s="21" t="s">
        <v>203</v>
      </c>
      <c r="M16" s="21" t="s">
        <v>204</v>
      </c>
      <c r="N16" s="21" t="s">
        <v>205</v>
      </c>
      <c r="O16" s="21" t="s">
        <v>206</v>
      </c>
      <c r="P16" s="21" t="s">
        <v>207</v>
      </c>
    </row>
    <row r="17" spans="1:16" ht="36" customHeight="1" x14ac:dyDescent="0.3">
      <c r="A17" s="4" t="s">
        <v>5</v>
      </c>
      <c r="B17" s="4" t="s">
        <v>208</v>
      </c>
      <c r="C17" s="4" t="s">
        <v>200</v>
      </c>
      <c r="D17" s="4" t="s">
        <v>209</v>
      </c>
      <c r="E17" s="4" t="s">
        <v>210</v>
      </c>
      <c r="F17" s="10">
        <f t="shared" si="0"/>
        <v>2</v>
      </c>
      <c r="G17" s="4" t="s">
        <v>176</v>
      </c>
      <c r="H17" s="10">
        <f t="shared" si="1"/>
        <v>1</v>
      </c>
      <c r="I17" s="13" t="str">
        <f t="shared" si="2"/>
        <v>Many:1</v>
      </c>
      <c r="J17" s="4" t="str">
        <f t="shared" si="3"/>
        <v>Multiple HIPAA local controls converge on one HITRUST e1 control in this action item.</v>
      </c>
      <c r="K17" s="21" t="s">
        <v>211</v>
      </c>
      <c r="L17" s="21" t="s">
        <v>212</v>
      </c>
      <c r="M17" s="21" t="s">
        <v>213</v>
      </c>
      <c r="N17" s="21" t="s">
        <v>214</v>
      </c>
      <c r="O17" s="21" t="s">
        <v>90</v>
      </c>
      <c r="P17" s="21" t="s">
        <v>215</v>
      </c>
    </row>
    <row r="18" spans="1:16" ht="36" customHeight="1" x14ac:dyDescent="0.3">
      <c r="A18" s="4" t="s">
        <v>5</v>
      </c>
      <c r="B18" s="4" t="s">
        <v>216</v>
      </c>
      <c r="C18" s="4" t="s">
        <v>200</v>
      </c>
      <c r="D18" s="4" t="s">
        <v>217</v>
      </c>
      <c r="E18" s="4" t="s">
        <v>218</v>
      </c>
      <c r="F18" s="10">
        <f t="shared" si="0"/>
        <v>1</v>
      </c>
      <c r="G18" s="4" t="s">
        <v>219</v>
      </c>
      <c r="H18" s="10">
        <f t="shared" si="1"/>
        <v>2</v>
      </c>
      <c r="I18" s="11" t="str">
        <f t="shared" si="2"/>
        <v>1:Many</v>
      </c>
      <c r="J18" s="4" t="str">
        <f t="shared" si="3"/>
        <v>One HIPAA local control decomposes into multiple HITRUST e1 controls in this action item.</v>
      </c>
      <c r="K18" s="21" t="s">
        <v>220</v>
      </c>
      <c r="L18" s="21" t="s">
        <v>221</v>
      </c>
      <c r="M18" s="21" t="s">
        <v>222</v>
      </c>
      <c r="N18" s="21" t="s">
        <v>223</v>
      </c>
      <c r="O18" s="21" t="s">
        <v>224</v>
      </c>
      <c r="P18" s="21" t="s">
        <v>225</v>
      </c>
    </row>
    <row r="19" spans="1:16" ht="36" customHeight="1" x14ac:dyDescent="0.3">
      <c r="A19" s="4" t="s">
        <v>5</v>
      </c>
      <c r="B19" s="4" t="s">
        <v>226</v>
      </c>
      <c r="C19" s="4" t="s">
        <v>200</v>
      </c>
      <c r="D19" s="4" t="s">
        <v>227</v>
      </c>
      <c r="E19" s="4" t="s">
        <v>228</v>
      </c>
      <c r="F19" s="10">
        <f t="shared" si="0"/>
        <v>3</v>
      </c>
      <c r="G19" s="4" t="s">
        <v>229</v>
      </c>
      <c r="H19" s="10">
        <f t="shared" si="1"/>
        <v>5</v>
      </c>
      <c r="I19" s="12" t="str">
        <f t="shared" si="2"/>
        <v>Many:Many</v>
      </c>
      <c r="J19" s="4" t="str">
        <f t="shared" si="3"/>
        <v>Composite overlap: multiple HIPAA and HITRUST e1 controls are satisfied by the same action item.</v>
      </c>
      <c r="K19" s="21" t="s">
        <v>230</v>
      </c>
      <c r="L19" s="21" t="s">
        <v>231</v>
      </c>
      <c r="M19" s="21" t="s">
        <v>125</v>
      </c>
      <c r="N19" s="21" t="s">
        <v>232</v>
      </c>
      <c r="O19" s="21" t="s">
        <v>233</v>
      </c>
      <c r="P19" s="21" t="s">
        <v>234</v>
      </c>
    </row>
    <row r="20" spans="1:16" ht="36" customHeight="1" x14ac:dyDescent="0.3">
      <c r="A20" s="4" t="s">
        <v>5</v>
      </c>
      <c r="B20" s="4" t="s">
        <v>235</v>
      </c>
      <c r="C20" s="4" t="s">
        <v>200</v>
      </c>
      <c r="D20" s="4" t="s">
        <v>236</v>
      </c>
      <c r="E20" s="4" t="s">
        <v>237</v>
      </c>
      <c r="F20" s="10">
        <f t="shared" si="0"/>
        <v>2</v>
      </c>
      <c r="G20" s="4" t="s">
        <v>238</v>
      </c>
      <c r="H20" s="10">
        <f t="shared" si="1"/>
        <v>2</v>
      </c>
      <c r="I20" s="12" t="str">
        <f t="shared" si="2"/>
        <v>Many:Many</v>
      </c>
      <c r="J20" s="4" t="str">
        <f t="shared" si="3"/>
        <v>Composite overlap: multiple HIPAA and HITRUST e1 controls are satisfied by the same action item.</v>
      </c>
      <c r="K20" s="21" t="s">
        <v>239</v>
      </c>
      <c r="L20" s="21" t="s">
        <v>240</v>
      </c>
      <c r="M20" s="21" t="s">
        <v>78</v>
      </c>
      <c r="N20" s="21" t="s">
        <v>241</v>
      </c>
      <c r="O20" s="21" t="s">
        <v>242</v>
      </c>
      <c r="P20" s="21" t="s">
        <v>243</v>
      </c>
    </row>
    <row r="21" spans="1:16" ht="36" customHeight="1" x14ac:dyDescent="0.3">
      <c r="A21" s="4" t="s">
        <v>5</v>
      </c>
      <c r="B21" s="4" t="s">
        <v>244</v>
      </c>
      <c r="C21" s="4" t="s">
        <v>200</v>
      </c>
      <c r="D21" s="4" t="s">
        <v>245</v>
      </c>
      <c r="E21" s="4" t="s">
        <v>184</v>
      </c>
      <c r="F21" s="10">
        <f t="shared" si="0"/>
        <v>3</v>
      </c>
      <c r="G21" s="4" t="s">
        <v>13</v>
      </c>
      <c r="H21" s="10">
        <f t="shared" si="1"/>
        <v>1</v>
      </c>
      <c r="I21" s="13" t="str">
        <f t="shared" si="2"/>
        <v>Many:1</v>
      </c>
      <c r="J21" s="4" t="str">
        <f t="shared" si="3"/>
        <v>Multiple HIPAA local controls converge on one HITRUST e1 control in this action item.</v>
      </c>
      <c r="K21" s="21" t="s">
        <v>185</v>
      </c>
      <c r="L21" s="21" t="s">
        <v>186</v>
      </c>
      <c r="M21" s="21" t="s">
        <v>187</v>
      </c>
      <c r="N21" s="21" t="s">
        <v>188</v>
      </c>
      <c r="O21" s="21" t="s">
        <v>189</v>
      </c>
      <c r="P21" s="21" t="s">
        <v>190</v>
      </c>
    </row>
    <row r="22" spans="1:16" ht="36" customHeight="1" x14ac:dyDescent="0.3">
      <c r="A22" s="4" t="s">
        <v>5</v>
      </c>
      <c r="B22" s="4" t="s">
        <v>246</v>
      </c>
      <c r="C22" s="4" t="s">
        <v>200</v>
      </c>
      <c r="D22" s="4" t="s">
        <v>247</v>
      </c>
      <c r="E22" s="4" t="s">
        <v>24</v>
      </c>
      <c r="F22" s="10">
        <f t="shared" si="0"/>
        <v>1</v>
      </c>
      <c r="G22" s="4" t="s">
        <v>248</v>
      </c>
      <c r="H22" s="10">
        <f t="shared" si="1"/>
        <v>2</v>
      </c>
      <c r="I22" s="11" t="str">
        <f t="shared" si="2"/>
        <v>1:Many</v>
      </c>
      <c r="J22" s="4" t="str">
        <f t="shared" si="3"/>
        <v>One HIPAA local control decomposes into multiple HITRUST e1 controls in this action item.</v>
      </c>
      <c r="K22" s="21" t="s">
        <v>249</v>
      </c>
      <c r="L22" s="21" t="s">
        <v>250</v>
      </c>
      <c r="M22" s="21" t="s">
        <v>152</v>
      </c>
      <c r="N22" s="21" t="s">
        <v>251</v>
      </c>
      <c r="O22" s="21" t="s">
        <v>161</v>
      </c>
      <c r="P22" s="21" t="s">
        <v>252</v>
      </c>
    </row>
    <row r="23" spans="1:16" ht="36" customHeight="1" x14ac:dyDescent="0.3">
      <c r="A23" s="4" t="s">
        <v>5</v>
      </c>
      <c r="B23" s="4" t="s">
        <v>253</v>
      </c>
      <c r="C23" s="4" t="s">
        <v>200</v>
      </c>
      <c r="D23" s="4" t="s">
        <v>254</v>
      </c>
      <c r="E23" s="4" t="s">
        <v>255</v>
      </c>
      <c r="F23" s="10">
        <f t="shared" si="0"/>
        <v>2</v>
      </c>
      <c r="G23" s="4" t="s">
        <v>256</v>
      </c>
      <c r="H23" s="10">
        <f t="shared" si="1"/>
        <v>2</v>
      </c>
      <c r="I23" s="12" t="str">
        <f t="shared" si="2"/>
        <v>Many:Many</v>
      </c>
      <c r="J23" s="4" t="str">
        <f t="shared" si="3"/>
        <v>Composite overlap: multiple HIPAA and HITRUST e1 controls are satisfied by the same action item.</v>
      </c>
      <c r="K23" s="21" t="s">
        <v>194</v>
      </c>
      <c r="L23" s="21" t="s">
        <v>195</v>
      </c>
      <c r="M23" s="21" t="s">
        <v>78</v>
      </c>
      <c r="N23" s="21" t="s">
        <v>257</v>
      </c>
      <c r="O23" s="21" t="s">
        <v>197</v>
      </c>
      <c r="P23" s="21" t="s">
        <v>258</v>
      </c>
    </row>
    <row r="24" spans="1:16" ht="36" customHeight="1" x14ac:dyDescent="0.3">
      <c r="A24" s="4" t="s">
        <v>5</v>
      </c>
      <c r="B24" s="4" t="s">
        <v>259</v>
      </c>
      <c r="C24" s="4" t="s">
        <v>260</v>
      </c>
      <c r="D24" s="4" t="s">
        <v>261</v>
      </c>
      <c r="E24" s="4" t="s">
        <v>262</v>
      </c>
      <c r="F24" s="10">
        <f t="shared" si="0"/>
        <v>2</v>
      </c>
      <c r="G24" s="4" t="s">
        <v>263</v>
      </c>
      <c r="H24" s="10">
        <f t="shared" si="1"/>
        <v>1</v>
      </c>
      <c r="I24" s="13" t="str">
        <f t="shared" si="2"/>
        <v>Many:1</v>
      </c>
      <c r="J24" s="4" t="str">
        <f t="shared" si="3"/>
        <v>Multiple HIPAA local controls converge on one HITRUST e1 control in this action item.</v>
      </c>
      <c r="K24" s="21" t="s">
        <v>264</v>
      </c>
      <c r="L24" s="21" t="s">
        <v>265</v>
      </c>
      <c r="M24" s="21" t="s">
        <v>266</v>
      </c>
      <c r="N24" s="21" t="s">
        <v>267</v>
      </c>
      <c r="O24" s="21" t="s">
        <v>268</v>
      </c>
      <c r="P24" s="21" t="s">
        <v>269</v>
      </c>
    </row>
    <row r="25" spans="1:16" ht="36" customHeight="1" x14ac:dyDescent="0.3">
      <c r="A25" s="4" t="s">
        <v>5</v>
      </c>
      <c r="B25" s="4" t="s">
        <v>270</v>
      </c>
      <c r="C25" s="4" t="s">
        <v>260</v>
      </c>
      <c r="D25" s="4" t="s">
        <v>271</v>
      </c>
      <c r="E25" s="4" t="s">
        <v>272</v>
      </c>
      <c r="F25" s="10">
        <f t="shared" si="0"/>
        <v>2</v>
      </c>
      <c r="G25" s="4" t="s">
        <v>273</v>
      </c>
      <c r="H25" s="10">
        <f t="shared" si="1"/>
        <v>2</v>
      </c>
      <c r="I25" s="12" t="str">
        <f t="shared" si="2"/>
        <v>Many:Many</v>
      </c>
      <c r="J25" s="4" t="str">
        <f t="shared" si="3"/>
        <v>Composite overlap: multiple HIPAA and HITRUST e1 controls are satisfied by the same action item.</v>
      </c>
      <c r="K25" s="21" t="s">
        <v>274</v>
      </c>
      <c r="L25" s="21" t="s">
        <v>275</v>
      </c>
      <c r="M25" s="21" t="s">
        <v>222</v>
      </c>
      <c r="N25" s="21" t="s">
        <v>276</v>
      </c>
      <c r="O25" s="21" t="s">
        <v>277</v>
      </c>
      <c r="P25" s="21" t="s">
        <v>278</v>
      </c>
    </row>
    <row r="26" spans="1:16" ht="36" customHeight="1" x14ac:dyDescent="0.3">
      <c r="A26" s="4" t="s">
        <v>5</v>
      </c>
      <c r="B26" s="4" t="s">
        <v>279</v>
      </c>
      <c r="C26" s="4" t="s">
        <v>260</v>
      </c>
      <c r="D26" s="4" t="s">
        <v>280</v>
      </c>
      <c r="E26" s="4" t="s">
        <v>281</v>
      </c>
      <c r="F26" s="10">
        <f t="shared" si="0"/>
        <v>2</v>
      </c>
      <c r="G26" s="4" t="s">
        <v>30</v>
      </c>
      <c r="H26" s="10">
        <f t="shared" si="1"/>
        <v>1</v>
      </c>
      <c r="I26" s="13" t="str">
        <f t="shared" si="2"/>
        <v>Many:1</v>
      </c>
      <c r="J26" s="4" t="str">
        <f t="shared" si="3"/>
        <v>Multiple HIPAA local controls converge on one HITRUST e1 control in this action item.</v>
      </c>
      <c r="K26" s="21" t="s">
        <v>282</v>
      </c>
      <c r="L26" s="21" t="s">
        <v>283</v>
      </c>
      <c r="M26" s="21" t="s">
        <v>266</v>
      </c>
      <c r="N26" s="21" t="s">
        <v>284</v>
      </c>
      <c r="O26" s="21" t="s">
        <v>285</v>
      </c>
      <c r="P26" s="21" t="s">
        <v>286</v>
      </c>
    </row>
    <row r="27" spans="1:16" ht="36" customHeight="1" x14ac:dyDescent="0.3">
      <c r="A27" s="4" t="s">
        <v>5</v>
      </c>
      <c r="B27" s="4" t="s">
        <v>287</v>
      </c>
      <c r="C27" s="4" t="s">
        <v>288</v>
      </c>
      <c r="D27" s="4" t="s">
        <v>289</v>
      </c>
      <c r="E27" s="4" t="s">
        <v>26</v>
      </c>
      <c r="F27" s="10">
        <f t="shared" si="0"/>
        <v>1</v>
      </c>
      <c r="G27" s="4" t="s">
        <v>27</v>
      </c>
      <c r="H27" s="10">
        <f t="shared" si="1"/>
        <v>1</v>
      </c>
      <c r="I27" s="14" t="str">
        <f t="shared" si="2"/>
        <v>1:1</v>
      </c>
      <c r="J27" s="4" t="str">
        <f t="shared" si="3"/>
        <v>Direct 1:1 overlap at the action-item level.</v>
      </c>
      <c r="K27" s="21" t="s">
        <v>290</v>
      </c>
      <c r="L27" s="21" t="s">
        <v>291</v>
      </c>
      <c r="M27" s="21" t="s">
        <v>78</v>
      </c>
      <c r="N27" s="21" t="s">
        <v>292</v>
      </c>
      <c r="O27" s="21" t="s">
        <v>293</v>
      </c>
      <c r="P27" s="21" t="s">
        <v>294</v>
      </c>
    </row>
    <row r="28" spans="1:16" ht="36" customHeight="1" x14ac:dyDescent="0.3">
      <c r="A28" s="4" t="s">
        <v>5</v>
      </c>
      <c r="B28" s="4" t="s">
        <v>295</v>
      </c>
      <c r="C28" s="4" t="s">
        <v>288</v>
      </c>
      <c r="D28" s="4" t="s">
        <v>296</v>
      </c>
      <c r="E28" s="4" t="s">
        <v>29</v>
      </c>
      <c r="F28" s="10">
        <f t="shared" si="0"/>
        <v>1</v>
      </c>
      <c r="G28" s="4" t="s">
        <v>30</v>
      </c>
      <c r="H28" s="10">
        <f t="shared" si="1"/>
        <v>1</v>
      </c>
      <c r="I28" s="14" t="str">
        <f t="shared" si="2"/>
        <v>1:1</v>
      </c>
      <c r="J28" s="4" t="str">
        <f t="shared" si="3"/>
        <v>Direct 1:1 overlap at the action-item level.</v>
      </c>
      <c r="K28" s="21" t="s">
        <v>282</v>
      </c>
      <c r="L28" s="21" t="s">
        <v>283</v>
      </c>
      <c r="M28" s="21" t="s">
        <v>152</v>
      </c>
      <c r="N28" s="21" t="s">
        <v>297</v>
      </c>
      <c r="O28" s="21" t="s">
        <v>285</v>
      </c>
      <c r="P28" s="21" t="s">
        <v>298</v>
      </c>
    </row>
    <row r="29" spans="1:16" ht="36" customHeight="1" x14ac:dyDescent="0.3">
      <c r="A29" s="4" t="s">
        <v>5</v>
      </c>
      <c r="B29" s="4" t="s">
        <v>299</v>
      </c>
      <c r="C29" s="4" t="s">
        <v>288</v>
      </c>
      <c r="D29" s="4" t="s">
        <v>300</v>
      </c>
      <c r="E29" s="4" t="s">
        <v>301</v>
      </c>
      <c r="F29" s="10">
        <f t="shared" si="0"/>
        <v>2</v>
      </c>
      <c r="G29" s="4" t="s">
        <v>302</v>
      </c>
      <c r="H29" s="10">
        <f t="shared" si="1"/>
        <v>1</v>
      </c>
      <c r="I29" s="13" t="str">
        <f t="shared" si="2"/>
        <v>Many:1</v>
      </c>
      <c r="J29" s="4" t="str">
        <f t="shared" si="3"/>
        <v>Multiple HIPAA local controls converge on one HITRUST e1 control in this action item.</v>
      </c>
      <c r="K29" s="21" t="s">
        <v>194</v>
      </c>
      <c r="L29" s="21" t="s">
        <v>195</v>
      </c>
      <c r="M29" s="21" t="s">
        <v>125</v>
      </c>
      <c r="N29" s="21" t="s">
        <v>303</v>
      </c>
      <c r="O29" s="21" t="s">
        <v>304</v>
      </c>
      <c r="P29" s="21" t="s">
        <v>305</v>
      </c>
    </row>
    <row r="30" spans="1:16" ht="36" customHeight="1" x14ac:dyDescent="0.3">
      <c r="A30" s="4" t="s">
        <v>5</v>
      </c>
      <c r="B30" s="4" t="s">
        <v>306</v>
      </c>
      <c r="C30" s="4" t="s">
        <v>288</v>
      </c>
      <c r="D30" s="4" t="s">
        <v>307</v>
      </c>
      <c r="E30" s="4" t="s">
        <v>308</v>
      </c>
      <c r="F30" s="10">
        <f t="shared" si="0"/>
        <v>1</v>
      </c>
      <c r="G30" s="4" t="s">
        <v>309</v>
      </c>
      <c r="H30" s="10">
        <f t="shared" si="1"/>
        <v>1</v>
      </c>
      <c r="I30" s="14" t="str">
        <f t="shared" si="2"/>
        <v>1:1</v>
      </c>
      <c r="J30" s="4" t="str">
        <f t="shared" si="3"/>
        <v>Direct 1:1 overlap at the action-item level.</v>
      </c>
      <c r="K30" s="21" t="s">
        <v>310</v>
      </c>
      <c r="L30" s="21" t="s">
        <v>311</v>
      </c>
      <c r="M30" s="21" t="s">
        <v>78</v>
      </c>
      <c r="N30" s="21" t="s">
        <v>312</v>
      </c>
      <c r="O30" s="21" t="s">
        <v>293</v>
      </c>
      <c r="P30" s="21" t="s">
        <v>313</v>
      </c>
    </row>
    <row r="31" spans="1:16" ht="36" customHeight="1" x14ac:dyDescent="0.3">
      <c r="A31" s="4" t="s">
        <v>5</v>
      </c>
      <c r="B31" s="4" t="s">
        <v>314</v>
      </c>
      <c r="C31" s="4" t="s">
        <v>288</v>
      </c>
      <c r="D31" s="4" t="s">
        <v>315</v>
      </c>
      <c r="E31" s="4" t="s">
        <v>15</v>
      </c>
      <c r="F31" s="10">
        <f t="shared" si="0"/>
        <v>1</v>
      </c>
      <c r="G31" s="4" t="s">
        <v>316</v>
      </c>
      <c r="H31" s="10">
        <f t="shared" si="1"/>
        <v>3</v>
      </c>
      <c r="I31" s="11" t="str">
        <f t="shared" si="2"/>
        <v>1:Many</v>
      </c>
      <c r="J31" s="4" t="str">
        <f t="shared" si="3"/>
        <v>One HIPAA local control decomposes into multiple HITRUST e1 controls in this action item.</v>
      </c>
      <c r="K31" s="21" t="s">
        <v>317</v>
      </c>
      <c r="L31" s="21" t="s">
        <v>318</v>
      </c>
      <c r="M31" s="21" t="s">
        <v>78</v>
      </c>
      <c r="N31" s="21" t="s">
        <v>319</v>
      </c>
      <c r="O31" s="21" t="s">
        <v>320</v>
      </c>
      <c r="P31" s="21" t="s">
        <v>321</v>
      </c>
    </row>
    <row r="32" spans="1:16" ht="36" customHeight="1" x14ac:dyDescent="0.3">
      <c r="A32" s="4" t="s">
        <v>5</v>
      </c>
      <c r="B32" s="4" t="s">
        <v>322</v>
      </c>
      <c r="C32" s="4" t="s">
        <v>288</v>
      </c>
      <c r="D32" s="4" t="s">
        <v>323</v>
      </c>
      <c r="E32" s="4" t="s">
        <v>34</v>
      </c>
      <c r="F32" s="10">
        <f t="shared" si="0"/>
        <v>1</v>
      </c>
      <c r="G32" s="4" t="s">
        <v>35</v>
      </c>
      <c r="H32" s="10">
        <f t="shared" si="1"/>
        <v>1</v>
      </c>
      <c r="I32" s="14" t="str">
        <f t="shared" si="2"/>
        <v>1:1</v>
      </c>
      <c r="J32" s="4" t="str">
        <f t="shared" si="3"/>
        <v>Direct 1:1 overlap at the action-item level.</v>
      </c>
      <c r="K32" s="21" t="s">
        <v>274</v>
      </c>
      <c r="L32" s="21" t="s">
        <v>275</v>
      </c>
      <c r="M32" s="21" t="s">
        <v>222</v>
      </c>
      <c r="N32" s="21" t="s">
        <v>324</v>
      </c>
      <c r="O32" s="21" t="s">
        <v>277</v>
      </c>
      <c r="P32" s="21" t="s">
        <v>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6"/>
  <sheetViews>
    <sheetView showGridLines="0" workbookViewId="0"/>
  </sheetViews>
  <sheetFormatPr defaultRowHeight="14.4" x14ac:dyDescent="0.3"/>
  <cols>
    <col min="1" max="1" width="18" customWidth="1"/>
    <col min="2" max="2" width="14" customWidth="1"/>
    <col min="3" max="3" width="16" customWidth="1"/>
    <col min="4" max="4" width="42" customWidth="1"/>
    <col min="5" max="5" width="20" customWidth="1"/>
    <col min="6" max="6" width="28" customWidth="1"/>
    <col min="7" max="7" width="18" customWidth="1"/>
    <col min="8" max="8" width="14" customWidth="1"/>
    <col min="9" max="9" width="28" customWidth="1"/>
    <col min="10" max="10" width="42" customWidth="1"/>
    <col min="11" max="11" width="22" customWidth="1"/>
    <col min="12" max="12" width="52" customWidth="1"/>
    <col min="13" max="13" width="70" customWidth="1"/>
    <col min="14" max="14" width="56" customWidth="1"/>
  </cols>
  <sheetData>
    <row r="1" spans="1:14" ht="31.95" customHeight="1" x14ac:dyDescent="0.3">
      <c r="A1" s="9" t="s">
        <v>55</v>
      </c>
      <c r="B1" s="9" t="s">
        <v>56</v>
      </c>
      <c r="C1" s="9" t="s">
        <v>57</v>
      </c>
      <c r="D1" s="9" t="s">
        <v>58</v>
      </c>
      <c r="E1" s="9" t="s">
        <v>326</v>
      </c>
      <c r="F1" s="9" t="s">
        <v>327</v>
      </c>
      <c r="G1" s="9" t="s">
        <v>328</v>
      </c>
      <c r="H1" s="9" t="s">
        <v>329</v>
      </c>
      <c r="I1" s="9" t="s">
        <v>65</v>
      </c>
      <c r="J1" s="9" t="s">
        <v>66</v>
      </c>
      <c r="K1" s="9" t="s">
        <v>67</v>
      </c>
      <c r="L1" s="9" t="s">
        <v>68</v>
      </c>
      <c r="M1" s="9" t="s">
        <v>69</v>
      </c>
      <c r="N1" s="9" t="s">
        <v>70</v>
      </c>
    </row>
    <row r="2" spans="1:14" ht="30" customHeight="1" x14ac:dyDescent="0.3">
      <c r="A2" s="4" t="s">
        <v>5</v>
      </c>
      <c r="B2" s="4" t="s">
        <v>199</v>
      </c>
      <c r="C2" s="4" t="s">
        <v>200</v>
      </c>
      <c r="D2" s="4" t="s">
        <v>124</v>
      </c>
      <c r="E2" s="4" t="s">
        <v>330</v>
      </c>
      <c r="F2" s="4" t="s">
        <v>27</v>
      </c>
      <c r="G2" s="15" t="s">
        <v>331</v>
      </c>
      <c r="H2" s="10">
        <f t="shared" ref="H2:H33" si="0">COUNTIFS($E:$E,E2,$F:$F,F2)</f>
        <v>1</v>
      </c>
      <c r="I2" s="21" t="s">
        <v>332</v>
      </c>
      <c r="J2" s="21" t="s">
        <v>333</v>
      </c>
      <c r="K2" s="21" t="s">
        <v>152</v>
      </c>
      <c r="L2" s="21" t="s">
        <v>334</v>
      </c>
      <c r="M2" s="21" t="s">
        <v>335</v>
      </c>
      <c r="N2" s="21" t="s">
        <v>336</v>
      </c>
    </row>
    <row r="3" spans="1:14" ht="30" customHeight="1" x14ac:dyDescent="0.3">
      <c r="A3" s="4" t="s">
        <v>5</v>
      </c>
      <c r="B3" s="4" t="s">
        <v>199</v>
      </c>
      <c r="C3" s="4" t="s">
        <v>200</v>
      </c>
      <c r="D3" s="4" t="s">
        <v>124</v>
      </c>
      <c r="E3" s="4" t="s">
        <v>26</v>
      </c>
      <c r="F3" s="4" t="s">
        <v>27</v>
      </c>
      <c r="G3" s="15" t="s">
        <v>331</v>
      </c>
      <c r="H3" s="10">
        <f t="shared" si="0"/>
        <v>2</v>
      </c>
      <c r="I3" s="21" t="s">
        <v>290</v>
      </c>
      <c r="J3" s="21" t="s">
        <v>291</v>
      </c>
      <c r="K3" s="21" t="s">
        <v>78</v>
      </c>
      <c r="L3" s="21" t="s">
        <v>292</v>
      </c>
      <c r="M3" s="21" t="s">
        <v>293</v>
      </c>
      <c r="N3" s="21" t="s">
        <v>294</v>
      </c>
    </row>
    <row r="4" spans="1:14" ht="30" customHeight="1" x14ac:dyDescent="0.3">
      <c r="A4" s="4" t="s">
        <v>5</v>
      </c>
      <c r="B4" s="4" t="s">
        <v>199</v>
      </c>
      <c r="C4" s="4" t="s">
        <v>200</v>
      </c>
      <c r="D4" s="4" t="s">
        <v>124</v>
      </c>
      <c r="E4" s="4" t="s">
        <v>308</v>
      </c>
      <c r="F4" s="4" t="s">
        <v>27</v>
      </c>
      <c r="G4" s="15" t="s">
        <v>331</v>
      </c>
      <c r="H4" s="10">
        <f t="shared" si="0"/>
        <v>1</v>
      </c>
      <c r="I4" s="21" t="s">
        <v>310</v>
      </c>
      <c r="J4" s="21" t="s">
        <v>311</v>
      </c>
      <c r="K4" s="21" t="s">
        <v>78</v>
      </c>
      <c r="L4" s="21" t="s">
        <v>312</v>
      </c>
      <c r="M4" s="21" t="s">
        <v>293</v>
      </c>
      <c r="N4" s="21" t="s">
        <v>313</v>
      </c>
    </row>
    <row r="5" spans="1:14" ht="30" customHeight="1" x14ac:dyDescent="0.3">
      <c r="A5" s="4" t="s">
        <v>5</v>
      </c>
      <c r="B5" s="4" t="s">
        <v>199</v>
      </c>
      <c r="C5" s="4" t="s">
        <v>200</v>
      </c>
      <c r="D5" s="4" t="s">
        <v>124</v>
      </c>
      <c r="E5" s="4" t="s">
        <v>29</v>
      </c>
      <c r="F5" s="4" t="s">
        <v>27</v>
      </c>
      <c r="G5" s="15" t="s">
        <v>331</v>
      </c>
      <c r="H5" s="10">
        <f t="shared" si="0"/>
        <v>1</v>
      </c>
      <c r="I5" s="21" t="s">
        <v>337</v>
      </c>
      <c r="J5" s="21" t="s">
        <v>338</v>
      </c>
      <c r="K5" s="21" t="s">
        <v>152</v>
      </c>
      <c r="L5" s="21" t="s">
        <v>339</v>
      </c>
      <c r="M5" s="21" t="s">
        <v>340</v>
      </c>
      <c r="N5" s="21" t="s">
        <v>341</v>
      </c>
    </row>
    <row r="6" spans="1:14" ht="30" customHeight="1" x14ac:dyDescent="0.3">
      <c r="A6" s="4" t="s">
        <v>5</v>
      </c>
      <c r="B6" s="4" t="s">
        <v>287</v>
      </c>
      <c r="C6" s="4" t="s">
        <v>288</v>
      </c>
      <c r="D6" s="4" t="s">
        <v>289</v>
      </c>
      <c r="E6" s="4" t="s">
        <v>26</v>
      </c>
      <c r="F6" s="4" t="s">
        <v>27</v>
      </c>
      <c r="G6" s="16" t="s">
        <v>342</v>
      </c>
      <c r="H6" s="10">
        <f t="shared" si="0"/>
        <v>2</v>
      </c>
      <c r="I6" s="21" t="s">
        <v>290</v>
      </c>
      <c r="J6" s="21" t="s">
        <v>291</v>
      </c>
      <c r="K6" s="21" t="s">
        <v>78</v>
      </c>
      <c r="L6" s="21" t="s">
        <v>292</v>
      </c>
      <c r="M6" s="21" t="s">
        <v>293</v>
      </c>
      <c r="N6" s="21" t="s">
        <v>294</v>
      </c>
    </row>
    <row r="7" spans="1:14" ht="30" customHeight="1" x14ac:dyDescent="0.3">
      <c r="A7" s="4" t="s">
        <v>5</v>
      </c>
      <c r="B7" s="4" t="s">
        <v>259</v>
      </c>
      <c r="C7" s="4" t="s">
        <v>260</v>
      </c>
      <c r="D7" s="4" t="s">
        <v>261</v>
      </c>
      <c r="E7" s="4" t="s">
        <v>343</v>
      </c>
      <c r="F7" s="4" t="s">
        <v>263</v>
      </c>
      <c r="G7" s="15" t="s">
        <v>331</v>
      </c>
      <c r="H7" s="10">
        <f t="shared" si="0"/>
        <v>1</v>
      </c>
      <c r="I7" s="21" t="s">
        <v>344</v>
      </c>
      <c r="J7" s="21" t="s">
        <v>345</v>
      </c>
      <c r="K7" s="21" t="s">
        <v>152</v>
      </c>
      <c r="L7" s="21" t="s">
        <v>346</v>
      </c>
      <c r="M7" s="21" t="s">
        <v>268</v>
      </c>
      <c r="N7" s="21" t="s">
        <v>347</v>
      </c>
    </row>
    <row r="8" spans="1:14" ht="30" customHeight="1" x14ac:dyDescent="0.3">
      <c r="A8" s="4" t="s">
        <v>5</v>
      </c>
      <c r="B8" s="4" t="s">
        <v>259</v>
      </c>
      <c r="C8" s="4" t="s">
        <v>260</v>
      </c>
      <c r="D8" s="4" t="s">
        <v>261</v>
      </c>
      <c r="E8" s="4" t="s">
        <v>348</v>
      </c>
      <c r="F8" s="4" t="s">
        <v>263</v>
      </c>
      <c r="G8" s="15" t="s">
        <v>331</v>
      </c>
      <c r="H8" s="10">
        <f t="shared" si="0"/>
        <v>1</v>
      </c>
      <c r="I8" s="21" t="s">
        <v>344</v>
      </c>
      <c r="J8" s="21" t="s">
        <v>345</v>
      </c>
      <c r="K8" s="21" t="s">
        <v>222</v>
      </c>
      <c r="L8" s="21" t="s">
        <v>349</v>
      </c>
      <c r="M8" s="21" t="s">
        <v>268</v>
      </c>
      <c r="N8" s="21" t="s">
        <v>350</v>
      </c>
    </row>
    <row r="9" spans="1:14" ht="30" customHeight="1" x14ac:dyDescent="0.3">
      <c r="A9" s="4" t="s">
        <v>5</v>
      </c>
      <c r="B9" s="4" t="s">
        <v>270</v>
      </c>
      <c r="C9" s="4" t="s">
        <v>260</v>
      </c>
      <c r="D9" s="4" t="s">
        <v>271</v>
      </c>
      <c r="E9" s="4" t="s">
        <v>34</v>
      </c>
      <c r="F9" s="4" t="s">
        <v>35</v>
      </c>
      <c r="G9" s="17" t="s">
        <v>351</v>
      </c>
      <c r="H9" s="10">
        <f t="shared" si="0"/>
        <v>2</v>
      </c>
      <c r="I9" s="21" t="s">
        <v>352</v>
      </c>
      <c r="J9" s="21" t="s">
        <v>353</v>
      </c>
      <c r="K9" s="21" t="s">
        <v>222</v>
      </c>
      <c r="L9" s="21" t="s">
        <v>324</v>
      </c>
      <c r="M9" s="21" t="s">
        <v>277</v>
      </c>
      <c r="N9" s="21" t="s">
        <v>325</v>
      </c>
    </row>
    <row r="10" spans="1:14" ht="30" customHeight="1" x14ac:dyDescent="0.3">
      <c r="A10" s="4" t="s">
        <v>5</v>
      </c>
      <c r="B10" s="4" t="s">
        <v>270</v>
      </c>
      <c r="C10" s="4" t="s">
        <v>260</v>
      </c>
      <c r="D10" s="4" t="s">
        <v>271</v>
      </c>
      <c r="E10" s="4" t="s">
        <v>34</v>
      </c>
      <c r="F10" s="4" t="s">
        <v>20</v>
      </c>
      <c r="G10" s="17" t="s">
        <v>351</v>
      </c>
      <c r="H10" s="10">
        <f t="shared" si="0"/>
        <v>1</v>
      </c>
      <c r="I10" s="21" t="s">
        <v>352</v>
      </c>
      <c r="J10" s="21" t="s">
        <v>353</v>
      </c>
      <c r="K10" s="21" t="s">
        <v>222</v>
      </c>
      <c r="L10" s="21" t="s">
        <v>324</v>
      </c>
      <c r="M10" s="21" t="s">
        <v>277</v>
      </c>
      <c r="N10" s="21" t="s">
        <v>325</v>
      </c>
    </row>
    <row r="11" spans="1:14" ht="30" customHeight="1" x14ac:dyDescent="0.3">
      <c r="A11" s="4" t="s">
        <v>5</v>
      </c>
      <c r="B11" s="4" t="s">
        <v>270</v>
      </c>
      <c r="C11" s="4" t="s">
        <v>260</v>
      </c>
      <c r="D11" s="4" t="s">
        <v>271</v>
      </c>
      <c r="E11" s="4" t="s">
        <v>348</v>
      </c>
      <c r="F11" s="4" t="s">
        <v>35</v>
      </c>
      <c r="G11" s="17" t="s">
        <v>351</v>
      </c>
      <c r="H11" s="10">
        <f t="shared" si="0"/>
        <v>1</v>
      </c>
      <c r="I11" s="21" t="s">
        <v>352</v>
      </c>
      <c r="J11" s="21" t="s">
        <v>353</v>
      </c>
      <c r="K11" s="21" t="s">
        <v>222</v>
      </c>
      <c r="L11" s="21" t="s">
        <v>354</v>
      </c>
      <c r="M11" s="21" t="s">
        <v>277</v>
      </c>
      <c r="N11" s="21" t="s">
        <v>350</v>
      </c>
    </row>
    <row r="12" spans="1:14" ht="30" customHeight="1" x14ac:dyDescent="0.3">
      <c r="A12" s="4" t="s">
        <v>5</v>
      </c>
      <c r="B12" s="4" t="s">
        <v>270</v>
      </c>
      <c r="C12" s="4" t="s">
        <v>260</v>
      </c>
      <c r="D12" s="4" t="s">
        <v>271</v>
      </c>
      <c r="E12" s="4" t="s">
        <v>348</v>
      </c>
      <c r="F12" s="4" t="s">
        <v>20</v>
      </c>
      <c r="G12" s="17" t="s">
        <v>351</v>
      </c>
      <c r="H12" s="10">
        <f t="shared" si="0"/>
        <v>1</v>
      </c>
      <c r="I12" s="21" t="s">
        <v>352</v>
      </c>
      <c r="J12" s="21" t="s">
        <v>353</v>
      </c>
      <c r="K12" s="21" t="s">
        <v>222</v>
      </c>
      <c r="L12" s="21" t="s">
        <v>354</v>
      </c>
      <c r="M12" s="21" t="s">
        <v>277</v>
      </c>
      <c r="N12" s="21" t="s">
        <v>350</v>
      </c>
    </row>
    <row r="13" spans="1:14" ht="30" customHeight="1" x14ac:dyDescent="0.3">
      <c r="A13" s="4" t="s">
        <v>5</v>
      </c>
      <c r="B13" s="4" t="s">
        <v>279</v>
      </c>
      <c r="C13" s="4" t="s">
        <v>260</v>
      </c>
      <c r="D13" s="4" t="s">
        <v>280</v>
      </c>
      <c r="E13" s="4" t="s">
        <v>29</v>
      </c>
      <c r="F13" s="4" t="s">
        <v>30</v>
      </c>
      <c r="G13" s="15" t="s">
        <v>331</v>
      </c>
      <c r="H13" s="10">
        <f t="shared" si="0"/>
        <v>2</v>
      </c>
      <c r="I13" s="21" t="s">
        <v>355</v>
      </c>
      <c r="J13" s="21" t="s">
        <v>356</v>
      </c>
      <c r="K13" s="21" t="s">
        <v>152</v>
      </c>
      <c r="L13" s="21" t="s">
        <v>297</v>
      </c>
      <c r="M13" s="21" t="s">
        <v>285</v>
      </c>
      <c r="N13" s="21" t="s">
        <v>298</v>
      </c>
    </row>
    <row r="14" spans="1:14" ht="30" customHeight="1" x14ac:dyDescent="0.3">
      <c r="A14" s="4" t="s">
        <v>5</v>
      </c>
      <c r="B14" s="4" t="s">
        <v>279</v>
      </c>
      <c r="C14" s="4" t="s">
        <v>260</v>
      </c>
      <c r="D14" s="4" t="s">
        <v>280</v>
      </c>
      <c r="E14" s="4" t="s">
        <v>348</v>
      </c>
      <c r="F14" s="4" t="s">
        <v>30</v>
      </c>
      <c r="G14" s="15" t="s">
        <v>331</v>
      </c>
      <c r="H14" s="10">
        <f t="shared" si="0"/>
        <v>1</v>
      </c>
      <c r="I14" s="21" t="s">
        <v>355</v>
      </c>
      <c r="J14" s="21" t="s">
        <v>356</v>
      </c>
      <c r="K14" s="21" t="s">
        <v>222</v>
      </c>
      <c r="L14" s="21" t="s">
        <v>357</v>
      </c>
      <c r="M14" s="21" t="s">
        <v>285</v>
      </c>
      <c r="N14" s="21" t="s">
        <v>350</v>
      </c>
    </row>
    <row r="15" spans="1:14" ht="30" customHeight="1" x14ac:dyDescent="0.3">
      <c r="A15" s="4" t="s">
        <v>5</v>
      </c>
      <c r="B15" s="4" t="s">
        <v>71</v>
      </c>
      <c r="C15" s="4" t="s">
        <v>72</v>
      </c>
      <c r="D15" s="4" t="s">
        <v>73</v>
      </c>
      <c r="E15" s="4" t="s">
        <v>74</v>
      </c>
      <c r="F15" s="4" t="s">
        <v>358</v>
      </c>
      <c r="G15" s="18" t="s">
        <v>359</v>
      </c>
      <c r="H15" s="10">
        <f t="shared" si="0"/>
        <v>1</v>
      </c>
      <c r="I15" s="21" t="s">
        <v>76</v>
      </c>
      <c r="J15" s="21" t="s">
        <v>77</v>
      </c>
      <c r="K15" s="21" t="s">
        <v>78</v>
      </c>
      <c r="L15" s="21" t="s">
        <v>79</v>
      </c>
      <c r="M15" s="21" t="s">
        <v>80</v>
      </c>
      <c r="N15" s="21" t="s">
        <v>81</v>
      </c>
    </row>
    <row r="16" spans="1:14" ht="30" customHeight="1" x14ac:dyDescent="0.3">
      <c r="A16" s="4" t="s">
        <v>5</v>
      </c>
      <c r="B16" s="4" t="s">
        <v>71</v>
      </c>
      <c r="C16" s="4" t="s">
        <v>72</v>
      </c>
      <c r="D16" s="4" t="s">
        <v>73</v>
      </c>
      <c r="E16" s="4" t="s">
        <v>74</v>
      </c>
      <c r="F16" s="4" t="s">
        <v>360</v>
      </c>
      <c r="G16" s="18" t="s">
        <v>359</v>
      </c>
      <c r="H16" s="10">
        <f t="shared" si="0"/>
        <v>1</v>
      </c>
      <c r="I16" s="21" t="s">
        <v>76</v>
      </c>
      <c r="J16" s="21" t="s">
        <v>77</v>
      </c>
      <c r="K16" s="21" t="s">
        <v>78</v>
      </c>
      <c r="L16" s="21" t="s">
        <v>79</v>
      </c>
      <c r="M16" s="21" t="s">
        <v>80</v>
      </c>
      <c r="N16" s="21" t="s">
        <v>81</v>
      </c>
    </row>
    <row r="17" spans="1:14" ht="30" customHeight="1" x14ac:dyDescent="0.3">
      <c r="A17" s="4" t="s">
        <v>5</v>
      </c>
      <c r="B17" s="4" t="s">
        <v>71</v>
      </c>
      <c r="C17" s="4" t="s">
        <v>72</v>
      </c>
      <c r="D17" s="4" t="s">
        <v>73</v>
      </c>
      <c r="E17" s="4" t="s">
        <v>74</v>
      </c>
      <c r="F17" s="4" t="s">
        <v>361</v>
      </c>
      <c r="G17" s="18" t="s">
        <v>359</v>
      </c>
      <c r="H17" s="10">
        <f t="shared" si="0"/>
        <v>1</v>
      </c>
      <c r="I17" s="21" t="s">
        <v>76</v>
      </c>
      <c r="J17" s="21" t="s">
        <v>77</v>
      </c>
      <c r="K17" s="21" t="s">
        <v>78</v>
      </c>
      <c r="L17" s="21" t="s">
        <v>79</v>
      </c>
      <c r="M17" s="21" t="s">
        <v>80</v>
      </c>
      <c r="N17" s="21" t="s">
        <v>81</v>
      </c>
    </row>
    <row r="18" spans="1:14" ht="30" customHeight="1" x14ac:dyDescent="0.3">
      <c r="A18" s="4" t="s">
        <v>5</v>
      </c>
      <c r="B18" s="4" t="s">
        <v>71</v>
      </c>
      <c r="C18" s="4" t="s">
        <v>72</v>
      </c>
      <c r="D18" s="4" t="s">
        <v>73</v>
      </c>
      <c r="E18" s="4" t="s">
        <v>74</v>
      </c>
      <c r="F18" s="4" t="s">
        <v>362</v>
      </c>
      <c r="G18" s="18" t="s">
        <v>359</v>
      </c>
      <c r="H18" s="10">
        <f t="shared" si="0"/>
        <v>1</v>
      </c>
      <c r="I18" s="21" t="s">
        <v>76</v>
      </c>
      <c r="J18" s="21" t="s">
        <v>77</v>
      </c>
      <c r="K18" s="21" t="s">
        <v>78</v>
      </c>
      <c r="L18" s="21" t="s">
        <v>79</v>
      </c>
      <c r="M18" s="21" t="s">
        <v>80</v>
      </c>
      <c r="N18" s="21" t="s">
        <v>81</v>
      </c>
    </row>
    <row r="19" spans="1:14" ht="30" customHeight="1" x14ac:dyDescent="0.3">
      <c r="A19" s="4" t="s">
        <v>10</v>
      </c>
      <c r="B19" s="4" t="s">
        <v>163</v>
      </c>
      <c r="C19" s="4" t="s">
        <v>164</v>
      </c>
      <c r="D19" s="4" t="s">
        <v>165</v>
      </c>
      <c r="E19" s="4" t="s">
        <v>166</v>
      </c>
      <c r="F19" s="4" t="s">
        <v>363</v>
      </c>
      <c r="G19" s="18" t="s">
        <v>359</v>
      </c>
      <c r="H19" s="10">
        <f t="shared" si="0"/>
        <v>1</v>
      </c>
      <c r="I19" s="21" t="s">
        <v>168</v>
      </c>
      <c r="J19" s="21" t="s">
        <v>169</v>
      </c>
      <c r="K19" s="21" t="s">
        <v>78</v>
      </c>
      <c r="L19" s="21" t="s">
        <v>170</v>
      </c>
      <c r="M19" s="21" t="s">
        <v>171</v>
      </c>
      <c r="N19" s="21" t="s">
        <v>172</v>
      </c>
    </row>
    <row r="20" spans="1:14" ht="30" customHeight="1" x14ac:dyDescent="0.3">
      <c r="A20" s="4" t="s">
        <v>10</v>
      </c>
      <c r="B20" s="4" t="s">
        <v>163</v>
      </c>
      <c r="C20" s="4" t="s">
        <v>164</v>
      </c>
      <c r="D20" s="4" t="s">
        <v>165</v>
      </c>
      <c r="E20" s="4" t="s">
        <v>166</v>
      </c>
      <c r="F20" s="4" t="s">
        <v>364</v>
      </c>
      <c r="G20" s="18" t="s">
        <v>359</v>
      </c>
      <c r="H20" s="10">
        <f t="shared" si="0"/>
        <v>1</v>
      </c>
      <c r="I20" s="21" t="s">
        <v>168</v>
      </c>
      <c r="J20" s="21" t="s">
        <v>169</v>
      </c>
      <c r="K20" s="21" t="s">
        <v>78</v>
      </c>
      <c r="L20" s="21" t="s">
        <v>170</v>
      </c>
      <c r="M20" s="21" t="s">
        <v>171</v>
      </c>
      <c r="N20" s="21" t="s">
        <v>172</v>
      </c>
    </row>
    <row r="21" spans="1:14" ht="30" customHeight="1" x14ac:dyDescent="0.3">
      <c r="A21" s="4" t="s">
        <v>5</v>
      </c>
      <c r="B21" s="4" t="s">
        <v>208</v>
      </c>
      <c r="C21" s="4" t="s">
        <v>200</v>
      </c>
      <c r="D21" s="4" t="s">
        <v>209</v>
      </c>
      <c r="E21" s="4" t="s">
        <v>365</v>
      </c>
      <c r="F21" s="4" t="s">
        <v>176</v>
      </c>
      <c r="G21" s="15" t="s">
        <v>331</v>
      </c>
      <c r="H21" s="10">
        <f t="shared" si="0"/>
        <v>1</v>
      </c>
      <c r="I21" s="21" t="s">
        <v>366</v>
      </c>
      <c r="J21" s="21" t="s">
        <v>367</v>
      </c>
      <c r="K21" s="21" t="s">
        <v>78</v>
      </c>
      <c r="L21" s="21" t="s">
        <v>368</v>
      </c>
      <c r="M21" s="21" t="s">
        <v>369</v>
      </c>
      <c r="N21" s="21" t="s">
        <v>370</v>
      </c>
    </row>
    <row r="22" spans="1:14" ht="30" customHeight="1" x14ac:dyDescent="0.3">
      <c r="A22" s="4" t="s">
        <v>5</v>
      </c>
      <c r="B22" s="4" t="s">
        <v>208</v>
      </c>
      <c r="C22" s="4" t="s">
        <v>200</v>
      </c>
      <c r="D22" s="4" t="s">
        <v>209</v>
      </c>
      <c r="E22" s="4" t="s">
        <v>175</v>
      </c>
      <c r="F22" s="4" t="s">
        <v>176</v>
      </c>
      <c r="G22" s="15" t="s">
        <v>331</v>
      </c>
      <c r="H22" s="10">
        <f t="shared" si="0"/>
        <v>2</v>
      </c>
      <c r="I22" s="21" t="s">
        <v>371</v>
      </c>
      <c r="J22" s="21" t="s">
        <v>372</v>
      </c>
      <c r="K22" s="21" t="s">
        <v>152</v>
      </c>
      <c r="L22" s="21" t="s">
        <v>373</v>
      </c>
      <c r="M22" s="21" t="s">
        <v>180</v>
      </c>
      <c r="N22" s="21" t="s">
        <v>374</v>
      </c>
    </row>
    <row r="23" spans="1:14" ht="30" customHeight="1" x14ac:dyDescent="0.3">
      <c r="A23" s="4" t="s">
        <v>5</v>
      </c>
      <c r="B23" s="4" t="s">
        <v>82</v>
      </c>
      <c r="C23" s="4" t="s">
        <v>72</v>
      </c>
      <c r="D23" s="4" t="s">
        <v>83</v>
      </c>
      <c r="E23" s="4" t="s">
        <v>375</v>
      </c>
      <c r="F23" s="4" t="s">
        <v>376</v>
      </c>
      <c r="G23" s="17" t="s">
        <v>351</v>
      </c>
      <c r="H23" s="10">
        <f t="shared" si="0"/>
        <v>1</v>
      </c>
      <c r="I23" s="21" t="s">
        <v>366</v>
      </c>
      <c r="J23" s="21" t="s">
        <v>367</v>
      </c>
      <c r="K23" s="21" t="s">
        <v>78</v>
      </c>
      <c r="L23" s="21" t="s">
        <v>377</v>
      </c>
      <c r="M23" s="21" t="s">
        <v>180</v>
      </c>
      <c r="N23" s="21" t="s">
        <v>378</v>
      </c>
    </row>
    <row r="24" spans="1:14" ht="30" customHeight="1" x14ac:dyDescent="0.3">
      <c r="A24" s="4" t="s">
        <v>5</v>
      </c>
      <c r="B24" s="4" t="s">
        <v>82</v>
      </c>
      <c r="C24" s="4" t="s">
        <v>72</v>
      </c>
      <c r="D24" s="4" t="s">
        <v>83</v>
      </c>
      <c r="E24" s="4" t="s">
        <v>375</v>
      </c>
      <c r="F24" s="4" t="s">
        <v>176</v>
      </c>
      <c r="G24" s="17" t="s">
        <v>351</v>
      </c>
      <c r="H24" s="10">
        <f t="shared" si="0"/>
        <v>1</v>
      </c>
      <c r="I24" s="21" t="s">
        <v>366</v>
      </c>
      <c r="J24" s="21" t="s">
        <v>367</v>
      </c>
      <c r="K24" s="21" t="s">
        <v>78</v>
      </c>
      <c r="L24" s="21" t="s">
        <v>377</v>
      </c>
      <c r="M24" s="21" t="s">
        <v>180</v>
      </c>
      <c r="N24" s="21" t="s">
        <v>378</v>
      </c>
    </row>
    <row r="25" spans="1:14" ht="30" customHeight="1" x14ac:dyDescent="0.3">
      <c r="A25" s="4" t="s">
        <v>5</v>
      </c>
      <c r="B25" s="4" t="s">
        <v>82</v>
      </c>
      <c r="C25" s="4" t="s">
        <v>72</v>
      </c>
      <c r="D25" s="4" t="s">
        <v>83</v>
      </c>
      <c r="E25" s="4" t="s">
        <v>375</v>
      </c>
      <c r="F25" s="4" t="s">
        <v>379</v>
      </c>
      <c r="G25" s="17" t="s">
        <v>351</v>
      </c>
      <c r="H25" s="10">
        <f t="shared" si="0"/>
        <v>1</v>
      </c>
      <c r="I25" s="21" t="s">
        <v>366</v>
      </c>
      <c r="J25" s="21" t="s">
        <v>367</v>
      </c>
      <c r="K25" s="21" t="s">
        <v>78</v>
      </c>
      <c r="L25" s="21" t="s">
        <v>377</v>
      </c>
      <c r="M25" s="21" t="s">
        <v>180</v>
      </c>
      <c r="N25" s="21" t="s">
        <v>378</v>
      </c>
    </row>
    <row r="26" spans="1:14" ht="30" customHeight="1" x14ac:dyDescent="0.3">
      <c r="A26" s="4" t="s">
        <v>5</v>
      </c>
      <c r="B26" s="4" t="s">
        <v>82</v>
      </c>
      <c r="C26" s="4" t="s">
        <v>72</v>
      </c>
      <c r="D26" s="4" t="s">
        <v>83</v>
      </c>
      <c r="E26" s="4" t="s">
        <v>380</v>
      </c>
      <c r="F26" s="4" t="s">
        <v>376</v>
      </c>
      <c r="G26" s="17" t="s">
        <v>351</v>
      </c>
      <c r="H26" s="10">
        <f t="shared" si="0"/>
        <v>1</v>
      </c>
      <c r="I26" s="21" t="s">
        <v>381</v>
      </c>
      <c r="J26" s="21" t="s">
        <v>382</v>
      </c>
      <c r="K26" s="21" t="s">
        <v>125</v>
      </c>
      <c r="L26" s="21" t="s">
        <v>383</v>
      </c>
      <c r="M26" s="21" t="s">
        <v>369</v>
      </c>
      <c r="N26" s="21" t="s">
        <v>384</v>
      </c>
    </row>
    <row r="27" spans="1:14" ht="30" customHeight="1" x14ac:dyDescent="0.3">
      <c r="A27" s="4" t="s">
        <v>5</v>
      </c>
      <c r="B27" s="4" t="s">
        <v>82</v>
      </c>
      <c r="C27" s="4" t="s">
        <v>72</v>
      </c>
      <c r="D27" s="4" t="s">
        <v>83</v>
      </c>
      <c r="E27" s="4" t="s">
        <v>380</v>
      </c>
      <c r="F27" s="4" t="s">
        <v>176</v>
      </c>
      <c r="G27" s="17" t="s">
        <v>351</v>
      </c>
      <c r="H27" s="10">
        <f t="shared" si="0"/>
        <v>1</v>
      </c>
      <c r="I27" s="21" t="s">
        <v>381</v>
      </c>
      <c r="J27" s="21" t="s">
        <v>382</v>
      </c>
      <c r="K27" s="21" t="s">
        <v>125</v>
      </c>
      <c r="L27" s="21" t="s">
        <v>383</v>
      </c>
      <c r="M27" s="21" t="s">
        <v>369</v>
      </c>
      <c r="N27" s="21" t="s">
        <v>384</v>
      </c>
    </row>
    <row r="28" spans="1:14" ht="30" customHeight="1" x14ac:dyDescent="0.3">
      <c r="A28" s="4" t="s">
        <v>5</v>
      </c>
      <c r="B28" s="4" t="s">
        <v>82</v>
      </c>
      <c r="C28" s="4" t="s">
        <v>72</v>
      </c>
      <c r="D28" s="4" t="s">
        <v>83</v>
      </c>
      <c r="E28" s="4" t="s">
        <v>380</v>
      </c>
      <c r="F28" s="4" t="s">
        <v>379</v>
      </c>
      <c r="G28" s="17" t="s">
        <v>351</v>
      </c>
      <c r="H28" s="10">
        <f t="shared" si="0"/>
        <v>1</v>
      </c>
      <c r="I28" s="21" t="s">
        <v>381</v>
      </c>
      <c r="J28" s="21" t="s">
        <v>382</v>
      </c>
      <c r="K28" s="21" t="s">
        <v>125</v>
      </c>
      <c r="L28" s="21" t="s">
        <v>383</v>
      </c>
      <c r="M28" s="21" t="s">
        <v>369</v>
      </c>
      <c r="N28" s="21" t="s">
        <v>384</v>
      </c>
    </row>
    <row r="29" spans="1:14" ht="30" customHeight="1" x14ac:dyDescent="0.3">
      <c r="A29" s="4" t="s">
        <v>5</v>
      </c>
      <c r="B29" s="4" t="s">
        <v>216</v>
      </c>
      <c r="C29" s="4" t="s">
        <v>200</v>
      </c>
      <c r="D29" s="4" t="s">
        <v>217</v>
      </c>
      <c r="E29" s="4" t="s">
        <v>218</v>
      </c>
      <c r="F29" s="4" t="s">
        <v>35</v>
      </c>
      <c r="G29" s="18" t="s">
        <v>359</v>
      </c>
      <c r="H29" s="10">
        <f t="shared" si="0"/>
        <v>1</v>
      </c>
      <c r="I29" s="21" t="s">
        <v>385</v>
      </c>
      <c r="J29" s="21" t="s">
        <v>386</v>
      </c>
      <c r="K29" s="21" t="s">
        <v>222</v>
      </c>
      <c r="L29" s="21" t="s">
        <v>223</v>
      </c>
      <c r="M29" s="21" t="s">
        <v>224</v>
      </c>
      <c r="N29" s="21" t="s">
        <v>225</v>
      </c>
    </row>
    <row r="30" spans="1:14" ht="30" customHeight="1" x14ac:dyDescent="0.3">
      <c r="A30" s="4" t="s">
        <v>5</v>
      </c>
      <c r="B30" s="4" t="s">
        <v>216</v>
      </c>
      <c r="C30" s="4" t="s">
        <v>200</v>
      </c>
      <c r="D30" s="4" t="s">
        <v>217</v>
      </c>
      <c r="E30" s="4" t="s">
        <v>218</v>
      </c>
      <c r="F30" s="4" t="s">
        <v>387</v>
      </c>
      <c r="G30" s="18" t="s">
        <v>359</v>
      </c>
      <c r="H30" s="10">
        <f t="shared" si="0"/>
        <v>1</v>
      </c>
      <c r="I30" s="21" t="s">
        <v>385</v>
      </c>
      <c r="J30" s="21" t="s">
        <v>386</v>
      </c>
      <c r="K30" s="21" t="s">
        <v>222</v>
      </c>
      <c r="L30" s="21" t="s">
        <v>223</v>
      </c>
      <c r="M30" s="21" t="s">
        <v>224</v>
      </c>
      <c r="N30" s="21" t="s">
        <v>225</v>
      </c>
    </row>
    <row r="31" spans="1:14" ht="30" customHeight="1" x14ac:dyDescent="0.3">
      <c r="A31" s="4" t="s">
        <v>5</v>
      </c>
      <c r="B31" s="4" t="s">
        <v>173</v>
      </c>
      <c r="C31" s="4" t="s">
        <v>164</v>
      </c>
      <c r="D31" s="4" t="s">
        <v>174</v>
      </c>
      <c r="E31" s="4" t="s">
        <v>175</v>
      </c>
      <c r="F31" s="4" t="s">
        <v>176</v>
      </c>
      <c r="G31" s="16" t="s">
        <v>342</v>
      </c>
      <c r="H31" s="10">
        <f t="shared" si="0"/>
        <v>2</v>
      </c>
      <c r="I31" s="21" t="s">
        <v>177</v>
      </c>
      <c r="J31" s="21" t="s">
        <v>178</v>
      </c>
      <c r="K31" s="21" t="s">
        <v>78</v>
      </c>
      <c r="L31" s="21" t="s">
        <v>179</v>
      </c>
      <c r="M31" s="21" t="s">
        <v>180</v>
      </c>
      <c r="N31" s="21" t="s">
        <v>181</v>
      </c>
    </row>
    <row r="32" spans="1:14" ht="30" customHeight="1" x14ac:dyDescent="0.3">
      <c r="A32" s="4" t="s">
        <v>5</v>
      </c>
      <c r="B32" s="4" t="s">
        <v>226</v>
      </c>
      <c r="C32" s="4" t="s">
        <v>200</v>
      </c>
      <c r="D32" s="4" t="s">
        <v>227</v>
      </c>
      <c r="E32" s="4" t="s">
        <v>388</v>
      </c>
      <c r="F32" s="4" t="s">
        <v>389</v>
      </c>
      <c r="G32" s="17" t="s">
        <v>351</v>
      </c>
      <c r="H32" s="10">
        <f t="shared" si="0"/>
        <v>1</v>
      </c>
      <c r="I32" s="21" t="s">
        <v>390</v>
      </c>
      <c r="J32" s="21" t="s">
        <v>391</v>
      </c>
      <c r="K32" s="21" t="s">
        <v>125</v>
      </c>
      <c r="L32" s="21" t="s">
        <v>392</v>
      </c>
      <c r="M32" s="21" t="s">
        <v>233</v>
      </c>
      <c r="N32" s="21" t="s">
        <v>393</v>
      </c>
    </row>
    <row r="33" spans="1:14" ht="30" customHeight="1" x14ac:dyDescent="0.3">
      <c r="A33" s="4" t="s">
        <v>5</v>
      </c>
      <c r="B33" s="4" t="s">
        <v>226</v>
      </c>
      <c r="C33" s="4" t="s">
        <v>200</v>
      </c>
      <c r="D33" s="4" t="s">
        <v>227</v>
      </c>
      <c r="E33" s="4" t="s">
        <v>388</v>
      </c>
      <c r="F33" s="4" t="s">
        <v>394</v>
      </c>
      <c r="G33" s="17" t="s">
        <v>351</v>
      </c>
      <c r="H33" s="10">
        <f t="shared" si="0"/>
        <v>1</v>
      </c>
      <c r="I33" s="21" t="s">
        <v>390</v>
      </c>
      <c r="J33" s="21" t="s">
        <v>391</v>
      </c>
      <c r="K33" s="21" t="s">
        <v>125</v>
      </c>
      <c r="L33" s="21" t="s">
        <v>392</v>
      </c>
      <c r="M33" s="21" t="s">
        <v>233</v>
      </c>
      <c r="N33" s="21" t="s">
        <v>393</v>
      </c>
    </row>
    <row r="34" spans="1:14" ht="30" customHeight="1" x14ac:dyDescent="0.3">
      <c r="A34" s="4" t="s">
        <v>5</v>
      </c>
      <c r="B34" s="4" t="s">
        <v>226</v>
      </c>
      <c r="C34" s="4" t="s">
        <v>200</v>
      </c>
      <c r="D34" s="4" t="s">
        <v>227</v>
      </c>
      <c r="E34" s="4" t="s">
        <v>388</v>
      </c>
      <c r="F34" s="4" t="s">
        <v>176</v>
      </c>
      <c r="G34" s="17" t="s">
        <v>351</v>
      </c>
      <c r="H34" s="10">
        <f t="shared" ref="H34:H65" si="1">COUNTIFS($E:$E,E34,$F:$F,F34)</f>
        <v>1</v>
      </c>
      <c r="I34" s="21" t="s">
        <v>390</v>
      </c>
      <c r="J34" s="21" t="s">
        <v>391</v>
      </c>
      <c r="K34" s="21" t="s">
        <v>125</v>
      </c>
      <c r="L34" s="21" t="s">
        <v>392</v>
      </c>
      <c r="M34" s="21" t="s">
        <v>233</v>
      </c>
      <c r="N34" s="21" t="s">
        <v>393</v>
      </c>
    </row>
    <row r="35" spans="1:14" ht="30" customHeight="1" x14ac:dyDescent="0.3">
      <c r="A35" s="4" t="s">
        <v>5</v>
      </c>
      <c r="B35" s="4" t="s">
        <v>226</v>
      </c>
      <c r="C35" s="4" t="s">
        <v>200</v>
      </c>
      <c r="D35" s="4" t="s">
        <v>227</v>
      </c>
      <c r="E35" s="4" t="s">
        <v>388</v>
      </c>
      <c r="F35" s="4" t="s">
        <v>395</v>
      </c>
      <c r="G35" s="17" t="s">
        <v>351</v>
      </c>
      <c r="H35" s="10">
        <f t="shared" si="1"/>
        <v>1</v>
      </c>
      <c r="I35" s="21" t="s">
        <v>390</v>
      </c>
      <c r="J35" s="21" t="s">
        <v>391</v>
      </c>
      <c r="K35" s="21" t="s">
        <v>125</v>
      </c>
      <c r="L35" s="21" t="s">
        <v>392</v>
      </c>
      <c r="M35" s="21" t="s">
        <v>233</v>
      </c>
      <c r="N35" s="21" t="s">
        <v>393</v>
      </c>
    </row>
    <row r="36" spans="1:14" ht="30" customHeight="1" x14ac:dyDescent="0.3">
      <c r="A36" s="4" t="s">
        <v>5</v>
      </c>
      <c r="B36" s="4" t="s">
        <v>226</v>
      </c>
      <c r="C36" s="4" t="s">
        <v>200</v>
      </c>
      <c r="D36" s="4" t="s">
        <v>227</v>
      </c>
      <c r="E36" s="4" t="s">
        <v>388</v>
      </c>
      <c r="F36" s="4" t="s">
        <v>396</v>
      </c>
      <c r="G36" s="17" t="s">
        <v>351</v>
      </c>
      <c r="H36" s="10">
        <f t="shared" si="1"/>
        <v>1</v>
      </c>
      <c r="I36" s="21" t="s">
        <v>390</v>
      </c>
      <c r="J36" s="21" t="s">
        <v>391</v>
      </c>
      <c r="K36" s="21" t="s">
        <v>125</v>
      </c>
      <c r="L36" s="21" t="s">
        <v>392</v>
      </c>
      <c r="M36" s="21" t="s">
        <v>233</v>
      </c>
      <c r="N36" s="21" t="s">
        <v>393</v>
      </c>
    </row>
    <row r="37" spans="1:14" ht="30" customHeight="1" x14ac:dyDescent="0.3">
      <c r="A37" s="4" t="s">
        <v>5</v>
      </c>
      <c r="B37" s="4" t="s">
        <v>226</v>
      </c>
      <c r="C37" s="4" t="s">
        <v>200</v>
      </c>
      <c r="D37" s="4" t="s">
        <v>227</v>
      </c>
      <c r="E37" s="4" t="s">
        <v>397</v>
      </c>
      <c r="F37" s="4" t="s">
        <v>389</v>
      </c>
      <c r="G37" s="17" t="s">
        <v>351</v>
      </c>
      <c r="H37" s="10">
        <f t="shared" si="1"/>
        <v>1</v>
      </c>
      <c r="I37" s="21" t="s">
        <v>398</v>
      </c>
      <c r="J37" s="21" t="s">
        <v>399</v>
      </c>
      <c r="K37" s="21" t="s">
        <v>125</v>
      </c>
      <c r="L37" s="21" t="s">
        <v>400</v>
      </c>
      <c r="M37" s="21" t="s">
        <v>233</v>
      </c>
      <c r="N37" s="21" t="s">
        <v>401</v>
      </c>
    </row>
    <row r="38" spans="1:14" ht="30" customHeight="1" x14ac:dyDescent="0.3">
      <c r="A38" s="4" t="s">
        <v>5</v>
      </c>
      <c r="B38" s="4" t="s">
        <v>226</v>
      </c>
      <c r="C38" s="4" t="s">
        <v>200</v>
      </c>
      <c r="D38" s="4" t="s">
        <v>227</v>
      </c>
      <c r="E38" s="4" t="s">
        <v>397</v>
      </c>
      <c r="F38" s="4" t="s">
        <v>394</v>
      </c>
      <c r="G38" s="17" t="s">
        <v>351</v>
      </c>
      <c r="H38" s="10">
        <f t="shared" si="1"/>
        <v>1</v>
      </c>
      <c r="I38" s="21" t="s">
        <v>398</v>
      </c>
      <c r="J38" s="21" t="s">
        <v>399</v>
      </c>
      <c r="K38" s="21" t="s">
        <v>125</v>
      </c>
      <c r="L38" s="21" t="s">
        <v>400</v>
      </c>
      <c r="M38" s="21" t="s">
        <v>233</v>
      </c>
      <c r="N38" s="21" t="s">
        <v>401</v>
      </c>
    </row>
    <row r="39" spans="1:14" ht="30" customHeight="1" x14ac:dyDescent="0.3">
      <c r="A39" s="4" t="s">
        <v>5</v>
      </c>
      <c r="B39" s="4" t="s">
        <v>226</v>
      </c>
      <c r="C39" s="4" t="s">
        <v>200</v>
      </c>
      <c r="D39" s="4" t="s">
        <v>227</v>
      </c>
      <c r="E39" s="4" t="s">
        <v>397</v>
      </c>
      <c r="F39" s="4" t="s">
        <v>176</v>
      </c>
      <c r="G39" s="17" t="s">
        <v>351</v>
      </c>
      <c r="H39" s="10">
        <f t="shared" si="1"/>
        <v>1</v>
      </c>
      <c r="I39" s="21" t="s">
        <v>398</v>
      </c>
      <c r="J39" s="21" t="s">
        <v>399</v>
      </c>
      <c r="K39" s="21" t="s">
        <v>125</v>
      </c>
      <c r="L39" s="21" t="s">
        <v>400</v>
      </c>
      <c r="M39" s="21" t="s">
        <v>233</v>
      </c>
      <c r="N39" s="21" t="s">
        <v>401</v>
      </c>
    </row>
    <row r="40" spans="1:14" ht="30" customHeight="1" x14ac:dyDescent="0.3">
      <c r="A40" s="4" t="s">
        <v>5</v>
      </c>
      <c r="B40" s="4" t="s">
        <v>226</v>
      </c>
      <c r="C40" s="4" t="s">
        <v>200</v>
      </c>
      <c r="D40" s="4" t="s">
        <v>227</v>
      </c>
      <c r="E40" s="4" t="s">
        <v>397</v>
      </c>
      <c r="F40" s="4" t="s">
        <v>395</v>
      </c>
      <c r="G40" s="17" t="s">
        <v>351</v>
      </c>
      <c r="H40" s="10">
        <f t="shared" si="1"/>
        <v>1</v>
      </c>
      <c r="I40" s="21" t="s">
        <v>398</v>
      </c>
      <c r="J40" s="21" t="s">
        <v>399</v>
      </c>
      <c r="K40" s="21" t="s">
        <v>125</v>
      </c>
      <c r="L40" s="21" t="s">
        <v>400</v>
      </c>
      <c r="M40" s="21" t="s">
        <v>233</v>
      </c>
      <c r="N40" s="21" t="s">
        <v>401</v>
      </c>
    </row>
    <row r="41" spans="1:14" ht="69" x14ac:dyDescent="0.3">
      <c r="A41" s="4" t="s">
        <v>5</v>
      </c>
      <c r="B41" s="4" t="s">
        <v>226</v>
      </c>
      <c r="C41" s="4" t="s">
        <v>200</v>
      </c>
      <c r="D41" s="4" t="s">
        <v>227</v>
      </c>
      <c r="E41" s="4" t="s">
        <v>397</v>
      </c>
      <c r="F41" s="4" t="s">
        <v>396</v>
      </c>
      <c r="G41" s="17" t="s">
        <v>351</v>
      </c>
      <c r="H41" s="10">
        <f t="shared" si="1"/>
        <v>1</v>
      </c>
      <c r="I41" s="21" t="s">
        <v>398</v>
      </c>
      <c r="J41" s="21" t="s">
        <v>399</v>
      </c>
      <c r="K41" s="21" t="s">
        <v>125</v>
      </c>
      <c r="L41" s="21" t="s">
        <v>400</v>
      </c>
      <c r="M41" s="21" t="s">
        <v>233</v>
      </c>
      <c r="N41" s="21" t="s">
        <v>401</v>
      </c>
    </row>
    <row r="42" spans="1:14" ht="69" x14ac:dyDescent="0.3">
      <c r="A42" s="4" t="s">
        <v>5</v>
      </c>
      <c r="B42" s="4" t="s">
        <v>226</v>
      </c>
      <c r="C42" s="4" t="s">
        <v>200</v>
      </c>
      <c r="D42" s="4" t="s">
        <v>227</v>
      </c>
      <c r="E42" s="4" t="s">
        <v>402</v>
      </c>
      <c r="F42" s="4" t="s">
        <v>389</v>
      </c>
      <c r="G42" s="17" t="s">
        <v>351</v>
      </c>
      <c r="H42" s="10">
        <f t="shared" si="1"/>
        <v>1</v>
      </c>
      <c r="I42" s="21" t="s">
        <v>390</v>
      </c>
      <c r="J42" s="21" t="s">
        <v>391</v>
      </c>
      <c r="K42" s="21" t="s">
        <v>125</v>
      </c>
      <c r="L42" s="21" t="s">
        <v>403</v>
      </c>
      <c r="M42" s="21" t="s">
        <v>404</v>
      </c>
      <c r="N42" s="21" t="s">
        <v>405</v>
      </c>
    </row>
    <row r="43" spans="1:14" ht="69" x14ac:dyDescent="0.3">
      <c r="A43" s="4" t="s">
        <v>5</v>
      </c>
      <c r="B43" s="4" t="s">
        <v>226</v>
      </c>
      <c r="C43" s="4" t="s">
        <v>200</v>
      </c>
      <c r="D43" s="4" t="s">
        <v>227</v>
      </c>
      <c r="E43" s="4" t="s">
        <v>402</v>
      </c>
      <c r="F43" s="4" t="s">
        <v>394</v>
      </c>
      <c r="G43" s="17" t="s">
        <v>351</v>
      </c>
      <c r="H43" s="10">
        <f t="shared" si="1"/>
        <v>1</v>
      </c>
      <c r="I43" s="21" t="s">
        <v>390</v>
      </c>
      <c r="J43" s="21" t="s">
        <v>391</v>
      </c>
      <c r="K43" s="21" t="s">
        <v>125</v>
      </c>
      <c r="L43" s="21" t="s">
        <v>403</v>
      </c>
      <c r="M43" s="21" t="s">
        <v>404</v>
      </c>
      <c r="N43" s="21" t="s">
        <v>405</v>
      </c>
    </row>
    <row r="44" spans="1:14" ht="69" x14ac:dyDescent="0.3">
      <c r="A44" s="4" t="s">
        <v>5</v>
      </c>
      <c r="B44" s="4" t="s">
        <v>226</v>
      </c>
      <c r="C44" s="4" t="s">
        <v>200</v>
      </c>
      <c r="D44" s="4" t="s">
        <v>227</v>
      </c>
      <c r="E44" s="4" t="s">
        <v>402</v>
      </c>
      <c r="F44" s="4" t="s">
        <v>176</v>
      </c>
      <c r="G44" s="17" t="s">
        <v>351</v>
      </c>
      <c r="H44" s="10">
        <f t="shared" si="1"/>
        <v>1</v>
      </c>
      <c r="I44" s="21" t="s">
        <v>390</v>
      </c>
      <c r="J44" s="21" t="s">
        <v>391</v>
      </c>
      <c r="K44" s="21" t="s">
        <v>125</v>
      </c>
      <c r="L44" s="21" t="s">
        <v>403</v>
      </c>
      <c r="M44" s="21" t="s">
        <v>404</v>
      </c>
      <c r="N44" s="21" t="s">
        <v>405</v>
      </c>
    </row>
    <row r="45" spans="1:14" ht="69" x14ac:dyDescent="0.3">
      <c r="A45" s="4" t="s">
        <v>5</v>
      </c>
      <c r="B45" s="4" t="s">
        <v>226</v>
      </c>
      <c r="C45" s="4" t="s">
        <v>200</v>
      </c>
      <c r="D45" s="4" t="s">
        <v>227</v>
      </c>
      <c r="E45" s="4" t="s">
        <v>402</v>
      </c>
      <c r="F45" s="4" t="s">
        <v>395</v>
      </c>
      <c r="G45" s="17" t="s">
        <v>351</v>
      </c>
      <c r="H45" s="10">
        <f t="shared" si="1"/>
        <v>1</v>
      </c>
      <c r="I45" s="21" t="s">
        <v>390</v>
      </c>
      <c r="J45" s="21" t="s">
        <v>391</v>
      </c>
      <c r="K45" s="21" t="s">
        <v>125</v>
      </c>
      <c r="L45" s="21" t="s">
        <v>403</v>
      </c>
      <c r="M45" s="21" t="s">
        <v>404</v>
      </c>
      <c r="N45" s="21" t="s">
        <v>405</v>
      </c>
    </row>
    <row r="46" spans="1:14" ht="69" x14ac:dyDescent="0.3">
      <c r="A46" s="4" t="s">
        <v>5</v>
      </c>
      <c r="B46" s="4" t="s">
        <v>226</v>
      </c>
      <c r="C46" s="4" t="s">
        <v>200</v>
      </c>
      <c r="D46" s="4" t="s">
        <v>227</v>
      </c>
      <c r="E46" s="4" t="s">
        <v>402</v>
      </c>
      <c r="F46" s="4" t="s">
        <v>396</v>
      </c>
      <c r="G46" s="17" t="s">
        <v>351</v>
      </c>
      <c r="H46" s="10">
        <f t="shared" si="1"/>
        <v>1</v>
      </c>
      <c r="I46" s="21" t="s">
        <v>390</v>
      </c>
      <c r="J46" s="21" t="s">
        <v>391</v>
      </c>
      <c r="K46" s="21" t="s">
        <v>125</v>
      </c>
      <c r="L46" s="21" t="s">
        <v>403</v>
      </c>
      <c r="M46" s="21" t="s">
        <v>404</v>
      </c>
      <c r="N46" s="21" t="s">
        <v>405</v>
      </c>
    </row>
    <row r="47" spans="1:14" ht="69" x14ac:dyDescent="0.3">
      <c r="A47" s="4" t="s">
        <v>5</v>
      </c>
      <c r="B47" s="4" t="s">
        <v>92</v>
      </c>
      <c r="C47" s="4" t="s">
        <v>72</v>
      </c>
      <c r="D47" s="4" t="s">
        <v>93</v>
      </c>
      <c r="E47" s="4" t="s">
        <v>31</v>
      </c>
      <c r="F47" s="4" t="s">
        <v>32</v>
      </c>
      <c r="G47" s="17" t="s">
        <v>351</v>
      </c>
      <c r="H47" s="10">
        <f t="shared" si="1"/>
        <v>2</v>
      </c>
      <c r="I47" s="21" t="s">
        <v>96</v>
      </c>
      <c r="J47" s="21" t="s">
        <v>97</v>
      </c>
      <c r="K47" s="21" t="s">
        <v>78</v>
      </c>
      <c r="L47" s="21" t="s">
        <v>406</v>
      </c>
      <c r="M47" s="21" t="s">
        <v>99</v>
      </c>
      <c r="N47" s="21" t="s">
        <v>407</v>
      </c>
    </row>
    <row r="48" spans="1:14" ht="69" x14ac:dyDescent="0.3">
      <c r="A48" s="4" t="s">
        <v>5</v>
      </c>
      <c r="B48" s="4" t="s">
        <v>92</v>
      </c>
      <c r="C48" s="4" t="s">
        <v>72</v>
      </c>
      <c r="D48" s="4" t="s">
        <v>93</v>
      </c>
      <c r="E48" s="4" t="s">
        <v>31</v>
      </c>
      <c r="F48" s="4" t="s">
        <v>408</v>
      </c>
      <c r="G48" s="17" t="s">
        <v>351</v>
      </c>
      <c r="H48" s="10">
        <f t="shared" si="1"/>
        <v>1</v>
      </c>
      <c r="I48" s="21" t="s">
        <v>96</v>
      </c>
      <c r="J48" s="21" t="s">
        <v>97</v>
      </c>
      <c r="K48" s="21" t="s">
        <v>78</v>
      </c>
      <c r="L48" s="21" t="s">
        <v>406</v>
      </c>
      <c r="M48" s="21" t="s">
        <v>99</v>
      </c>
      <c r="N48" s="21" t="s">
        <v>407</v>
      </c>
    </row>
    <row r="49" spans="1:14" ht="69" x14ac:dyDescent="0.3">
      <c r="A49" s="4" t="s">
        <v>5</v>
      </c>
      <c r="B49" s="4" t="s">
        <v>92</v>
      </c>
      <c r="C49" s="4" t="s">
        <v>72</v>
      </c>
      <c r="D49" s="4" t="s">
        <v>93</v>
      </c>
      <c r="E49" s="4" t="s">
        <v>409</v>
      </c>
      <c r="F49" s="4" t="s">
        <v>32</v>
      </c>
      <c r="G49" s="17" t="s">
        <v>351</v>
      </c>
      <c r="H49" s="10">
        <f t="shared" si="1"/>
        <v>1</v>
      </c>
      <c r="I49" s="21" t="s">
        <v>96</v>
      </c>
      <c r="J49" s="21" t="s">
        <v>97</v>
      </c>
      <c r="K49" s="21" t="s">
        <v>78</v>
      </c>
      <c r="L49" s="21" t="s">
        <v>410</v>
      </c>
      <c r="M49" s="21" t="s">
        <v>99</v>
      </c>
      <c r="N49" s="21" t="s">
        <v>411</v>
      </c>
    </row>
    <row r="50" spans="1:14" ht="69" x14ac:dyDescent="0.3">
      <c r="A50" s="4" t="s">
        <v>5</v>
      </c>
      <c r="B50" s="4" t="s">
        <v>92</v>
      </c>
      <c r="C50" s="4" t="s">
        <v>72</v>
      </c>
      <c r="D50" s="4" t="s">
        <v>93</v>
      </c>
      <c r="E50" s="4" t="s">
        <v>409</v>
      </c>
      <c r="F50" s="4" t="s">
        <v>408</v>
      </c>
      <c r="G50" s="17" t="s">
        <v>351</v>
      </c>
      <c r="H50" s="10">
        <f t="shared" si="1"/>
        <v>1</v>
      </c>
      <c r="I50" s="21" t="s">
        <v>96</v>
      </c>
      <c r="J50" s="21" t="s">
        <v>97</v>
      </c>
      <c r="K50" s="21" t="s">
        <v>78</v>
      </c>
      <c r="L50" s="21" t="s">
        <v>410</v>
      </c>
      <c r="M50" s="21" t="s">
        <v>99</v>
      </c>
      <c r="N50" s="21" t="s">
        <v>411</v>
      </c>
    </row>
    <row r="51" spans="1:14" ht="69" x14ac:dyDescent="0.3">
      <c r="A51" s="4" t="s">
        <v>5</v>
      </c>
      <c r="B51" s="4" t="s">
        <v>92</v>
      </c>
      <c r="C51" s="4" t="s">
        <v>72</v>
      </c>
      <c r="D51" s="4" t="s">
        <v>93</v>
      </c>
      <c r="E51" s="4" t="s">
        <v>33</v>
      </c>
      <c r="F51" s="4" t="s">
        <v>32</v>
      </c>
      <c r="G51" s="17" t="s">
        <v>351</v>
      </c>
      <c r="H51" s="10">
        <f t="shared" si="1"/>
        <v>2</v>
      </c>
      <c r="I51" s="21" t="s">
        <v>96</v>
      </c>
      <c r="J51" s="21" t="s">
        <v>97</v>
      </c>
      <c r="K51" s="21" t="s">
        <v>125</v>
      </c>
      <c r="L51" s="21" t="s">
        <v>412</v>
      </c>
      <c r="M51" s="21" t="s">
        <v>99</v>
      </c>
      <c r="N51" s="21" t="s">
        <v>413</v>
      </c>
    </row>
    <row r="52" spans="1:14" ht="69" x14ac:dyDescent="0.3">
      <c r="A52" s="4" t="s">
        <v>5</v>
      </c>
      <c r="B52" s="4" t="s">
        <v>92</v>
      </c>
      <c r="C52" s="4" t="s">
        <v>72</v>
      </c>
      <c r="D52" s="4" t="s">
        <v>93</v>
      </c>
      <c r="E52" s="4" t="s">
        <v>33</v>
      </c>
      <c r="F52" s="4" t="s">
        <v>408</v>
      </c>
      <c r="G52" s="17" t="s">
        <v>351</v>
      </c>
      <c r="H52" s="10">
        <f t="shared" si="1"/>
        <v>1</v>
      </c>
      <c r="I52" s="21" t="s">
        <v>96</v>
      </c>
      <c r="J52" s="21" t="s">
        <v>97</v>
      </c>
      <c r="K52" s="21" t="s">
        <v>125</v>
      </c>
      <c r="L52" s="21" t="s">
        <v>412</v>
      </c>
      <c r="M52" s="21" t="s">
        <v>99</v>
      </c>
      <c r="N52" s="21" t="s">
        <v>413</v>
      </c>
    </row>
    <row r="53" spans="1:14" ht="69" x14ac:dyDescent="0.3">
      <c r="A53" s="4" t="s">
        <v>5</v>
      </c>
      <c r="B53" s="4" t="s">
        <v>295</v>
      </c>
      <c r="C53" s="4" t="s">
        <v>288</v>
      </c>
      <c r="D53" s="4" t="s">
        <v>296</v>
      </c>
      <c r="E53" s="4" t="s">
        <v>29</v>
      </c>
      <c r="F53" s="4" t="s">
        <v>30</v>
      </c>
      <c r="G53" s="16" t="s">
        <v>342</v>
      </c>
      <c r="H53" s="10">
        <f t="shared" si="1"/>
        <v>2</v>
      </c>
      <c r="I53" s="21" t="s">
        <v>355</v>
      </c>
      <c r="J53" s="21" t="s">
        <v>356</v>
      </c>
      <c r="K53" s="21" t="s">
        <v>152</v>
      </c>
      <c r="L53" s="21" t="s">
        <v>297</v>
      </c>
      <c r="M53" s="21" t="s">
        <v>285</v>
      </c>
      <c r="N53" s="21" t="s">
        <v>298</v>
      </c>
    </row>
    <row r="54" spans="1:14" ht="69" x14ac:dyDescent="0.3">
      <c r="A54" s="4" t="s">
        <v>5</v>
      </c>
      <c r="B54" s="4" t="s">
        <v>101</v>
      </c>
      <c r="C54" s="4" t="s">
        <v>72</v>
      </c>
      <c r="D54" s="4" t="s">
        <v>102</v>
      </c>
      <c r="E54" s="4" t="s">
        <v>31</v>
      </c>
      <c r="F54" s="4" t="s">
        <v>32</v>
      </c>
      <c r="G54" s="17" t="s">
        <v>351</v>
      </c>
      <c r="H54" s="10">
        <f t="shared" si="1"/>
        <v>2</v>
      </c>
      <c r="I54" s="21" t="s">
        <v>105</v>
      </c>
      <c r="J54" s="21" t="s">
        <v>106</v>
      </c>
      <c r="K54" s="21" t="s">
        <v>78</v>
      </c>
      <c r="L54" s="21" t="s">
        <v>414</v>
      </c>
      <c r="M54" s="21" t="s">
        <v>108</v>
      </c>
      <c r="N54" s="21" t="s">
        <v>415</v>
      </c>
    </row>
    <row r="55" spans="1:14" ht="69" x14ac:dyDescent="0.3">
      <c r="A55" s="4" t="s">
        <v>5</v>
      </c>
      <c r="B55" s="4" t="s">
        <v>101</v>
      </c>
      <c r="C55" s="4" t="s">
        <v>72</v>
      </c>
      <c r="D55" s="4" t="s">
        <v>102</v>
      </c>
      <c r="E55" s="4" t="s">
        <v>31</v>
      </c>
      <c r="F55" s="4" t="s">
        <v>416</v>
      </c>
      <c r="G55" s="17" t="s">
        <v>351</v>
      </c>
      <c r="H55" s="10">
        <f t="shared" si="1"/>
        <v>1</v>
      </c>
      <c r="I55" s="21" t="s">
        <v>105</v>
      </c>
      <c r="J55" s="21" t="s">
        <v>106</v>
      </c>
      <c r="K55" s="21" t="s">
        <v>78</v>
      </c>
      <c r="L55" s="21" t="s">
        <v>414</v>
      </c>
      <c r="M55" s="21" t="s">
        <v>108</v>
      </c>
      <c r="N55" s="21" t="s">
        <v>415</v>
      </c>
    </row>
    <row r="56" spans="1:14" ht="69" x14ac:dyDescent="0.3">
      <c r="A56" s="4" t="s">
        <v>5</v>
      </c>
      <c r="B56" s="4" t="s">
        <v>101</v>
      </c>
      <c r="C56" s="4" t="s">
        <v>72</v>
      </c>
      <c r="D56" s="4" t="s">
        <v>102</v>
      </c>
      <c r="E56" s="4" t="s">
        <v>31</v>
      </c>
      <c r="F56" s="4" t="s">
        <v>417</v>
      </c>
      <c r="G56" s="17" t="s">
        <v>351</v>
      </c>
      <c r="H56" s="10">
        <f t="shared" si="1"/>
        <v>1</v>
      </c>
      <c r="I56" s="21" t="s">
        <v>105</v>
      </c>
      <c r="J56" s="21" t="s">
        <v>106</v>
      </c>
      <c r="K56" s="21" t="s">
        <v>78</v>
      </c>
      <c r="L56" s="21" t="s">
        <v>414</v>
      </c>
      <c r="M56" s="21" t="s">
        <v>108</v>
      </c>
      <c r="N56" s="21" t="s">
        <v>415</v>
      </c>
    </row>
    <row r="57" spans="1:14" ht="69" x14ac:dyDescent="0.3">
      <c r="A57" s="4" t="s">
        <v>5</v>
      </c>
      <c r="B57" s="4" t="s">
        <v>101</v>
      </c>
      <c r="C57" s="4" t="s">
        <v>72</v>
      </c>
      <c r="D57" s="4" t="s">
        <v>102</v>
      </c>
      <c r="E57" s="4" t="s">
        <v>31</v>
      </c>
      <c r="F57" s="4" t="s">
        <v>418</v>
      </c>
      <c r="G57" s="17" t="s">
        <v>351</v>
      </c>
      <c r="H57" s="10">
        <f t="shared" si="1"/>
        <v>1</v>
      </c>
      <c r="I57" s="21" t="s">
        <v>105</v>
      </c>
      <c r="J57" s="21" t="s">
        <v>106</v>
      </c>
      <c r="K57" s="21" t="s">
        <v>78</v>
      </c>
      <c r="L57" s="21" t="s">
        <v>414</v>
      </c>
      <c r="M57" s="21" t="s">
        <v>108</v>
      </c>
      <c r="N57" s="21" t="s">
        <v>415</v>
      </c>
    </row>
    <row r="58" spans="1:14" ht="69" x14ac:dyDescent="0.3">
      <c r="A58" s="4" t="s">
        <v>5</v>
      </c>
      <c r="B58" s="4" t="s">
        <v>101</v>
      </c>
      <c r="C58" s="4" t="s">
        <v>72</v>
      </c>
      <c r="D58" s="4" t="s">
        <v>102</v>
      </c>
      <c r="E58" s="4" t="s">
        <v>31</v>
      </c>
      <c r="F58" s="4" t="s">
        <v>419</v>
      </c>
      <c r="G58" s="17" t="s">
        <v>351</v>
      </c>
      <c r="H58" s="10">
        <f t="shared" si="1"/>
        <v>1</v>
      </c>
      <c r="I58" s="21" t="s">
        <v>105</v>
      </c>
      <c r="J58" s="21" t="s">
        <v>106</v>
      </c>
      <c r="K58" s="21" t="s">
        <v>78</v>
      </c>
      <c r="L58" s="21" t="s">
        <v>414</v>
      </c>
      <c r="M58" s="21" t="s">
        <v>108</v>
      </c>
      <c r="N58" s="21" t="s">
        <v>415</v>
      </c>
    </row>
    <row r="59" spans="1:14" ht="69" x14ac:dyDescent="0.3">
      <c r="A59" s="4" t="s">
        <v>5</v>
      </c>
      <c r="B59" s="4" t="s">
        <v>101</v>
      </c>
      <c r="C59" s="4" t="s">
        <v>72</v>
      </c>
      <c r="D59" s="4" t="s">
        <v>102</v>
      </c>
      <c r="E59" s="4" t="s">
        <v>31</v>
      </c>
      <c r="F59" s="4" t="s">
        <v>420</v>
      </c>
      <c r="G59" s="17" t="s">
        <v>351</v>
      </c>
      <c r="H59" s="10">
        <f t="shared" si="1"/>
        <v>1</v>
      </c>
      <c r="I59" s="21" t="s">
        <v>105</v>
      </c>
      <c r="J59" s="21" t="s">
        <v>106</v>
      </c>
      <c r="K59" s="21" t="s">
        <v>78</v>
      </c>
      <c r="L59" s="21" t="s">
        <v>414</v>
      </c>
      <c r="M59" s="21" t="s">
        <v>108</v>
      </c>
      <c r="N59" s="21" t="s">
        <v>415</v>
      </c>
    </row>
    <row r="60" spans="1:14" ht="69" x14ac:dyDescent="0.3">
      <c r="A60" s="4" t="s">
        <v>5</v>
      </c>
      <c r="B60" s="4" t="s">
        <v>101</v>
      </c>
      <c r="C60" s="4" t="s">
        <v>72</v>
      </c>
      <c r="D60" s="4" t="s">
        <v>102</v>
      </c>
      <c r="E60" s="4" t="s">
        <v>31</v>
      </c>
      <c r="F60" s="4" t="s">
        <v>421</v>
      </c>
      <c r="G60" s="17" t="s">
        <v>351</v>
      </c>
      <c r="H60" s="10">
        <f t="shared" si="1"/>
        <v>1</v>
      </c>
      <c r="I60" s="21" t="s">
        <v>105</v>
      </c>
      <c r="J60" s="21" t="s">
        <v>106</v>
      </c>
      <c r="K60" s="21" t="s">
        <v>78</v>
      </c>
      <c r="L60" s="21" t="s">
        <v>414</v>
      </c>
      <c r="M60" s="21" t="s">
        <v>108</v>
      </c>
      <c r="N60" s="21" t="s">
        <v>415</v>
      </c>
    </row>
    <row r="61" spans="1:14" ht="69" x14ac:dyDescent="0.3">
      <c r="A61" s="4" t="s">
        <v>5</v>
      </c>
      <c r="B61" s="4" t="s">
        <v>101</v>
      </c>
      <c r="C61" s="4" t="s">
        <v>72</v>
      </c>
      <c r="D61" s="4" t="s">
        <v>102</v>
      </c>
      <c r="E61" s="4" t="s">
        <v>31</v>
      </c>
      <c r="F61" s="4" t="s">
        <v>422</v>
      </c>
      <c r="G61" s="17" t="s">
        <v>351</v>
      </c>
      <c r="H61" s="10">
        <f t="shared" si="1"/>
        <v>1</v>
      </c>
      <c r="I61" s="21" t="s">
        <v>105</v>
      </c>
      <c r="J61" s="21" t="s">
        <v>106</v>
      </c>
      <c r="K61" s="21" t="s">
        <v>78</v>
      </c>
      <c r="L61" s="21" t="s">
        <v>414</v>
      </c>
      <c r="M61" s="21" t="s">
        <v>108</v>
      </c>
      <c r="N61" s="21" t="s">
        <v>415</v>
      </c>
    </row>
    <row r="62" spans="1:14" ht="69" x14ac:dyDescent="0.3">
      <c r="A62" s="4" t="s">
        <v>5</v>
      </c>
      <c r="B62" s="4" t="s">
        <v>101</v>
      </c>
      <c r="C62" s="4" t="s">
        <v>72</v>
      </c>
      <c r="D62" s="4" t="s">
        <v>102</v>
      </c>
      <c r="E62" s="4" t="s">
        <v>33</v>
      </c>
      <c r="F62" s="4" t="s">
        <v>32</v>
      </c>
      <c r="G62" s="17" t="s">
        <v>351</v>
      </c>
      <c r="H62" s="10">
        <f t="shared" si="1"/>
        <v>2</v>
      </c>
      <c r="I62" s="21" t="s">
        <v>105</v>
      </c>
      <c r="J62" s="21" t="s">
        <v>106</v>
      </c>
      <c r="K62" s="21" t="s">
        <v>78</v>
      </c>
      <c r="L62" s="21" t="s">
        <v>423</v>
      </c>
      <c r="M62" s="21" t="s">
        <v>108</v>
      </c>
      <c r="N62" s="21" t="s">
        <v>424</v>
      </c>
    </row>
    <row r="63" spans="1:14" ht="69" x14ac:dyDescent="0.3">
      <c r="A63" s="4" t="s">
        <v>5</v>
      </c>
      <c r="B63" s="4" t="s">
        <v>101</v>
      </c>
      <c r="C63" s="4" t="s">
        <v>72</v>
      </c>
      <c r="D63" s="4" t="s">
        <v>102</v>
      </c>
      <c r="E63" s="4" t="s">
        <v>33</v>
      </c>
      <c r="F63" s="4" t="s">
        <v>416</v>
      </c>
      <c r="G63" s="17" t="s">
        <v>351</v>
      </c>
      <c r="H63" s="10">
        <f t="shared" si="1"/>
        <v>1</v>
      </c>
      <c r="I63" s="21" t="s">
        <v>105</v>
      </c>
      <c r="J63" s="21" t="s">
        <v>106</v>
      </c>
      <c r="K63" s="21" t="s">
        <v>78</v>
      </c>
      <c r="L63" s="21" t="s">
        <v>423</v>
      </c>
      <c r="M63" s="21" t="s">
        <v>108</v>
      </c>
      <c r="N63" s="21" t="s">
        <v>424</v>
      </c>
    </row>
    <row r="64" spans="1:14" ht="69" x14ac:dyDescent="0.3">
      <c r="A64" s="4" t="s">
        <v>5</v>
      </c>
      <c r="B64" s="4" t="s">
        <v>101</v>
      </c>
      <c r="C64" s="4" t="s">
        <v>72</v>
      </c>
      <c r="D64" s="4" t="s">
        <v>102</v>
      </c>
      <c r="E64" s="4" t="s">
        <v>33</v>
      </c>
      <c r="F64" s="4" t="s">
        <v>417</v>
      </c>
      <c r="G64" s="17" t="s">
        <v>351</v>
      </c>
      <c r="H64" s="10">
        <f t="shared" si="1"/>
        <v>1</v>
      </c>
      <c r="I64" s="21" t="s">
        <v>105</v>
      </c>
      <c r="J64" s="21" t="s">
        <v>106</v>
      </c>
      <c r="K64" s="21" t="s">
        <v>78</v>
      </c>
      <c r="L64" s="21" t="s">
        <v>423</v>
      </c>
      <c r="M64" s="21" t="s">
        <v>108</v>
      </c>
      <c r="N64" s="21" t="s">
        <v>424</v>
      </c>
    </row>
    <row r="65" spans="1:14" ht="69" x14ac:dyDescent="0.3">
      <c r="A65" s="4" t="s">
        <v>5</v>
      </c>
      <c r="B65" s="4" t="s">
        <v>101</v>
      </c>
      <c r="C65" s="4" t="s">
        <v>72</v>
      </c>
      <c r="D65" s="4" t="s">
        <v>102</v>
      </c>
      <c r="E65" s="4" t="s">
        <v>33</v>
      </c>
      <c r="F65" s="4" t="s">
        <v>418</v>
      </c>
      <c r="G65" s="17" t="s">
        <v>351</v>
      </c>
      <c r="H65" s="10">
        <f t="shared" si="1"/>
        <v>1</v>
      </c>
      <c r="I65" s="21" t="s">
        <v>105</v>
      </c>
      <c r="J65" s="21" t="s">
        <v>106</v>
      </c>
      <c r="K65" s="21" t="s">
        <v>78</v>
      </c>
      <c r="L65" s="21" t="s">
        <v>423</v>
      </c>
      <c r="M65" s="21" t="s">
        <v>108</v>
      </c>
      <c r="N65" s="21" t="s">
        <v>424</v>
      </c>
    </row>
    <row r="66" spans="1:14" ht="69" x14ac:dyDescent="0.3">
      <c r="A66" s="4" t="s">
        <v>5</v>
      </c>
      <c r="B66" s="4" t="s">
        <v>101</v>
      </c>
      <c r="C66" s="4" t="s">
        <v>72</v>
      </c>
      <c r="D66" s="4" t="s">
        <v>102</v>
      </c>
      <c r="E66" s="4" t="s">
        <v>33</v>
      </c>
      <c r="F66" s="4" t="s">
        <v>419</v>
      </c>
      <c r="G66" s="17" t="s">
        <v>351</v>
      </c>
      <c r="H66" s="10">
        <f t="shared" ref="H66:H97" si="2">COUNTIFS($E:$E,E66,$F:$F,F66)</f>
        <v>1</v>
      </c>
      <c r="I66" s="21" t="s">
        <v>105</v>
      </c>
      <c r="J66" s="21" t="s">
        <v>106</v>
      </c>
      <c r="K66" s="21" t="s">
        <v>78</v>
      </c>
      <c r="L66" s="21" t="s">
        <v>423</v>
      </c>
      <c r="M66" s="21" t="s">
        <v>108</v>
      </c>
      <c r="N66" s="21" t="s">
        <v>424</v>
      </c>
    </row>
    <row r="67" spans="1:14" ht="69" x14ac:dyDescent="0.3">
      <c r="A67" s="4" t="s">
        <v>5</v>
      </c>
      <c r="B67" s="4" t="s">
        <v>101</v>
      </c>
      <c r="C67" s="4" t="s">
        <v>72</v>
      </c>
      <c r="D67" s="4" t="s">
        <v>102</v>
      </c>
      <c r="E67" s="4" t="s">
        <v>33</v>
      </c>
      <c r="F67" s="4" t="s">
        <v>420</v>
      </c>
      <c r="G67" s="17" t="s">
        <v>351</v>
      </c>
      <c r="H67" s="10">
        <f t="shared" si="2"/>
        <v>1</v>
      </c>
      <c r="I67" s="21" t="s">
        <v>105</v>
      </c>
      <c r="J67" s="21" t="s">
        <v>106</v>
      </c>
      <c r="K67" s="21" t="s">
        <v>78</v>
      </c>
      <c r="L67" s="21" t="s">
        <v>423</v>
      </c>
      <c r="M67" s="21" t="s">
        <v>108</v>
      </c>
      <c r="N67" s="21" t="s">
        <v>424</v>
      </c>
    </row>
    <row r="68" spans="1:14" ht="69" x14ac:dyDescent="0.3">
      <c r="A68" s="4" t="s">
        <v>5</v>
      </c>
      <c r="B68" s="4" t="s">
        <v>101</v>
      </c>
      <c r="C68" s="4" t="s">
        <v>72</v>
      </c>
      <c r="D68" s="4" t="s">
        <v>102</v>
      </c>
      <c r="E68" s="4" t="s">
        <v>33</v>
      </c>
      <c r="F68" s="4" t="s">
        <v>421</v>
      </c>
      <c r="G68" s="17" t="s">
        <v>351</v>
      </c>
      <c r="H68" s="10">
        <f t="shared" si="2"/>
        <v>1</v>
      </c>
      <c r="I68" s="21" t="s">
        <v>105</v>
      </c>
      <c r="J68" s="21" t="s">
        <v>106</v>
      </c>
      <c r="K68" s="21" t="s">
        <v>78</v>
      </c>
      <c r="L68" s="21" t="s">
        <v>423</v>
      </c>
      <c r="M68" s="21" t="s">
        <v>108</v>
      </c>
      <c r="N68" s="21" t="s">
        <v>424</v>
      </c>
    </row>
    <row r="69" spans="1:14" ht="69" x14ac:dyDescent="0.3">
      <c r="A69" s="4" t="s">
        <v>5</v>
      </c>
      <c r="B69" s="4" t="s">
        <v>101</v>
      </c>
      <c r="C69" s="4" t="s">
        <v>72</v>
      </c>
      <c r="D69" s="4" t="s">
        <v>102</v>
      </c>
      <c r="E69" s="4" t="s">
        <v>33</v>
      </c>
      <c r="F69" s="4" t="s">
        <v>422</v>
      </c>
      <c r="G69" s="17" t="s">
        <v>351</v>
      </c>
      <c r="H69" s="10">
        <f t="shared" si="2"/>
        <v>1</v>
      </c>
      <c r="I69" s="21" t="s">
        <v>105</v>
      </c>
      <c r="J69" s="21" t="s">
        <v>106</v>
      </c>
      <c r="K69" s="21" t="s">
        <v>78</v>
      </c>
      <c r="L69" s="21" t="s">
        <v>423</v>
      </c>
      <c r="M69" s="21" t="s">
        <v>108</v>
      </c>
      <c r="N69" s="21" t="s">
        <v>424</v>
      </c>
    </row>
    <row r="70" spans="1:14" ht="55.2" x14ac:dyDescent="0.3">
      <c r="A70" s="4" t="s">
        <v>5</v>
      </c>
      <c r="B70" s="4" t="s">
        <v>110</v>
      </c>
      <c r="C70" s="4" t="s">
        <v>72</v>
      </c>
      <c r="D70" s="4" t="s">
        <v>111</v>
      </c>
      <c r="E70" s="4" t="s">
        <v>112</v>
      </c>
      <c r="F70" s="4" t="s">
        <v>425</v>
      </c>
      <c r="G70" s="18" t="s">
        <v>359</v>
      </c>
      <c r="H70" s="10">
        <f t="shared" si="2"/>
        <v>1</v>
      </c>
      <c r="I70" s="21" t="s">
        <v>114</v>
      </c>
      <c r="J70" s="21" t="s">
        <v>115</v>
      </c>
      <c r="K70" s="21" t="s">
        <v>78</v>
      </c>
      <c r="L70" s="21" t="s">
        <v>116</v>
      </c>
      <c r="M70" s="21" t="s">
        <v>117</v>
      </c>
      <c r="N70" s="21" t="s">
        <v>118</v>
      </c>
    </row>
    <row r="71" spans="1:14" ht="55.2" x14ac:dyDescent="0.3">
      <c r="A71" s="4" t="s">
        <v>5</v>
      </c>
      <c r="B71" s="4" t="s">
        <v>110</v>
      </c>
      <c r="C71" s="4" t="s">
        <v>72</v>
      </c>
      <c r="D71" s="4" t="s">
        <v>111</v>
      </c>
      <c r="E71" s="4" t="s">
        <v>112</v>
      </c>
      <c r="F71" s="4" t="s">
        <v>426</v>
      </c>
      <c r="G71" s="18" t="s">
        <v>359</v>
      </c>
      <c r="H71" s="10">
        <f t="shared" si="2"/>
        <v>1</v>
      </c>
      <c r="I71" s="21" t="s">
        <v>114</v>
      </c>
      <c r="J71" s="21" t="s">
        <v>115</v>
      </c>
      <c r="K71" s="21" t="s">
        <v>78</v>
      </c>
      <c r="L71" s="21" t="s">
        <v>116</v>
      </c>
      <c r="M71" s="21" t="s">
        <v>117</v>
      </c>
      <c r="N71" s="21" t="s">
        <v>118</v>
      </c>
    </row>
    <row r="72" spans="1:14" ht="69" x14ac:dyDescent="0.3">
      <c r="A72" s="4" t="s">
        <v>5</v>
      </c>
      <c r="B72" s="4" t="s">
        <v>299</v>
      </c>
      <c r="C72" s="4" t="s">
        <v>288</v>
      </c>
      <c r="D72" s="4" t="s">
        <v>300</v>
      </c>
      <c r="E72" s="4" t="s">
        <v>427</v>
      </c>
      <c r="F72" s="4" t="s">
        <v>302</v>
      </c>
      <c r="G72" s="15" t="s">
        <v>331</v>
      </c>
      <c r="H72" s="10">
        <f t="shared" si="2"/>
        <v>1</v>
      </c>
      <c r="I72" s="21" t="s">
        <v>428</v>
      </c>
      <c r="J72" s="21" t="s">
        <v>429</v>
      </c>
      <c r="K72" s="21" t="s">
        <v>125</v>
      </c>
      <c r="L72" s="21" t="s">
        <v>430</v>
      </c>
      <c r="M72" s="21" t="s">
        <v>304</v>
      </c>
      <c r="N72" s="21" t="s">
        <v>431</v>
      </c>
    </row>
    <row r="73" spans="1:14" ht="69" x14ac:dyDescent="0.3">
      <c r="A73" s="4" t="s">
        <v>5</v>
      </c>
      <c r="B73" s="4" t="s">
        <v>299</v>
      </c>
      <c r="C73" s="4" t="s">
        <v>288</v>
      </c>
      <c r="D73" s="4" t="s">
        <v>300</v>
      </c>
      <c r="E73" s="4" t="s">
        <v>432</v>
      </c>
      <c r="F73" s="4" t="s">
        <v>302</v>
      </c>
      <c r="G73" s="15" t="s">
        <v>331</v>
      </c>
      <c r="H73" s="10">
        <f t="shared" si="2"/>
        <v>1</v>
      </c>
      <c r="I73" s="21" t="s">
        <v>433</v>
      </c>
      <c r="J73" s="21" t="s">
        <v>434</v>
      </c>
      <c r="K73" s="21" t="s">
        <v>125</v>
      </c>
      <c r="L73" s="21" t="s">
        <v>435</v>
      </c>
      <c r="M73" s="21" t="s">
        <v>304</v>
      </c>
      <c r="N73" s="21" t="s">
        <v>436</v>
      </c>
    </row>
    <row r="74" spans="1:14" ht="55.2" x14ac:dyDescent="0.3">
      <c r="A74" s="4" t="s">
        <v>5</v>
      </c>
      <c r="B74" s="4" t="s">
        <v>119</v>
      </c>
      <c r="C74" s="4" t="s">
        <v>72</v>
      </c>
      <c r="D74" s="4" t="s">
        <v>120</v>
      </c>
      <c r="E74" s="4" t="s">
        <v>121</v>
      </c>
      <c r="F74" s="4" t="s">
        <v>437</v>
      </c>
      <c r="G74" s="18" t="s">
        <v>359</v>
      </c>
      <c r="H74" s="10">
        <f t="shared" si="2"/>
        <v>1</v>
      </c>
      <c r="I74" s="21" t="s">
        <v>123</v>
      </c>
      <c r="J74" s="21" t="s">
        <v>124</v>
      </c>
      <c r="K74" s="21" t="s">
        <v>125</v>
      </c>
      <c r="L74" s="21" t="s">
        <v>126</v>
      </c>
      <c r="M74" s="21" t="s">
        <v>127</v>
      </c>
      <c r="N74" s="21" t="s">
        <v>128</v>
      </c>
    </row>
    <row r="75" spans="1:14" ht="55.2" x14ac:dyDescent="0.3">
      <c r="A75" s="4" t="s">
        <v>5</v>
      </c>
      <c r="B75" s="4" t="s">
        <v>119</v>
      </c>
      <c r="C75" s="4" t="s">
        <v>72</v>
      </c>
      <c r="D75" s="4" t="s">
        <v>120</v>
      </c>
      <c r="E75" s="4" t="s">
        <v>121</v>
      </c>
      <c r="F75" s="4" t="s">
        <v>438</v>
      </c>
      <c r="G75" s="18" t="s">
        <v>359</v>
      </c>
      <c r="H75" s="10">
        <f t="shared" si="2"/>
        <v>1</v>
      </c>
      <c r="I75" s="21" t="s">
        <v>123</v>
      </c>
      <c r="J75" s="21" t="s">
        <v>124</v>
      </c>
      <c r="K75" s="21" t="s">
        <v>125</v>
      </c>
      <c r="L75" s="21" t="s">
        <v>126</v>
      </c>
      <c r="M75" s="21" t="s">
        <v>127</v>
      </c>
      <c r="N75" s="21" t="s">
        <v>128</v>
      </c>
    </row>
    <row r="76" spans="1:14" ht="82.8" x14ac:dyDescent="0.3">
      <c r="A76" s="4" t="s">
        <v>5</v>
      </c>
      <c r="B76" s="4" t="s">
        <v>235</v>
      </c>
      <c r="C76" s="4" t="s">
        <v>200</v>
      </c>
      <c r="D76" s="4" t="s">
        <v>236</v>
      </c>
      <c r="E76" s="4" t="s">
        <v>439</v>
      </c>
      <c r="F76" s="4" t="s">
        <v>263</v>
      </c>
      <c r="G76" s="17" t="s">
        <v>351</v>
      </c>
      <c r="H76" s="10">
        <f t="shared" si="2"/>
        <v>1</v>
      </c>
      <c r="I76" s="21" t="s">
        <v>440</v>
      </c>
      <c r="J76" s="21" t="s">
        <v>441</v>
      </c>
      <c r="K76" s="21" t="s">
        <v>78</v>
      </c>
      <c r="L76" s="21" t="s">
        <v>442</v>
      </c>
      <c r="M76" s="21" t="s">
        <v>242</v>
      </c>
      <c r="N76" s="21" t="s">
        <v>443</v>
      </c>
    </row>
    <row r="77" spans="1:14" ht="82.8" x14ac:dyDescent="0.3">
      <c r="A77" s="4" t="s">
        <v>5</v>
      </c>
      <c r="B77" s="4" t="s">
        <v>235</v>
      </c>
      <c r="C77" s="4" t="s">
        <v>200</v>
      </c>
      <c r="D77" s="4" t="s">
        <v>236</v>
      </c>
      <c r="E77" s="4" t="s">
        <v>439</v>
      </c>
      <c r="F77" s="4" t="s">
        <v>444</v>
      </c>
      <c r="G77" s="17" t="s">
        <v>351</v>
      </c>
      <c r="H77" s="10">
        <f t="shared" si="2"/>
        <v>1</v>
      </c>
      <c r="I77" s="21" t="s">
        <v>440</v>
      </c>
      <c r="J77" s="21" t="s">
        <v>441</v>
      </c>
      <c r="K77" s="21" t="s">
        <v>78</v>
      </c>
      <c r="L77" s="21" t="s">
        <v>442</v>
      </c>
      <c r="M77" s="21" t="s">
        <v>242</v>
      </c>
      <c r="N77" s="21" t="s">
        <v>443</v>
      </c>
    </row>
    <row r="78" spans="1:14" ht="82.8" x14ac:dyDescent="0.3">
      <c r="A78" s="4" t="s">
        <v>5</v>
      </c>
      <c r="B78" s="4" t="s">
        <v>235</v>
      </c>
      <c r="C78" s="4" t="s">
        <v>200</v>
      </c>
      <c r="D78" s="4" t="s">
        <v>236</v>
      </c>
      <c r="E78" s="4" t="s">
        <v>445</v>
      </c>
      <c r="F78" s="4" t="s">
        <v>263</v>
      </c>
      <c r="G78" s="17" t="s">
        <v>351</v>
      </c>
      <c r="H78" s="10">
        <f t="shared" si="2"/>
        <v>1</v>
      </c>
      <c r="I78" s="21" t="s">
        <v>446</v>
      </c>
      <c r="J78" s="21" t="s">
        <v>447</v>
      </c>
      <c r="K78" s="21" t="s">
        <v>78</v>
      </c>
      <c r="L78" s="21" t="s">
        <v>448</v>
      </c>
      <c r="M78" s="21" t="s">
        <v>242</v>
      </c>
      <c r="N78" s="21" t="s">
        <v>449</v>
      </c>
    </row>
    <row r="79" spans="1:14" ht="82.8" x14ac:dyDescent="0.3">
      <c r="A79" s="4" t="s">
        <v>5</v>
      </c>
      <c r="B79" s="4" t="s">
        <v>235</v>
      </c>
      <c r="C79" s="4" t="s">
        <v>200</v>
      </c>
      <c r="D79" s="4" t="s">
        <v>236</v>
      </c>
      <c r="E79" s="4" t="s">
        <v>445</v>
      </c>
      <c r="F79" s="4" t="s">
        <v>444</v>
      </c>
      <c r="G79" s="17" t="s">
        <v>351</v>
      </c>
      <c r="H79" s="10">
        <f t="shared" si="2"/>
        <v>1</v>
      </c>
      <c r="I79" s="21" t="s">
        <v>446</v>
      </c>
      <c r="J79" s="21" t="s">
        <v>447</v>
      </c>
      <c r="K79" s="21" t="s">
        <v>78</v>
      </c>
      <c r="L79" s="21" t="s">
        <v>448</v>
      </c>
      <c r="M79" s="21" t="s">
        <v>242</v>
      </c>
      <c r="N79" s="21" t="s">
        <v>449</v>
      </c>
    </row>
    <row r="80" spans="1:14" ht="69" x14ac:dyDescent="0.3">
      <c r="A80" s="4" t="s">
        <v>5</v>
      </c>
      <c r="B80" s="4" t="s">
        <v>244</v>
      </c>
      <c r="C80" s="4" t="s">
        <v>200</v>
      </c>
      <c r="D80" s="4" t="s">
        <v>245</v>
      </c>
      <c r="E80" s="4" t="s">
        <v>12</v>
      </c>
      <c r="F80" s="4" t="s">
        <v>13</v>
      </c>
      <c r="G80" s="15" t="s">
        <v>331</v>
      </c>
      <c r="H80" s="10">
        <f t="shared" si="2"/>
        <v>2</v>
      </c>
      <c r="I80" s="21" t="s">
        <v>450</v>
      </c>
      <c r="J80" s="21" t="s">
        <v>451</v>
      </c>
      <c r="K80" s="21" t="s">
        <v>452</v>
      </c>
      <c r="L80" s="21" t="s">
        <v>453</v>
      </c>
      <c r="M80" s="21" t="s">
        <v>454</v>
      </c>
      <c r="N80" s="21" t="s">
        <v>455</v>
      </c>
    </row>
    <row r="81" spans="1:14" ht="82.8" x14ac:dyDescent="0.3">
      <c r="A81" s="4" t="s">
        <v>5</v>
      </c>
      <c r="B81" s="4" t="s">
        <v>244</v>
      </c>
      <c r="C81" s="4" t="s">
        <v>200</v>
      </c>
      <c r="D81" s="4" t="s">
        <v>245</v>
      </c>
      <c r="E81" s="4" t="s">
        <v>15</v>
      </c>
      <c r="F81" s="4" t="s">
        <v>13</v>
      </c>
      <c r="G81" s="15" t="s">
        <v>331</v>
      </c>
      <c r="H81" s="10">
        <f t="shared" si="2"/>
        <v>2</v>
      </c>
      <c r="I81" s="21" t="s">
        <v>317</v>
      </c>
      <c r="J81" s="21" t="s">
        <v>318</v>
      </c>
      <c r="K81" s="21" t="s">
        <v>78</v>
      </c>
      <c r="L81" s="21" t="s">
        <v>319</v>
      </c>
      <c r="M81" s="21" t="s">
        <v>320</v>
      </c>
      <c r="N81" s="21" t="s">
        <v>321</v>
      </c>
    </row>
    <row r="82" spans="1:14" ht="82.8" x14ac:dyDescent="0.3">
      <c r="A82" s="4" t="s">
        <v>5</v>
      </c>
      <c r="B82" s="4" t="s">
        <v>244</v>
      </c>
      <c r="C82" s="4" t="s">
        <v>200</v>
      </c>
      <c r="D82" s="4" t="s">
        <v>245</v>
      </c>
      <c r="E82" s="4" t="s">
        <v>17</v>
      </c>
      <c r="F82" s="4" t="s">
        <v>13</v>
      </c>
      <c r="G82" s="15" t="s">
        <v>331</v>
      </c>
      <c r="H82" s="10">
        <f t="shared" si="2"/>
        <v>2</v>
      </c>
      <c r="I82" s="21" t="s">
        <v>317</v>
      </c>
      <c r="J82" s="21" t="s">
        <v>318</v>
      </c>
      <c r="K82" s="21" t="s">
        <v>78</v>
      </c>
      <c r="L82" s="21" t="s">
        <v>456</v>
      </c>
      <c r="M82" s="21" t="s">
        <v>320</v>
      </c>
      <c r="N82" s="21" t="s">
        <v>457</v>
      </c>
    </row>
    <row r="83" spans="1:14" ht="69" x14ac:dyDescent="0.3">
      <c r="A83" s="4" t="s">
        <v>5</v>
      </c>
      <c r="B83" s="4" t="s">
        <v>182</v>
      </c>
      <c r="C83" s="4" t="s">
        <v>164</v>
      </c>
      <c r="D83" s="4" t="s">
        <v>183</v>
      </c>
      <c r="E83" s="4" t="s">
        <v>12</v>
      </c>
      <c r="F83" s="4" t="s">
        <v>13</v>
      </c>
      <c r="G83" s="15" t="s">
        <v>331</v>
      </c>
      <c r="H83" s="10">
        <f t="shared" si="2"/>
        <v>2</v>
      </c>
      <c r="I83" s="21" t="s">
        <v>450</v>
      </c>
      <c r="J83" s="21" t="s">
        <v>451</v>
      </c>
      <c r="K83" s="21" t="s">
        <v>452</v>
      </c>
      <c r="L83" s="21" t="s">
        <v>453</v>
      </c>
      <c r="M83" s="21" t="s">
        <v>454</v>
      </c>
      <c r="N83" s="21" t="s">
        <v>455</v>
      </c>
    </row>
    <row r="84" spans="1:14" ht="82.8" x14ac:dyDescent="0.3">
      <c r="A84" s="4" t="s">
        <v>5</v>
      </c>
      <c r="B84" s="4" t="s">
        <v>182</v>
      </c>
      <c r="C84" s="4" t="s">
        <v>164</v>
      </c>
      <c r="D84" s="4" t="s">
        <v>183</v>
      </c>
      <c r="E84" s="4" t="s">
        <v>15</v>
      </c>
      <c r="F84" s="4" t="s">
        <v>13</v>
      </c>
      <c r="G84" s="15" t="s">
        <v>331</v>
      </c>
      <c r="H84" s="10">
        <f t="shared" si="2"/>
        <v>2</v>
      </c>
      <c r="I84" s="21" t="s">
        <v>317</v>
      </c>
      <c r="J84" s="21" t="s">
        <v>318</v>
      </c>
      <c r="K84" s="21" t="s">
        <v>78</v>
      </c>
      <c r="L84" s="21" t="s">
        <v>319</v>
      </c>
      <c r="M84" s="21" t="s">
        <v>320</v>
      </c>
      <c r="N84" s="21" t="s">
        <v>321</v>
      </c>
    </row>
    <row r="85" spans="1:14" ht="82.8" x14ac:dyDescent="0.3">
      <c r="A85" s="4" t="s">
        <v>5</v>
      </c>
      <c r="B85" s="4" t="s">
        <v>182</v>
      </c>
      <c r="C85" s="4" t="s">
        <v>164</v>
      </c>
      <c r="D85" s="4" t="s">
        <v>183</v>
      </c>
      <c r="E85" s="4" t="s">
        <v>17</v>
      </c>
      <c r="F85" s="4" t="s">
        <v>13</v>
      </c>
      <c r="G85" s="15" t="s">
        <v>331</v>
      </c>
      <c r="H85" s="10">
        <f t="shared" si="2"/>
        <v>2</v>
      </c>
      <c r="I85" s="21" t="s">
        <v>317</v>
      </c>
      <c r="J85" s="21" t="s">
        <v>318</v>
      </c>
      <c r="K85" s="21" t="s">
        <v>78</v>
      </c>
      <c r="L85" s="21" t="s">
        <v>456</v>
      </c>
      <c r="M85" s="21" t="s">
        <v>320</v>
      </c>
      <c r="N85" s="21" t="s">
        <v>457</v>
      </c>
    </row>
    <row r="86" spans="1:14" ht="55.2" x14ac:dyDescent="0.3">
      <c r="A86" s="4" t="s">
        <v>5</v>
      </c>
      <c r="B86" s="4" t="s">
        <v>129</v>
      </c>
      <c r="C86" s="4" t="s">
        <v>72</v>
      </c>
      <c r="D86" s="4" t="s">
        <v>130</v>
      </c>
      <c r="E86" s="4" t="s">
        <v>458</v>
      </c>
      <c r="F86" s="4" t="s">
        <v>459</v>
      </c>
      <c r="G86" s="17" t="s">
        <v>351</v>
      </c>
      <c r="H86" s="10">
        <f t="shared" si="2"/>
        <v>1</v>
      </c>
      <c r="I86" s="21" t="s">
        <v>428</v>
      </c>
      <c r="J86" s="21" t="s">
        <v>429</v>
      </c>
      <c r="K86" s="21" t="s">
        <v>125</v>
      </c>
      <c r="L86" s="21" t="s">
        <v>460</v>
      </c>
      <c r="M86" s="21" t="s">
        <v>461</v>
      </c>
      <c r="N86" s="21" t="s">
        <v>462</v>
      </c>
    </row>
    <row r="87" spans="1:14" ht="55.2" x14ac:dyDescent="0.3">
      <c r="A87" s="4" t="s">
        <v>5</v>
      </c>
      <c r="B87" s="4" t="s">
        <v>129</v>
      </c>
      <c r="C87" s="4" t="s">
        <v>72</v>
      </c>
      <c r="D87" s="4" t="s">
        <v>130</v>
      </c>
      <c r="E87" s="4" t="s">
        <v>458</v>
      </c>
      <c r="F87" s="4" t="s">
        <v>463</v>
      </c>
      <c r="G87" s="17" t="s">
        <v>351</v>
      </c>
      <c r="H87" s="10">
        <f t="shared" si="2"/>
        <v>1</v>
      </c>
      <c r="I87" s="21" t="s">
        <v>428</v>
      </c>
      <c r="J87" s="21" t="s">
        <v>429</v>
      </c>
      <c r="K87" s="21" t="s">
        <v>125</v>
      </c>
      <c r="L87" s="21" t="s">
        <v>460</v>
      </c>
      <c r="M87" s="21" t="s">
        <v>461</v>
      </c>
      <c r="N87" s="21" t="s">
        <v>462</v>
      </c>
    </row>
    <row r="88" spans="1:14" ht="55.2" x14ac:dyDescent="0.3">
      <c r="A88" s="4" t="s">
        <v>5</v>
      </c>
      <c r="B88" s="4" t="s">
        <v>129</v>
      </c>
      <c r="C88" s="4" t="s">
        <v>72</v>
      </c>
      <c r="D88" s="4" t="s">
        <v>130</v>
      </c>
      <c r="E88" s="4" t="s">
        <v>458</v>
      </c>
      <c r="F88" s="4" t="s">
        <v>363</v>
      </c>
      <c r="G88" s="17" t="s">
        <v>351</v>
      </c>
      <c r="H88" s="10">
        <f t="shared" si="2"/>
        <v>1</v>
      </c>
      <c r="I88" s="21" t="s">
        <v>428</v>
      </c>
      <c r="J88" s="21" t="s">
        <v>429</v>
      </c>
      <c r="K88" s="21" t="s">
        <v>125</v>
      </c>
      <c r="L88" s="21" t="s">
        <v>460</v>
      </c>
      <c r="M88" s="21" t="s">
        <v>461</v>
      </c>
      <c r="N88" s="21" t="s">
        <v>462</v>
      </c>
    </row>
    <row r="89" spans="1:14" ht="96.6" x14ac:dyDescent="0.3">
      <c r="A89" s="4" t="s">
        <v>5</v>
      </c>
      <c r="B89" s="4" t="s">
        <v>129</v>
      </c>
      <c r="C89" s="4" t="s">
        <v>72</v>
      </c>
      <c r="D89" s="4" t="s">
        <v>130</v>
      </c>
      <c r="E89" s="4" t="s">
        <v>31</v>
      </c>
      <c r="F89" s="4" t="s">
        <v>459</v>
      </c>
      <c r="G89" s="17" t="s">
        <v>351</v>
      </c>
      <c r="H89" s="10">
        <f t="shared" si="2"/>
        <v>1</v>
      </c>
      <c r="I89" s="21" t="s">
        <v>464</v>
      </c>
      <c r="J89" s="21" t="s">
        <v>465</v>
      </c>
      <c r="K89" s="21" t="s">
        <v>222</v>
      </c>
      <c r="L89" s="21" t="s">
        <v>466</v>
      </c>
      <c r="M89" s="21" t="s">
        <v>137</v>
      </c>
      <c r="N89" s="21" t="s">
        <v>467</v>
      </c>
    </row>
    <row r="90" spans="1:14" ht="96.6" x14ac:dyDescent="0.3">
      <c r="A90" s="4" t="s">
        <v>5</v>
      </c>
      <c r="B90" s="4" t="s">
        <v>129</v>
      </c>
      <c r="C90" s="4" t="s">
        <v>72</v>
      </c>
      <c r="D90" s="4" t="s">
        <v>130</v>
      </c>
      <c r="E90" s="4" t="s">
        <v>31</v>
      </c>
      <c r="F90" s="4" t="s">
        <v>463</v>
      </c>
      <c r="G90" s="17" t="s">
        <v>351</v>
      </c>
      <c r="H90" s="10">
        <f t="shared" si="2"/>
        <v>1</v>
      </c>
      <c r="I90" s="21" t="s">
        <v>464</v>
      </c>
      <c r="J90" s="21" t="s">
        <v>465</v>
      </c>
      <c r="K90" s="21" t="s">
        <v>222</v>
      </c>
      <c r="L90" s="21" t="s">
        <v>466</v>
      </c>
      <c r="M90" s="21" t="s">
        <v>137</v>
      </c>
      <c r="N90" s="21" t="s">
        <v>467</v>
      </c>
    </row>
    <row r="91" spans="1:14" ht="96.6" x14ac:dyDescent="0.3">
      <c r="A91" s="4" t="s">
        <v>5</v>
      </c>
      <c r="B91" s="4" t="s">
        <v>129</v>
      </c>
      <c r="C91" s="4" t="s">
        <v>72</v>
      </c>
      <c r="D91" s="4" t="s">
        <v>130</v>
      </c>
      <c r="E91" s="4" t="s">
        <v>31</v>
      </c>
      <c r="F91" s="4" t="s">
        <v>363</v>
      </c>
      <c r="G91" s="17" t="s">
        <v>351</v>
      </c>
      <c r="H91" s="10">
        <f t="shared" si="2"/>
        <v>1</v>
      </c>
      <c r="I91" s="21" t="s">
        <v>464</v>
      </c>
      <c r="J91" s="21" t="s">
        <v>465</v>
      </c>
      <c r="K91" s="21" t="s">
        <v>222</v>
      </c>
      <c r="L91" s="21" t="s">
        <v>466</v>
      </c>
      <c r="M91" s="21" t="s">
        <v>137</v>
      </c>
      <c r="N91" s="21" t="s">
        <v>467</v>
      </c>
    </row>
    <row r="92" spans="1:14" ht="82.8" x14ac:dyDescent="0.3">
      <c r="A92" s="4" t="s">
        <v>5</v>
      </c>
      <c r="B92" s="4" t="s">
        <v>129</v>
      </c>
      <c r="C92" s="4" t="s">
        <v>72</v>
      </c>
      <c r="D92" s="4" t="s">
        <v>130</v>
      </c>
      <c r="E92" s="4" t="s">
        <v>409</v>
      </c>
      <c r="F92" s="4" t="s">
        <v>459</v>
      </c>
      <c r="G92" s="17" t="s">
        <v>351</v>
      </c>
      <c r="H92" s="10">
        <f t="shared" si="2"/>
        <v>1</v>
      </c>
      <c r="I92" s="21" t="s">
        <v>468</v>
      </c>
      <c r="J92" s="21" t="s">
        <v>469</v>
      </c>
      <c r="K92" s="21" t="s">
        <v>222</v>
      </c>
      <c r="L92" s="21" t="s">
        <v>470</v>
      </c>
      <c r="M92" s="21" t="s">
        <v>471</v>
      </c>
      <c r="N92" s="21" t="s">
        <v>472</v>
      </c>
    </row>
    <row r="93" spans="1:14" ht="82.8" x14ac:dyDescent="0.3">
      <c r="A93" s="4" t="s">
        <v>5</v>
      </c>
      <c r="B93" s="4" t="s">
        <v>129</v>
      </c>
      <c r="C93" s="4" t="s">
        <v>72</v>
      </c>
      <c r="D93" s="4" t="s">
        <v>130</v>
      </c>
      <c r="E93" s="4" t="s">
        <v>409</v>
      </c>
      <c r="F93" s="4" t="s">
        <v>463</v>
      </c>
      <c r="G93" s="17" t="s">
        <v>351</v>
      </c>
      <c r="H93" s="10">
        <f t="shared" si="2"/>
        <v>1</v>
      </c>
      <c r="I93" s="21" t="s">
        <v>468</v>
      </c>
      <c r="J93" s="21" t="s">
        <v>469</v>
      </c>
      <c r="K93" s="21" t="s">
        <v>222</v>
      </c>
      <c r="L93" s="21" t="s">
        <v>470</v>
      </c>
      <c r="M93" s="21" t="s">
        <v>471</v>
      </c>
      <c r="N93" s="21" t="s">
        <v>472</v>
      </c>
    </row>
    <row r="94" spans="1:14" ht="82.8" x14ac:dyDescent="0.3">
      <c r="A94" s="4" t="s">
        <v>5</v>
      </c>
      <c r="B94" s="4" t="s">
        <v>129</v>
      </c>
      <c r="C94" s="4" t="s">
        <v>72</v>
      </c>
      <c r="D94" s="4" t="s">
        <v>130</v>
      </c>
      <c r="E94" s="4" t="s">
        <v>409</v>
      </c>
      <c r="F94" s="4" t="s">
        <v>363</v>
      </c>
      <c r="G94" s="17" t="s">
        <v>351</v>
      </c>
      <c r="H94" s="10">
        <f t="shared" si="2"/>
        <v>1</v>
      </c>
      <c r="I94" s="21" t="s">
        <v>468</v>
      </c>
      <c r="J94" s="21" t="s">
        <v>469</v>
      </c>
      <c r="K94" s="21" t="s">
        <v>222</v>
      </c>
      <c r="L94" s="21" t="s">
        <v>470</v>
      </c>
      <c r="M94" s="21" t="s">
        <v>471</v>
      </c>
      <c r="N94" s="21" t="s">
        <v>472</v>
      </c>
    </row>
    <row r="95" spans="1:14" ht="82.8" x14ac:dyDescent="0.3">
      <c r="A95" s="4" t="s">
        <v>5</v>
      </c>
      <c r="B95" s="4" t="s">
        <v>129</v>
      </c>
      <c r="C95" s="4" t="s">
        <v>72</v>
      </c>
      <c r="D95" s="4" t="s">
        <v>130</v>
      </c>
      <c r="E95" s="4" t="s">
        <v>473</v>
      </c>
      <c r="F95" s="4" t="s">
        <v>459</v>
      </c>
      <c r="G95" s="17" t="s">
        <v>351</v>
      </c>
      <c r="H95" s="10">
        <f t="shared" si="2"/>
        <v>1</v>
      </c>
      <c r="I95" s="21" t="s">
        <v>474</v>
      </c>
      <c r="J95" s="21" t="s">
        <v>475</v>
      </c>
      <c r="K95" s="21" t="s">
        <v>222</v>
      </c>
      <c r="L95" s="21" t="s">
        <v>476</v>
      </c>
      <c r="M95" s="21" t="s">
        <v>477</v>
      </c>
      <c r="N95" s="21" t="s">
        <v>478</v>
      </c>
    </row>
    <row r="96" spans="1:14" ht="82.8" x14ac:dyDescent="0.3">
      <c r="A96" s="4" t="s">
        <v>5</v>
      </c>
      <c r="B96" s="4" t="s">
        <v>129</v>
      </c>
      <c r="C96" s="4" t="s">
        <v>72</v>
      </c>
      <c r="D96" s="4" t="s">
        <v>130</v>
      </c>
      <c r="E96" s="4" t="s">
        <v>473</v>
      </c>
      <c r="F96" s="4" t="s">
        <v>463</v>
      </c>
      <c r="G96" s="17" t="s">
        <v>351</v>
      </c>
      <c r="H96" s="10">
        <f t="shared" si="2"/>
        <v>1</v>
      </c>
      <c r="I96" s="21" t="s">
        <v>474</v>
      </c>
      <c r="J96" s="21" t="s">
        <v>475</v>
      </c>
      <c r="K96" s="21" t="s">
        <v>222</v>
      </c>
      <c r="L96" s="21" t="s">
        <v>476</v>
      </c>
      <c r="M96" s="21" t="s">
        <v>477</v>
      </c>
      <c r="N96" s="21" t="s">
        <v>478</v>
      </c>
    </row>
    <row r="97" spans="1:14" ht="82.8" x14ac:dyDescent="0.3">
      <c r="A97" s="4" t="s">
        <v>5</v>
      </c>
      <c r="B97" s="4" t="s">
        <v>129</v>
      </c>
      <c r="C97" s="4" t="s">
        <v>72</v>
      </c>
      <c r="D97" s="4" t="s">
        <v>130</v>
      </c>
      <c r="E97" s="4" t="s">
        <v>473</v>
      </c>
      <c r="F97" s="4" t="s">
        <v>363</v>
      </c>
      <c r="G97" s="17" t="s">
        <v>351</v>
      </c>
      <c r="H97" s="10">
        <f t="shared" si="2"/>
        <v>1</v>
      </c>
      <c r="I97" s="21" t="s">
        <v>474</v>
      </c>
      <c r="J97" s="21" t="s">
        <v>475</v>
      </c>
      <c r="K97" s="21" t="s">
        <v>222</v>
      </c>
      <c r="L97" s="21" t="s">
        <v>476</v>
      </c>
      <c r="M97" s="21" t="s">
        <v>477</v>
      </c>
      <c r="N97" s="21" t="s">
        <v>478</v>
      </c>
    </row>
    <row r="98" spans="1:14" ht="69" x14ac:dyDescent="0.3">
      <c r="A98" s="4" t="s">
        <v>5</v>
      </c>
      <c r="B98" s="4" t="s">
        <v>139</v>
      </c>
      <c r="C98" s="4" t="s">
        <v>72</v>
      </c>
      <c r="D98" s="4" t="s">
        <v>140</v>
      </c>
      <c r="E98" s="4" t="s">
        <v>141</v>
      </c>
      <c r="F98" s="4" t="s">
        <v>479</v>
      </c>
      <c r="G98" s="18" t="s">
        <v>359</v>
      </c>
      <c r="H98" s="10">
        <f t="shared" ref="H98:H116" si="3">COUNTIFS($E:$E,E98,$F:$F,F98)</f>
        <v>1</v>
      </c>
      <c r="I98" s="21" t="s">
        <v>123</v>
      </c>
      <c r="J98" s="21" t="s">
        <v>124</v>
      </c>
      <c r="K98" s="21" t="s">
        <v>125</v>
      </c>
      <c r="L98" s="21" t="s">
        <v>143</v>
      </c>
      <c r="M98" s="21" t="s">
        <v>144</v>
      </c>
      <c r="N98" s="21" t="s">
        <v>145</v>
      </c>
    </row>
    <row r="99" spans="1:14" ht="69" x14ac:dyDescent="0.3">
      <c r="A99" s="4" t="s">
        <v>5</v>
      </c>
      <c r="B99" s="4" t="s">
        <v>139</v>
      </c>
      <c r="C99" s="4" t="s">
        <v>72</v>
      </c>
      <c r="D99" s="4" t="s">
        <v>140</v>
      </c>
      <c r="E99" s="4" t="s">
        <v>141</v>
      </c>
      <c r="F99" s="4" t="s">
        <v>438</v>
      </c>
      <c r="G99" s="18" t="s">
        <v>359</v>
      </c>
      <c r="H99" s="10">
        <f t="shared" si="3"/>
        <v>1</v>
      </c>
      <c r="I99" s="21" t="s">
        <v>123</v>
      </c>
      <c r="J99" s="21" t="s">
        <v>124</v>
      </c>
      <c r="K99" s="21" t="s">
        <v>125</v>
      </c>
      <c r="L99" s="21" t="s">
        <v>143</v>
      </c>
      <c r="M99" s="21" t="s">
        <v>144</v>
      </c>
      <c r="N99" s="21" t="s">
        <v>145</v>
      </c>
    </row>
    <row r="100" spans="1:14" ht="69" x14ac:dyDescent="0.3">
      <c r="A100" s="4" t="s">
        <v>5</v>
      </c>
      <c r="B100" s="4" t="s">
        <v>306</v>
      </c>
      <c r="C100" s="4" t="s">
        <v>288</v>
      </c>
      <c r="D100" s="4" t="s">
        <v>307</v>
      </c>
      <c r="E100" s="4" t="s">
        <v>308</v>
      </c>
      <c r="F100" s="4" t="s">
        <v>309</v>
      </c>
      <c r="G100" s="16" t="s">
        <v>342</v>
      </c>
      <c r="H100" s="10">
        <f t="shared" si="3"/>
        <v>1</v>
      </c>
      <c r="I100" s="21" t="s">
        <v>310</v>
      </c>
      <c r="J100" s="21" t="s">
        <v>311</v>
      </c>
      <c r="K100" s="21" t="s">
        <v>78</v>
      </c>
      <c r="L100" s="21" t="s">
        <v>312</v>
      </c>
      <c r="M100" s="21" t="s">
        <v>293</v>
      </c>
      <c r="N100" s="21" t="s">
        <v>313</v>
      </c>
    </row>
    <row r="101" spans="1:14" ht="82.8" x14ac:dyDescent="0.3">
      <c r="A101" s="4" t="s">
        <v>5</v>
      </c>
      <c r="B101" s="4" t="s">
        <v>314</v>
      </c>
      <c r="C101" s="4" t="s">
        <v>288</v>
      </c>
      <c r="D101" s="4" t="s">
        <v>315</v>
      </c>
      <c r="E101" s="4" t="s">
        <v>15</v>
      </c>
      <c r="F101" s="4" t="s">
        <v>480</v>
      </c>
      <c r="G101" s="18" t="s">
        <v>359</v>
      </c>
      <c r="H101" s="10">
        <f t="shared" si="3"/>
        <v>1</v>
      </c>
      <c r="I101" s="21" t="s">
        <v>317</v>
      </c>
      <c r="J101" s="21" t="s">
        <v>318</v>
      </c>
      <c r="K101" s="21" t="s">
        <v>78</v>
      </c>
      <c r="L101" s="21" t="s">
        <v>319</v>
      </c>
      <c r="M101" s="21" t="s">
        <v>320</v>
      </c>
      <c r="N101" s="21" t="s">
        <v>321</v>
      </c>
    </row>
    <row r="102" spans="1:14" ht="82.8" x14ac:dyDescent="0.3">
      <c r="A102" s="4" t="s">
        <v>5</v>
      </c>
      <c r="B102" s="4" t="s">
        <v>314</v>
      </c>
      <c r="C102" s="4" t="s">
        <v>288</v>
      </c>
      <c r="D102" s="4" t="s">
        <v>315</v>
      </c>
      <c r="E102" s="4" t="s">
        <v>15</v>
      </c>
      <c r="F102" s="4" t="s">
        <v>481</v>
      </c>
      <c r="G102" s="18" t="s">
        <v>359</v>
      </c>
      <c r="H102" s="10">
        <f t="shared" si="3"/>
        <v>1</v>
      </c>
      <c r="I102" s="21" t="s">
        <v>317</v>
      </c>
      <c r="J102" s="21" t="s">
        <v>318</v>
      </c>
      <c r="K102" s="21" t="s">
        <v>78</v>
      </c>
      <c r="L102" s="21" t="s">
        <v>319</v>
      </c>
      <c r="M102" s="21" t="s">
        <v>320</v>
      </c>
      <c r="N102" s="21" t="s">
        <v>321</v>
      </c>
    </row>
    <row r="103" spans="1:14" ht="82.8" x14ac:dyDescent="0.3">
      <c r="A103" s="4" t="s">
        <v>5</v>
      </c>
      <c r="B103" s="4" t="s">
        <v>314</v>
      </c>
      <c r="C103" s="4" t="s">
        <v>288</v>
      </c>
      <c r="D103" s="4" t="s">
        <v>315</v>
      </c>
      <c r="E103" s="4" t="s">
        <v>15</v>
      </c>
      <c r="F103" s="4" t="s">
        <v>482</v>
      </c>
      <c r="G103" s="18" t="s">
        <v>359</v>
      </c>
      <c r="H103" s="10">
        <f t="shared" si="3"/>
        <v>1</v>
      </c>
      <c r="I103" s="21" t="s">
        <v>317</v>
      </c>
      <c r="J103" s="21" t="s">
        <v>318</v>
      </c>
      <c r="K103" s="21" t="s">
        <v>78</v>
      </c>
      <c r="L103" s="21" t="s">
        <v>319</v>
      </c>
      <c r="M103" s="21" t="s">
        <v>320</v>
      </c>
      <c r="N103" s="21" t="s">
        <v>321</v>
      </c>
    </row>
    <row r="104" spans="1:14" ht="82.8" x14ac:dyDescent="0.3">
      <c r="A104" s="4" t="s">
        <v>5</v>
      </c>
      <c r="B104" s="4" t="s">
        <v>146</v>
      </c>
      <c r="C104" s="4" t="s">
        <v>72</v>
      </c>
      <c r="D104" s="4" t="s">
        <v>147</v>
      </c>
      <c r="E104" s="4" t="s">
        <v>483</v>
      </c>
      <c r="F104" s="4" t="s">
        <v>149</v>
      </c>
      <c r="G104" s="15" t="s">
        <v>331</v>
      </c>
      <c r="H104" s="10">
        <f t="shared" si="3"/>
        <v>1</v>
      </c>
      <c r="I104" s="21" t="s">
        <v>484</v>
      </c>
      <c r="J104" s="21" t="s">
        <v>485</v>
      </c>
      <c r="K104" s="21" t="s">
        <v>152</v>
      </c>
      <c r="L104" s="21" t="s">
        <v>486</v>
      </c>
      <c r="M104" s="21" t="s">
        <v>487</v>
      </c>
      <c r="N104" s="21" t="s">
        <v>488</v>
      </c>
    </row>
    <row r="105" spans="1:14" ht="69" x14ac:dyDescent="0.3">
      <c r="A105" s="4" t="s">
        <v>5</v>
      </c>
      <c r="B105" s="4" t="s">
        <v>146</v>
      </c>
      <c r="C105" s="4" t="s">
        <v>72</v>
      </c>
      <c r="D105" s="4" t="s">
        <v>147</v>
      </c>
      <c r="E105" s="4" t="s">
        <v>29</v>
      </c>
      <c r="F105" s="4" t="s">
        <v>149</v>
      </c>
      <c r="G105" s="15" t="s">
        <v>331</v>
      </c>
      <c r="H105" s="10">
        <f t="shared" si="3"/>
        <v>1</v>
      </c>
      <c r="I105" s="21" t="s">
        <v>489</v>
      </c>
      <c r="J105" s="21" t="s">
        <v>490</v>
      </c>
      <c r="K105" s="21" t="s">
        <v>152</v>
      </c>
      <c r="L105" s="21" t="s">
        <v>491</v>
      </c>
      <c r="M105" s="21" t="s">
        <v>492</v>
      </c>
      <c r="N105" s="21" t="s">
        <v>493</v>
      </c>
    </row>
    <row r="106" spans="1:14" ht="82.8" x14ac:dyDescent="0.3">
      <c r="A106" s="4" t="s">
        <v>5</v>
      </c>
      <c r="B106" s="4" t="s">
        <v>246</v>
      </c>
      <c r="C106" s="4" t="s">
        <v>200</v>
      </c>
      <c r="D106" s="4" t="s">
        <v>247</v>
      </c>
      <c r="E106" s="4" t="s">
        <v>24</v>
      </c>
      <c r="F106" s="4" t="s">
        <v>25</v>
      </c>
      <c r="G106" s="18" t="s">
        <v>359</v>
      </c>
      <c r="H106" s="10">
        <f t="shared" si="3"/>
        <v>2</v>
      </c>
      <c r="I106" s="21" t="s">
        <v>494</v>
      </c>
      <c r="J106" s="21" t="s">
        <v>495</v>
      </c>
      <c r="K106" s="21" t="s">
        <v>152</v>
      </c>
      <c r="L106" s="21" t="s">
        <v>251</v>
      </c>
      <c r="M106" s="21" t="s">
        <v>161</v>
      </c>
      <c r="N106" s="21" t="s">
        <v>252</v>
      </c>
    </row>
    <row r="107" spans="1:14" ht="82.8" x14ac:dyDescent="0.3">
      <c r="A107" s="4" t="s">
        <v>5</v>
      </c>
      <c r="B107" s="4" t="s">
        <v>246</v>
      </c>
      <c r="C107" s="4" t="s">
        <v>200</v>
      </c>
      <c r="D107" s="4" t="s">
        <v>247</v>
      </c>
      <c r="E107" s="4" t="s">
        <v>24</v>
      </c>
      <c r="F107" s="4" t="s">
        <v>496</v>
      </c>
      <c r="G107" s="18" t="s">
        <v>359</v>
      </c>
      <c r="H107" s="10">
        <f t="shared" si="3"/>
        <v>1</v>
      </c>
      <c r="I107" s="21" t="s">
        <v>494</v>
      </c>
      <c r="J107" s="21" t="s">
        <v>495</v>
      </c>
      <c r="K107" s="21" t="s">
        <v>152</v>
      </c>
      <c r="L107" s="21" t="s">
        <v>251</v>
      </c>
      <c r="M107" s="21" t="s">
        <v>161</v>
      </c>
      <c r="N107" s="21" t="s">
        <v>252</v>
      </c>
    </row>
    <row r="108" spans="1:14" ht="82.8" x14ac:dyDescent="0.3">
      <c r="A108" s="4" t="s">
        <v>5</v>
      </c>
      <c r="B108" s="4" t="s">
        <v>156</v>
      </c>
      <c r="C108" s="4" t="s">
        <v>72</v>
      </c>
      <c r="D108" s="4" t="s">
        <v>157</v>
      </c>
      <c r="E108" s="4" t="s">
        <v>24</v>
      </c>
      <c r="F108" s="4" t="s">
        <v>25</v>
      </c>
      <c r="G108" s="16" t="s">
        <v>342</v>
      </c>
      <c r="H108" s="10">
        <f t="shared" si="3"/>
        <v>2</v>
      </c>
      <c r="I108" s="21" t="s">
        <v>497</v>
      </c>
      <c r="J108" s="21" t="s">
        <v>498</v>
      </c>
      <c r="K108" s="21" t="s">
        <v>152</v>
      </c>
      <c r="L108" s="21" t="s">
        <v>160</v>
      </c>
      <c r="M108" s="21" t="s">
        <v>161</v>
      </c>
      <c r="N108" s="21" t="s">
        <v>162</v>
      </c>
    </row>
    <row r="109" spans="1:14" ht="69" x14ac:dyDescent="0.3">
      <c r="A109" s="4" t="s">
        <v>5</v>
      </c>
      <c r="B109" s="4" t="s">
        <v>191</v>
      </c>
      <c r="C109" s="4" t="s">
        <v>164</v>
      </c>
      <c r="D109" s="4" t="s">
        <v>192</v>
      </c>
      <c r="E109" s="4" t="s">
        <v>499</v>
      </c>
      <c r="F109" s="4" t="s">
        <v>20</v>
      </c>
      <c r="G109" s="15" t="s">
        <v>331</v>
      </c>
      <c r="H109" s="10">
        <f t="shared" si="3"/>
        <v>1</v>
      </c>
      <c r="I109" s="21" t="s">
        <v>428</v>
      </c>
      <c r="J109" s="21" t="s">
        <v>429</v>
      </c>
      <c r="K109" s="21" t="s">
        <v>125</v>
      </c>
      <c r="L109" s="21" t="s">
        <v>500</v>
      </c>
      <c r="M109" s="21" t="s">
        <v>501</v>
      </c>
      <c r="N109" s="21" t="s">
        <v>502</v>
      </c>
    </row>
    <row r="110" spans="1:14" ht="69" x14ac:dyDescent="0.3">
      <c r="A110" s="4" t="s">
        <v>5</v>
      </c>
      <c r="B110" s="4" t="s">
        <v>191</v>
      </c>
      <c r="C110" s="4" t="s">
        <v>164</v>
      </c>
      <c r="D110" s="4" t="s">
        <v>192</v>
      </c>
      <c r="E110" s="4" t="s">
        <v>19</v>
      </c>
      <c r="F110" s="4" t="s">
        <v>20</v>
      </c>
      <c r="G110" s="15" t="s">
        <v>331</v>
      </c>
      <c r="H110" s="10">
        <f t="shared" si="3"/>
        <v>2</v>
      </c>
      <c r="I110" s="21" t="s">
        <v>428</v>
      </c>
      <c r="J110" s="21" t="s">
        <v>429</v>
      </c>
      <c r="K110" s="21" t="s">
        <v>78</v>
      </c>
      <c r="L110" s="21" t="s">
        <v>503</v>
      </c>
      <c r="M110" s="21" t="s">
        <v>197</v>
      </c>
      <c r="N110" s="21" t="s">
        <v>504</v>
      </c>
    </row>
    <row r="111" spans="1:14" ht="69" x14ac:dyDescent="0.3">
      <c r="A111" s="4" t="s">
        <v>5</v>
      </c>
      <c r="B111" s="4" t="s">
        <v>191</v>
      </c>
      <c r="C111" s="4" t="s">
        <v>164</v>
      </c>
      <c r="D111" s="4" t="s">
        <v>192</v>
      </c>
      <c r="E111" s="4" t="s">
        <v>22</v>
      </c>
      <c r="F111" s="4" t="s">
        <v>20</v>
      </c>
      <c r="G111" s="15" t="s">
        <v>331</v>
      </c>
      <c r="H111" s="10">
        <f t="shared" si="3"/>
        <v>2</v>
      </c>
      <c r="I111" s="21" t="s">
        <v>433</v>
      </c>
      <c r="J111" s="21" t="s">
        <v>434</v>
      </c>
      <c r="K111" s="21" t="s">
        <v>78</v>
      </c>
      <c r="L111" s="21" t="s">
        <v>505</v>
      </c>
      <c r="M111" s="21" t="s">
        <v>197</v>
      </c>
      <c r="N111" s="21" t="s">
        <v>506</v>
      </c>
    </row>
    <row r="112" spans="1:14" ht="69" x14ac:dyDescent="0.3">
      <c r="A112" s="4" t="s">
        <v>5</v>
      </c>
      <c r="B112" s="4" t="s">
        <v>253</v>
      </c>
      <c r="C112" s="4" t="s">
        <v>200</v>
      </c>
      <c r="D112" s="4" t="s">
        <v>254</v>
      </c>
      <c r="E112" s="4" t="s">
        <v>19</v>
      </c>
      <c r="F112" s="4" t="s">
        <v>507</v>
      </c>
      <c r="G112" s="17" t="s">
        <v>351</v>
      </c>
      <c r="H112" s="10">
        <f t="shared" si="3"/>
        <v>1</v>
      </c>
      <c r="I112" s="21" t="s">
        <v>428</v>
      </c>
      <c r="J112" s="21" t="s">
        <v>429</v>
      </c>
      <c r="K112" s="21" t="s">
        <v>78</v>
      </c>
      <c r="L112" s="21" t="s">
        <v>503</v>
      </c>
      <c r="M112" s="21" t="s">
        <v>197</v>
      </c>
      <c r="N112" s="21" t="s">
        <v>504</v>
      </c>
    </row>
    <row r="113" spans="1:14" ht="69" x14ac:dyDescent="0.3">
      <c r="A113" s="4" t="s">
        <v>5</v>
      </c>
      <c r="B113" s="4" t="s">
        <v>253</v>
      </c>
      <c r="C113" s="4" t="s">
        <v>200</v>
      </c>
      <c r="D113" s="4" t="s">
        <v>254</v>
      </c>
      <c r="E113" s="4" t="s">
        <v>19</v>
      </c>
      <c r="F113" s="4" t="s">
        <v>20</v>
      </c>
      <c r="G113" s="17" t="s">
        <v>351</v>
      </c>
      <c r="H113" s="10">
        <f t="shared" si="3"/>
        <v>2</v>
      </c>
      <c r="I113" s="21" t="s">
        <v>428</v>
      </c>
      <c r="J113" s="21" t="s">
        <v>429</v>
      </c>
      <c r="K113" s="21" t="s">
        <v>78</v>
      </c>
      <c r="L113" s="21" t="s">
        <v>503</v>
      </c>
      <c r="M113" s="21" t="s">
        <v>197</v>
      </c>
      <c r="N113" s="21" t="s">
        <v>504</v>
      </c>
    </row>
    <row r="114" spans="1:14" ht="69" x14ac:dyDescent="0.3">
      <c r="A114" s="4" t="s">
        <v>5</v>
      </c>
      <c r="B114" s="4" t="s">
        <v>253</v>
      </c>
      <c r="C114" s="4" t="s">
        <v>200</v>
      </c>
      <c r="D114" s="4" t="s">
        <v>254</v>
      </c>
      <c r="E114" s="4" t="s">
        <v>22</v>
      </c>
      <c r="F114" s="4" t="s">
        <v>507</v>
      </c>
      <c r="G114" s="17" t="s">
        <v>351</v>
      </c>
      <c r="H114" s="10">
        <f t="shared" si="3"/>
        <v>1</v>
      </c>
      <c r="I114" s="21" t="s">
        <v>433</v>
      </c>
      <c r="J114" s="21" t="s">
        <v>434</v>
      </c>
      <c r="K114" s="21" t="s">
        <v>78</v>
      </c>
      <c r="L114" s="21" t="s">
        <v>505</v>
      </c>
      <c r="M114" s="21" t="s">
        <v>197</v>
      </c>
      <c r="N114" s="21" t="s">
        <v>506</v>
      </c>
    </row>
    <row r="115" spans="1:14" ht="69" x14ac:dyDescent="0.3">
      <c r="A115" s="4" t="s">
        <v>5</v>
      </c>
      <c r="B115" s="4" t="s">
        <v>253</v>
      </c>
      <c r="C115" s="4" t="s">
        <v>200</v>
      </c>
      <c r="D115" s="4" t="s">
        <v>254</v>
      </c>
      <c r="E115" s="4" t="s">
        <v>22</v>
      </c>
      <c r="F115" s="4" t="s">
        <v>20</v>
      </c>
      <c r="G115" s="17" t="s">
        <v>351</v>
      </c>
      <c r="H115" s="10">
        <f t="shared" si="3"/>
        <v>2</v>
      </c>
      <c r="I115" s="21" t="s">
        <v>433</v>
      </c>
      <c r="J115" s="21" t="s">
        <v>434</v>
      </c>
      <c r="K115" s="21" t="s">
        <v>78</v>
      </c>
      <c r="L115" s="21" t="s">
        <v>505</v>
      </c>
      <c r="M115" s="21" t="s">
        <v>197</v>
      </c>
      <c r="N115" s="21" t="s">
        <v>506</v>
      </c>
    </row>
    <row r="116" spans="1:14" ht="82.8" x14ac:dyDescent="0.3">
      <c r="A116" s="4" t="s">
        <v>5</v>
      </c>
      <c r="B116" s="4" t="s">
        <v>322</v>
      </c>
      <c r="C116" s="4" t="s">
        <v>288</v>
      </c>
      <c r="D116" s="4" t="s">
        <v>323</v>
      </c>
      <c r="E116" s="4" t="s">
        <v>34</v>
      </c>
      <c r="F116" s="4" t="s">
        <v>35</v>
      </c>
      <c r="G116" s="16" t="s">
        <v>342</v>
      </c>
      <c r="H116" s="10">
        <f t="shared" si="3"/>
        <v>2</v>
      </c>
      <c r="I116" s="21" t="s">
        <v>352</v>
      </c>
      <c r="J116" s="21" t="s">
        <v>353</v>
      </c>
      <c r="K116" s="21" t="s">
        <v>222</v>
      </c>
      <c r="L116" s="21" t="s">
        <v>324</v>
      </c>
      <c r="M116" s="21" t="s">
        <v>277</v>
      </c>
      <c r="N116" s="21" t="s">
        <v>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4"/>
  <sheetViews>
    <sheetView showGridLines="0" workbookViewId="0"/>
  </sheetViews>
  <sheetFormatPr defaultRowHeight="14.4" x14ac:dyDescent="0.3"/>
  <cols>
    <col min="1" max="1" width="20" customWidth="1"/>
    <col min="2" max="2" width="28" customWidth="1"/>
    <col min="3" max="3" width="16" customWidth="1"/>
    <col min="4" max="4" width="72" customWidth="1"/>
    <col min="5" max="5" width="18" customWidth="1"/>
    <col min="6" max="6" width="20" customWidth="1"/>
    <col min="7" max="7" width="22" customWidth="1"/>
    <col min="8" max="8" width="28" customWidth="1"/>
    <col min="9" max="9" width="42" customWidth="1"/>
    <col min="10" max="10" width="22" customWidth="1"/>
    <col min="11" max="11" width="52" customWidth="1"/>
    <col min="12" max="12" width="70" customWidth="1"/>
    <col min="13" max="13" width="56" customWidth="1"/>
  </cols>
  <sheetData>
    <row r="1" spans="1:13" ht="31.95" customHeight="1" x14ac:dyDescent="0.3">
      <c r="A1" s="9" t="s">
        <v>326</v>
      </c>
      <c r="B1" s="9" t="s">
        <v>327</v>
      </c>
      <c r="C1" s="9" t="s">
        <v>508</v>
      </c>
      <c r="D1" s="9" t="s">
        <v>509</v>
      </c>
      <c r="E1" s="9" t="s">
        <v>510</v>
      </c>
      <c r="F1" s="9" t="s">
        <v>511</v>
      </c>
      <c r="G1" s="9" t="s">
        <v>512</v>
      </c>
      <c r="H1" s="9" t="s">
        <v>65</v>
      </c>
      <c r="I1" s="9" t="s">
        <v>66</v>
      </c>
      <c r="J1" s="9" t="s">
        <v>67</v>
      </c>
      <c r="K1" s="9" t="s">
        <v>68</v>
      </c>
      <c r="L1" s="9" t="s">
        <v>69</v>
      </c>
      <c r="M1" s="9" t="s">
        <v>70</v>
      </c>
    </row>
    <row r="2" spans="1:13" ht="30" customHeight="1" x14ac:dyDescent="0.3">
      <c r="A2" s="4" t="s">
        <v>12</v>
      </c>
      <c r="B2" s="4" t="s">
        <v>13</v>
      </c>
      <c r="C2" s="10">
        <f>COUNTIFS(Normalized_Tuples!$E:$E,$A2,Normalized_Tuples!$F:$F,$B2)</f>
        <v>2</v>
      </c>
      <c r="D2" s="4" t="s">
        <v>513</v>
      </c>
      <c r="E2" s="4" t="s">
        <v>514</v>
      </c>
      <c r="F2" s="4" t="s">
        <v>5</v>
      </c>
      <c r="G2" s="4" t="s">
        <v>331</v>
      </c>
      <c r="H2" s="21" t="s">
        <v>515</v>
      </c>
      <c r="I2" s="21" t="s">
        <v>516</v>
      </c>
      <c r="J2" s="21" t="s">
        <v>452</v>
      </c>
      <c r="K2" s="21" t="s">
        <v>453</v>
      </c>
      <c r="L2" s="21" t="s">
        <v>454</v>
      </c>
      <c r="M2" s="21" t="s">
        <v>455</v>
      </c>
    </row>
    <row r="3" spans="1:13" ht="30" customHeight="1" x14ac:dyDescent="0.3">
      <c r="A3" s="4" t="s">
        <v>15</v>
      </c>
      <c r="B3" s="4" t="s">
        <v>13</v>
      </c>
      <c r="C3" s="10">
        <f>COUNTIFS(Normalized_Tuples!$E:$E,$A3,Normalized_Tuples!$F:$F,$B3)</f>
        <v>2</v>
      </c>
      <c r="D3" s="4" t="s">
        <v>513</v>
      </c>
      <c r="E3" s="4" t="s">
        <v>514</v>
      </c>
      <c r="F3" s="4" t="s">
        <v>5</v>
      </c>
      <c r="G3" s="4" t="s">
        <v>331</v>
      </c>
      <c r="H3" s="21" t="s">
        <v>317</v>
      </c>
      <c r="I3" s="21" t="s">
        <v>318</v>
      </c>
      <c r="J3" s="21" t="s">
        <v>78</v>
      </c>
      <c r="K3" s="21" t="s">
        <v>319</v>
      </c>
      <c r="L3" s="21" t="s">
        <v>320</v>
      </c>
      <c r="M3" s="21" t="s">
        <v>321</v>
      </c>
    </row>
    <row r="4" spans="1:13" ht="30" customHeight="1" x14ac:dyDescent="0.3">
      <c r="A4" s="4" t="s">
        <v>17</v>
      </c>
      <c r="B4" s="4" t="s">
        <v>13</v>
      </c>
      <c r="C4" s="10">
        <f>COUNTIFS(Normalized_Tuples!$E:$E,$A4,Normalized_Tuples!$F:$F,$B4)</f>
        <v>2</v>
      </c>
      <c r="D4" s="4" t="s">
        <v>513</v>
      </c>
      <c r="E4" s="4" t="s">
        <v>514</v>
      </c>
      <c r="F4" s="4" t="s">
        <v>5</v>
      </c>
      <c r="G4" s="4" t="s">
        <v>331</v>
      </c>
      <c r="H4" s="21" t="s">
        <v>317</v>
      </c>
      <c r="I4" s="21" t="s">
        <v>318</v>
      </c>
      <c r="J4" s="21" t="s">
        <v>78</v>
      </c>
      <c r="K4" s="21" t="s">
        <v>456</v>
      </c>
      <c r="L4" s="21" t="s">
        <v>320</v>
      </c>
      <c r="M4" s="21" t="s">
        <v>457</v>
      </c>
    </row>
    <row r="5" spans="1:13" ht="30" customHeight="1" x14ac:dyDescent="0.3">
      <c r="A5" s="4" t="s">
        <v>19</v>
      </c>
      <c r="B5" s="4" t="s">
        <v>20</v>
      </c>
      <c r="C5" s="10">
        <f>COUNTIFS(Normalized_Tuples!$E:$E,$A5,Normalized_Tuples!$F:$F,$B5)</f>
        <v>2</v>
      </c>
      <c r="D5" s="4" t="s">
        <v>517</v>
      </c>
      <c r="E5" s="4" t="s">
        <v>518</v>
      </c>
      <c r="F5" s="4" t="s">
        <v>5</v>
      </c>
      <c r="G5" s="4" t="s">
        <v>519</v>
      </c>
      <c r="H5" s="21" t="s">
        <v>428</v>
      </c>
      <c r="I5" s="21" t="s">
        <v>429</v>
      </c>
      <c r="J5" s="21" t="s">
        <v>78</v>
      </c>
      <c r="K5" s="21" t="s">
        <v>503</v>
      </c>
      <c r="L5" s="21" t="s">
        <v>197</v>
      </c>
      <c r="M5" s="21" t="s">
        <v>504</v>
      </c>
    </row>
    <row r="6" spans="1:13" ht="30" customHeight="1" x14ac:dyDescent="0.3">
      <c r="A6" s="4" t="s">
        <v>22</v>
      </c>
      <c r="B6" s="4" t="s">
        <v>20</v>
      </c>
      <c r="C6" s="10">
        <f>COUNTIFS(Normalized_Tuples!$E:$E,$A6,Normalized_Tuples!$F:$F,$B6)</f>
        <v>2</v>
      </c>
      <c r="D6" s="4" t="s">
        <v>517</v>
      </c>
      <c r="E6" s="4" t="s">
        <v>518</v>
      </c>
      <c r="F6" s="4" t="s">
        <v>5</v>
      </c>
      <c r="G6" s="4" t="s">
        <v>519</v>
      </c>
      <c r="H6" s="21" t="s">
        <v>433</v>
      </c>
      <c r="I6" s="21" t="s">
        <v>434</v>
      </c>
      <c r="J6" s="21" t="s">
        <v>78</v>
      </c>
      <c r="K6" s="21" t="s">
        <v>505</v>
      </c>
      <c r="L6" s="21" t="s">
        <v>197</v>
      </c>
      <c r="M6" s="21" t="s">
        <v>506</v>
      </c>
    </row>
    <row r="7" spans="1:13" ht="30" customHeight="1" x14ac:dyDescent="0.3">
      <c r="A7" s="4" t="s">
        <v>24</v>
      </c>
      <c r="B7" s="4" t="s">
        <v>25</v>
      </c>
      <c r="C7" s="10">
        <f>COUNTIFS(Normalized_Tuples!$E:$E,$A7,Normalized_Tuples!$F:$F,$B7)</f>
        <v>2</v>
      </c>
      <c r="D7" s="4" t="s">
        <v>520</v>
      </c>
      <c r="E7" s="4" t="s">
        <v>521</v>
      </c>
      <c r="F7" s="4" t="s">
        <v>5</v>
      </c>
      <c r="G7" s="4" t="s">
        <v>522</v>
      </c>
      <c r="H7" s="21" t="s">
        <v>523</v>
      </c>
      <c r="I7" s="21" t="s">
        <v>524</v>
      </c>
      <c r="J7" s="21" t="s">
        <v>152</v>
      </c>
      <c r="K7" s="21" t="s">
        <v>525</v>
      </c>
      <c r="L7" s="21" t="s">
        <v>161</v>
      </c>
      <c r="M7" s="21" t="s">
        <v>526</v>
      </c>
    </row>
    <row r="8" spans="1:13" ht="30" customHeight="1" x14ac:dyDescent="0.3">
      <c r="A8" s="4" t="s">
        <v>26</v>
      </c>
      <c r="B8" s="4" t="s">
        <v>27</v>
      </c>
      <c r="C8" s="10">
        <f>COUNTIFS(Normalized_Tuples!$E:$E,$A8,Normalized_Tuples!$F:$F,$B8)</f>
        <v>2</v>
      </c>
      <c r="D8" s="4" t="s">
        <v>527</v>
      </c>
      <c r="E8" s="4" t="s">
        <v>528</v>
      </c>
      <c r="F8" s="4" t="s">
        <v>5</v>
      </c>
      <c r="G8" s="4" t="s">
        <v>529</v>
      </c>
      <c r="H8" s="21" t="s">
        <v>290</v>
      </c>
      <c r="I8" s="21" t="s">
        <v>291</v>
      </c>
      <c r="J8" s="21" t="s">
        <v>78</v>
      </c>
      <c r="K8" s="21" t="s">
        <v>292</v>
      </c>
      <c r="L8" s="21" t="s">
        <v>293</v>
      </c>
      <c r="M8" s="21" t="s">
        <v>294</v>
      </c>
    </row>
    <row r="9" spans="1:13" ht="30" customHeight="1" x14ac:dyDescent="0.3">
      <c r="A9" s="4" t="s">
        <v>29</v>
      </c>
      <c r="B9" s="4" t="s">
        <v>30</v>
      </c>
      <c r="C9" s="10">
        <f>COUNTIFS(Normalized_Tuples!$E:$E,$A9,Normalized_Tuples!$F:$F,$B9)</f>
        <v>2</v>
      </c>
      <c r="D9" s="4" t="s">
        <v>530</v>
      </c>
      <c r="E9" s="4" t="s">
        <v>531</v>
      </c>
      <c r="F9" s="4" t="s">
        <v>5</v>
      </c>
      <c r="G9" s="4" t="s">
        <v>529</v>
      </c>
      <c r="H9" s="21" t="s">
        <v>282</v>
      </c>
      <c r="I9" s="21" t="s">
        <v>283</v>
      </c>
      <c r="J9" s="21" t="s">
        <v>152</v>
      </c>
      <c r="K9" s="21" t="s">
        <v>297</v>
      </c>
      <c r="L9" s="21" t="s">
        <v>285</v>
      </c>
      <c r="M9" s="21" t="s">
        <v>298</v>
      </c>
    </row>
    <row r="10" spans="1:13" ht="30" customHeight="1" x14ac:dyDescent="0.3">
      <c r="A10" s="4" t="s">
        <v>31</v>
      </c>
      <c r="B10" s="4" t="s">
        <v>32</v>
      </c>
      <c r="C10" s="10">
        <f>COUNTIFS(Normalized_Tuples!$E:$E,$A10,Normalized_Tuples!$F:$F,$B10)</f>
        <v>2</v>
      </c>
      <c r="D10" s="4" t="s">
        <v>532</v>
      </c>
      <c r="E10" s="4" t="s">
        <v>72</v>
      </c>
      <c r="F10" s="4" t="s">
        <v>5</v>
      </c>
      <c r="G10" s="4" t="s">
        <v>351</v>
      </c>
      <c r="H10" s="21" t="s">
        <v>533</v>
      </c>
      <c r="I10" s="21" t="s">
        <v>534</v>
      </c>
      <c r="J10" s="21" t="s">
        <v>78</v>
      </c>
      <c r="K10" s="21" t="s">
        <v>535</v>
      </c>
      <c r="L10" s="21" t="s">
        <v>536</v>
      </c>
      <c r="M10" s="21" t="s">
        <v>537</v>
      </c>
    </row>
    <row r="11" spans="1:13" ht="30" customHeight="1" x14ac:dyDescent="0.3">
      <c r="A11" s="4" t="s">
        <v>33</v>
      </c>
      <c r="B11" s="4" t="s">
        <v>32</v>
      </c>
      <c r="C11" s="10">
        <f>COUNTIFS(Normalized_Tuples!$E:$E,$A11,Normalized_Tuples!$F:$F,$B11)</f>
        <v>2</v>
      </c>
      <c r="D11" s="4" t="s">
        <v>532</v>
      </c>
      <c r="E11" s="4" t="s">
        <v>72</v>
      </c>
      <c r="F11" s="4" t="s">
        <v>5</v>
      </c>
      <c r="G11" s="4" t="s">
        <v>351</v>
      </c>
      <c r="H11" s="21" t="s">
        <v>533</v>
      </c>
      <c r="I11" s="21" t="s">
        <v>534</v>
      </c>
      <c r="J11" s="21" t="s">
        <v>538</v>
      </c>
      <c r="K11" s="21" t="s">
        <v>539</v>
      </c>
      <c r="L11" s="21" t="s">
        <v>536</v>
      </c>
      <c r="M11" s="21" t="s">
        <v>540</v>
      </c>
    </row>
    <row r="12" spans="1:13" ht="30" customHeight="1" x14ac:dyDescent="0.3">
      <c r="A12" s="4" t="s">
        <v>34</v>
      </c>
      <c r="B12" s="4" t="s">
        <v>35</v>
      </c>
      <c r="C12" s="10">
        <f>COUNTIFS(Normalized_Tuples!$E:$E,$A12,Normalized_Tuples!$F:$F,$B12)</f>
        <v>2</v>
      </c>
      <c r="D12" s="4" t="s">
        <v>541</v>
      </c>
      <c r="E12" s="4" t="s">
        <v>531</v>
      </c>
      <c r="F12" s="4" t="s">
        <v>5</v>
      </c>
      <c r="G12" s="4" t="s">
        <v>542</v>
      </c>
      <c r="H12" s="21" t="s">
        <v>274</v>
      </c>
      <c r="I12" s="21" t="s">
        <v>275</v>
      </c>
      <c r="J12" s="21" t="s">
        <v>222</v>
      </c>
      <c r="K12" s="21" t="s">
        <v>324</v>
      </c>
      <c r="L12" s="21" t="s">
        <v>277</v>
      </c>
      <c r="M12" s="21" t="s">
        <v>325</v>
      </c>
    </row>
    <row r="13" spans="1:13" ht="30" customHeight="1" x14ac:dyDescent="0.3">
      <c r="A13" s="4" t="s">
        <v>175</v>
      </c>
      <c r="B13" s="4" t="s">
        <v>176</v>
      </c>
      <c r="C13" s="10">
        <f>COUNTIFS(Normalized_Tuples!$E:$E,$A13,Normalized_Tuples!$F:$F,$B13)</f>
        <v>2</v>
      </c>
      <c r="D13" s="4" t="s">
        <v>543</v>
      </c>
      <c r="E13" s="4" t="s">
        <v>514</v>
      </c>
      <c r="F13" s="4" t="s">
        <v>5</v>
      </c>
      <c r="G13" s="4" t="s">
        <v>529</v>
      </c>
      <c r="H13" s="21" t="s">
        <v>211</v>
      </c>
      <c r="I13" s="21" t="s">
        <v>212</v>
      </c>
      <c r="J13" s="21" t="s">
        <v>213</v>
      </c>
      <c r="K13" s="21" t="s">
        <v>544</v>
      </c>
      <c r="L13" s="21" t="s">
        <v>180</v>
      </c>
      <c r="M13" s="21" t="s">
        <v>545</v>
      </c>
    </row>
    <row r="14" spans="1:13" ht="30" customHeight="1" x14ac:dyDescent="0.3">
      <c r="A14" s="4" t="s">
        <v>458</v>
      </c>
      <c r="B14" s="4" t="s">
        <v>459</v>
      </c>
      <c r="C14" s="10">
        <f>COUNTIFS(Normalized_Tuples!$E:$E,$A14,Normalized_Tuples!$F:$F,$B14)</f>
        <v>1</v>
      </c>
      <c r="D14" s="4" t="s">
        <v>130</v>
      </c>
      <c r="E14" s="4" t="s">
        <v>72</v>
      </c>
      <c r="F14" s="4" t="s">
        <v>5</v>
      </c>
      <c r="G14" s="4" t="s">
        <v>351</v>
      </c>
      <c r="H14" s="21" t="s">
        <v>428</v>
      </c>
      <c r="I14" s="21" t="s">
        <v>429</v>
      </c>
      <c r="J14" s="21" t="s">
        <v>125</v>
      </c>
      <c r="K14" s="21" t="s">
        <v>460</v>
      </c>
      <c r="L14" s="21" t="s">
        <v>461</v>
      </c>
      <c r="M14" s="21" t="s">
        <v>462</v>
      </c>
    </row>
    <row r="15" spans="1:13" ht="30" customHeight="1" x14ac:dyDescent="0.3">
      <c r="A15" s="4" t="s">
        <v>458</v>
      </c>
      <c r="B15" s="4" t="s">
        <v>463</v>
      </c>
      <c r="C15" s="10">
        <f>COUNTIFS(Normalized_Tuples!$E:$E,$A15,Normalized_Tuples!$F:$F,$B15)</f>
        <v>1</v>
      </c>
      <c r="D15" s="4" t="s">
        <v>130</v>
      </c>
      <c r="E15" s="4" t="s">
        <v>72</v>
      </c>
      <c r="F15" s="4" t="s">
        <v>5</v>
      </c>
      <c r="G15" s="4" t="s">
        <v>351</v>
      </c>
      <c r="H15" s="21" t="s">
        <v>428</v>
      </c>
      <c r="I15" s="21" t="s">
        <v>429</v>
      </c>
      <c r="J15" s="21" t="s">
        <v>125</v>
      </c>
      <c r="K15" s="21" t="s">
        <v>460</v>
      </c>
      <c r="L15" s="21" t="s">
        <v>461</v>
      </c>
      <c r="M15" s="21" t="s">
        <v>462</v>
      </c>
    </row>
    <row r="16" spans="1:13" ht="30" customHeight="1" x14ac:dyDescent="0.3">
      <c r="A16" s="4" t="s">
        <v>458</v>
      </c>
      <c r="B16" s="4" t="s">
        <v>363</v>
      </c>
      <c r="C16" s="10">
        <f>COUNTIFS(Normalized_Tuples!$E:$E,$A16,Normalized_Tuples!$F:$F,$B16)</f>
        <v>1</v>
      </c>
      <c r="D16" s="4" t="s">
        <v>130</v>
      </c>
      <c r="E16" s="4" t="s">
        <v>72</v>
      </c>
      <c r="F16" s="4" t="s">
        <v>5</v>
      </c>
      <c r="G16" s="4" t="s">
        <v>351</v>
      </c>
      <c r="H16" s="21" t="s">
        <v>428</v>
      </c>
      <c r="I16" s="21" t="s">
        <v>429</v>
      </c>
      <c r="J16" s="21" t="s">
        <v>125</v>
      </c>
      <c r="K16" s="21" t="s">
        <v>460</v>
      </c>
      <c r="L16" s="21" t="s">
        <v>461</v>
      </c>
      <c r="M16" s="21" t="s">
        <v>462</v>
      </c>
    </row>
    <row r="17" spans="1:13" ht="30" customHeight="1" x14ac:dyDescent="0.3">
      <c r="A17" s="4" t="s">
        <v>166</v>
      </c>
      <c r="B17" s="4" t="s">
        <v>363</v>
      </c>
      <c r="C17" s="10">
        <f>COUNTIFS(Normalized_Tuples!$E:$E,$A17,Normalized_Tuples!$F:$F,$B17)</f>
        <v>1</v>
      </c>
      <c r="D17" s="4" t="s">
        <v>165</v>
      </c>
      <c r="E17" s="4" t="s">
        <v>164</v>
      </c>
      <c r="F17" s="4" t="s">
        <v>10</v>
      </c>
      <c r="G17" s="4" t="s">
        <v>359</v>
      </c>
      <c r="H17" s="21" t="s">
        <v>168</v>
      </c>
      <c r="I17" s="21" t="s">
        <v>169</v>
      </c>
      <c r="J17" s="21" t="s">
        <v>78</v>
      </c>
      <c r="K17" s="21" t="s">
        <v>170</v>
      </c>
      <c r="L17" s="21" t="s">
        <v>171</v>
      </c>
      <c r="M17" s="21" t="s">
        <v>172</v>
      </c>
    </row>
    <row r="18" spans="1:13" ht="30" customHeight="1" x14ac:dyDescent="0.3">
      <c r="A18" s="4" t="s">
        <v>166</v>
      </c>
      <c r="B18" s="4" t="s">
        <v>364</v>
      </c>
      <c r="C18" s="10">
        <f>COUNTIFS(Normalized_Tuples!$E:$E,$A18,Normalized_Tuples!$F:$F,$B18)</f>
        <v>1</v>
      </c>
      <c r="D18" s="4" t="s">
        <v>165</v>
      </c>
      <c r="E18" s="4" t="s">
        <v>164</v>
      </c>
      <c r="F18" s="4" t="s">
        <v>10</v>
      </c>
      <c r="G18" s="4" t="s">
        <v>359</v>
      </c>
      <c r="H18" s="21" t="s">
        <v>168</v>
      </c>
      <c r="I18" s="21" t="s">
        <v>169</v>
      </c>
      <c r="J18" s="21" t="s">
        <v>78</v>
      </c>
      <c r="K18" s="21" t="s">
        <v>170</v>
      </c>
      <c r="L18" s="21" t="s">
        <v>171</v>
      </c>
      <c r="M18" s="21" t="s">
        <v>172</v>
      </c>
    </row>
    <row r="19" spans="1:13" ht="30" customHeight="1" x14ac:dyDescent="0.3">
      <c r="A19" s="4" t="s">
        <v>499</v>
      </c>
      <c r="B19" s="4" t="s">
        <v>20</v>
      </c>
      <c r="C19" s="10">
        <f>COUNTIFS(Normalized_Tuples!$E:$E,$A19,Normalized_Tuples!$F:$F,$B19)</f>
        <v>1</v>
      </c>
      <c r="D19" s="4" t="s">
        <v>192</v>
      </c>
      <c r="E19" s="4" t="s">
        <v>164</v>
      </c>
      <c r="F19" s="4" t="s">
        <v>5</v>
      </c>
      <c r="G19" s="4" t="s">
        <v>331</v>
      </c>
      <c r="H19" s="21" t="s">
        <v>428</v>
      </c>
      <c r="I19" s="21" t="s">
        <v>429</v>
      </c>
      <c r="J19" s="21" t="s">
        <v>125</v>
      </c>
      <c r="K19" s="21" t="s">
        <v>500</v>
      </c>
      <c r="L19" s="21" t="s">
        <v>501</v>
      </c>
      <c r="M19" s="21" t="s">
        <v>502</v>
      </c>
    </row>
    <row r="20" spans="1:13" ht="30" customHeight="1" x14ac:dyDescent="0.3">
      <c r="A20" s="4" t="s">
        <v>15</v>
      </c>
      <c r="B20" s="4" t="s">
        <v>480</v>
      </c>
      <c r="C20" s="10">
        <f>COUNTIFS(Normalized_Tuples!$E:$E,$A20,Normalized_Tuples!$F:$F,$B20)</f>
        <v>1</v>
      </c>
      <c r="D20" s="4" t="s">
        <v>315</v>
      </c>
      <c r="E20" s="4" t="s">
        <v>288</v>
      </c>
      <c r="F20" s="4" t="s">
        <v>5</v>
      </c>
      <c r="G20" s="4" t="s">
        <v>359</v>
      </c>
      <c r="H20" s="21" t="s">
        <v>317</v>
      </c>
      <c r="I20" s="21" t="s">
        <v>318</v>
      </c>
      <c r="J20" s="21" t="s">
        <v>78</v>
      </c>
      <c r="K20" s="21" t="s">
        <v>319</v>
      </c>
      <c r="L20" s="21" t="s">
        <v>320</v>
      </c>
      <c r="M20" s="21" t="s">
        <v>321</v>
      </c>
    </row>
    <row r="21" spans="1:13" ht="30" customHeight="1" x14ac:dyDescent="0.3">
      <c r="A21" s="4" t="s">
        <v>15</v>
      </c>
      <c r="B21" s="4" t="s">
        <v>481</v>
      </c>
      <c r="C21" s="10">
        <f>COUNTIFS(Normalized_Tuples!$E:$E,$A21,Normalized_Tuples!$F:$F,$B21)</f>
        <v>1</v>
      </c>
      <c r="D21" s="4" t="s">
        <v>315</v>
      </c>
      <c r="E21" s="4" t="s">
        <v>288</v>
      </c>
      <c r="F21" s="4" t="s">
        <v>5</v>
      </c>
      <c r="G21" s="4" t="s">
        <v>359</v>
      </c>
      <c r="H21" s="21" t="s">
        <v>317</v>
      </c>
      <c r="I21" s="21" t="s">
        <v>318</v>
      </c>
      <c r="J21" s="21" t="s">
        <v>78</v>
      </c>
      <c r="K21" s="21" t="s">
        <v>319</v>
      </c>
      <c r="L21" s="21" t="s">
        <v>320</v>
      </c>
      <c r="M21" s="21" t="s">
        <v>321</v>
      </c>
    </row>
    <row r="22" spans="1:13" ht="30" customHeight="1" x14ac:dyDescent="0.3">
      <c r="A22" s="4" t="s">
        <v>15</v>
      </c>
      <c r="B22" s="4" t="s">
        <v>482</v>
      </c>
      <c r="C22" s="10">
        <f>COUNTIFS(Normalized_Tuples!$E:$E,$A22,Normalized_Tuples!$F:$F,$B22)</f>
        <v>1</v>
      </c>
      <c r="D22" s="4" t="s">
        <v>315</v>
      </c>
      <c r="E22" s="4" t="s">
        <v>288</v>
      </c>
      <c r="F22" s="4" t="s">
        <v>5</v>
      </c>
      <c r="G22" s="4" t="s">
        <v>359</v>
      </c>
      <c r="H22" s="21" t="s">
        <v>317</v>
      </c>
      <c r="I22" s="21" t="s">
        <v>318</v>
      </c>
      <c r="J22" s="21" t="s">
        <v>78</v>
      </c>
      <c r="K22" s="21" t="s">
        <v>319</v>
      </c>
      <c r="L22" s="21" t="s">
        <v>320</v>
      </c>
      <c r="M22" s="21" t="s">
        <v>321</v>
      </c>
    </row>
    <row r="23" spans="1:13" ht="30" customHeight="1" x14ac:dyDescent="0.3">
      <c r="A23" s="4" t="s">
        <v>19</v>
      </c>
      <c r="B23" s="4" t="s">
        <v>507</v>
      </c>
      <c r="C23" s="10">
        <f>COUNTIFS(Normalized_Tuples!$E:$E,$A23,Normalized_Tuples!$F:$F,$B23)</f>
        <v>1</v>
      </c>
      <c r="D23" s="4" t="s">
        <v>254</v>
      </c>
      <c r="E23" s="4" t="s">
        <v>200</v>
      </c>
      <c r="F23" s="4" t="s">
        <v>5</v>
      </c>
      <c r="G23" s="4" t="s">
        <v>351</v>
      </c>
      <c r="H23" s="21" t="s">
        <v>428</v>
      </c>
      <c r="I23" s="21" t="s">
        <v>429</v>
      </c>
      <c r="J23" s="21" t="s">
        <v>78</v>
      </c>
      <c r="K23" s="21" t="s">
        <v>503</v>
      </c>
      <c r="L23" s="21" t="s">
        <v>197</v>
      </c>
      <c r="M23" s="21" t="s">
        <v>504</v>
      </c>
    </row>
    <row r="24" spans="1:13" ht="30" customHeight="1" x14ac:dyDescent="0.3">
      <c r="A24" s="4" t="s">
        <v>22</v>
      </c>
      <c r="B24" s="4" t="s">
        <v>507</v>
      </c>
      <c r="C24" s="10">
        <f>COUNTIFS(Normalized_Tuples!$E:$E,$A24,Normalized_Tuples!$F:$F,$B24)</f>
        <v>1</v>
      </c>
      <c r="D24" s="4" t="s">
        <v>254</v>
      </c>
      <c r="E24" s="4" t="s">
        <v>200</v>
      </c>
      <c r="F24" s="4" t="s">
        <v>5</v>
      </c>
      <c r="G24" s="4" t="s">
        <v>351</v>
      </c>
      <c r="H24" s="21" t="s">
        <v>433</v>
      </c>
      <c r="I24" s="21" t="s">
        <v>434</v>
      </c>
      <c r="J24" s="21" t="s">
        <v>78</v>
      </c>
      <c r="K24" s="21" t="s">
        <v>505</v>
      </c>
      <c r="L24" s="21" t="s">
        <v>197</v>
      </c>
      <c r="M24" s="21" t="s">
        <v>506</v>
      </c>
    </row>
    <row r="25" spans="1:13" ht="30" customHeight="1" x14ac:dyDescent="0.3">
      <c r="A25" s="4" t="s">
        <v>330</v>
      </c>
      <c r="B25" s="4" t="s">
        <v>27</v>
      </c>
      <c r="C25" s="10">
        <f>COUNTIFS(Normalized_Tuples!$E:$E,$A25,Normalized_Tuples!$F:$F,$B25)</f>
        <v>1</v>
      </c>
      <c r="D25" s="4" t="s">
        <v>124</v>
      </c>
      <c r="E25" s="4" t="s">
        <v>200</v>
      </c>
      <c r="F25" s="4" t="s">
        <v>5</v>
      </c>
      <c r="G25" s="4" t="s">
        <v>331</v>
      </c>
      <c r="H25" s="21" t="s">
        <v>546</v>
      </c>
      <c r="I25" s="21" t="s">
        <v>547</v>
      </c>
      <c r="J25" s="21" t="s">
        <v>152</v>
      </c>
      <c r="K25" s="21" t="s">
        <v>334</v>
      </c>
      <c r="L25" s="21" t="s">
        <v>335</v>
      </c>
      <c r="M25" s="21" t="s">
        <v>336</v>
      </c>
    </row>
    <row r="26" spans="1:13" ht="30" customHeight="1" x14ac:dyDescent="0.3">
      <c r="A26" s="4" t="s">
        <v>24</v>
      </c>
      <c r="B26" s="4" t="s">
        <v>496</v>
      </c>
      <c r="C26" s="10">
        <f>COUNTIFS(Normalized_Tuples!$E:$E,$A26,Normalized_Tuples!$F:$F,$B26)</f>
        <v>1</v>
      </c>
      <c r="D26" s="4" t="s">
        <v>247</v>
      </c>
      <c r="E26" s="4" t="s">
        <v>200</v>
      </c>
      <c r="F26" s="4" t="s">
        <v>5</v>
      </c>
      <c r="G26" s="4" t="s">
        <v>359</v>
      </c>
      <c r="H26" s="21" t="s">
        <v>249</v>
      </c>
      <c r="I26" s="21" t="s">
        <v>250</v>
      </c>
      <c r="J26" s="21" t="s">
        <v>152</v>
      </c>
      <c r="K26" s="21" t="s">
        <v>251</v>
      </c>
      <c r="L26" s="21" t="s">
        <v>161</v>
      </c>
      <c r="M26" s="21" t="s">
        <v>252</v>
      </c>
    </row>
    <row r="27" spans="1:13" ht="30" customHeight="1" x14ac:dyDescent="0.3">
      <c r="A27" s="4" t="s">
        <v>112</v>
      </c>
      <c r="B27" s="4" t="s">
        <v>425</v>
      </c>
      <c r="C27" s="10">
        <f>COUNTIFS(Normalized_Tuples!$E:$E,$A27,Normalized_Tuples!$F:$F,$B27)</f>
        <v>1</v>
      </c>
      <c r="D27" s="4" t="s">
        <v>111</v>
      </c>
      <c r="E27" s="4" t="s">
        <v>72</v>
      </c>
      <c r="F27" s="4" t="s">
        <v>5</v>
      </c>
      <c r="G27" s="4" t="s">
        <v>359</v>
      </c>
      <c r="H27" s="21" t="s">
        <v>114</v>
      </c>
      <c r="I27" s="21" t="s">
        <v>115</v>
      </c>
      <c r="J27" s="21" t="s">
        <v>78</v>
      </c>
      <c r="K27" s="21" t="s">
        <v>116</v>
      </c>
      <c r="L27" s="21" t="s">
        <v>117</v>
      </c>
      <c r="M27" s="21" t="s">
        <v>118</v>
      </c>
    </row>
    <row r="28" spans="1:13" ht="30" customHeight="1" x14ac:dyDescent="0.3">
      <c r="A28" s="4" t="s">
        <v>112</v>
      </c>
      <c r="B28" s="4" t="s">
        <v>426</v>
      </c>
      <c r="C28" s="10">
        <f>COUNTIFS(Normalized_Tuples!$E:$E,$A28,Normalized_Tuples!$F:$F,$B28)</f>
        <v>1</v>
      </c>
      <c r="D28" s="4" t="s">
        <v>111</v>
      </c>
      <c r="E28" s="4" t="s">
        <v>72</v>
      </c>
      <c r="F28" s="4" t="s">
        <v>5</v>
      </c>
      <c r="G28" s="4" t="s">
        <v>359</v>
      </c>
      <c r="H28" s="21" t="s">
        <v>114</v>
      </c>
      <c r="I28" s="21" t="s">
        <v>115</v>
      </c>
      <c r="J28" s="21" t="s">
        <v>78</v>
      </c>
      <c r="K28" s="21" t="s">
        <v>116</v>
      </c>
      <c r="L28" s="21" t="s">
        <v>117</v>
      </c>
      <c r="M28" s="21" t="s">
        <v>118</v>
      </c>
    </row>
    <row r="29" spans="1:13" ht="30" customHeight="1" x14ac:dyDescent="0.3">
      <c r="A29" s="4" t="s">
        <v>483</v>
      </c>
      <c r="B29" s="4" t="s">
        <v>149</v>
      </c>
      <c r="C29" s="10">
        <f>COUNTIFS(Normalized_Tuples!$E:$E,$A29,Normalized_Tuples!$F:$F,$B29)</f>
        <v>1</v>
      </c>
      <c r="D29" s="4" t="s">
        <v>147</v>
      </c>
      <c r="E29" s="4" t="s">
        <v>72</v>
      </c>
      <c r="F29" s="4" t="s">
        <v>5</v>
      </c>
      <c r="G29" s="4" t="s">
        <v>331</v>
      </c>
      <c r="H29" s="21" t="s">
        <v>548</v>
      </c>
      <c r="I29" s="21" t="s">
        <v>549</v>
      </c>
      <c r="J29" s="21" t="s">
        <v>152</v>
      </c>
      <c r="K29" s="21" t="s">
        <v>486</v>
      </c>
      <c r="L29" s="21" t="s">
        <v>487</v>
      </c>
      <c r="M29" s="21" t="s">
        <v>488</v>
      </c>
    </row>
    <row r="30" spans="1:13" ht="30" customHeight="1" x14ac:dyDescent="0.3">
      <c r="A30" s="4" t="s">
        <v>308</v>
      </c>
      <c r="B30" s="4" t="s">
        <v>27</v>
      </c>
      <c r="C30" s="10">
        <f>COUNTIFS(Normalized_Tuples!$E:$E,$A30,Normalized_Tuples!$F:$F,$B30)</f>
        <v>1</v>
      </c>
      <c r="D30" s="4" t="s">
        <v>124</v>
      </c>
      <c r="E30" s="4" t="s">
        <v>200</v>
      </c>
      <c r="F30" s="4" t="s">
        <v>5</v>
      </c>
      <c r="G30" s="4" t="s">
        <v>331</v>
      </c>
      <c r="H30" s="21" t="s">
        <v>310</v>
      </c>
      <c r="I30" s="21" t="s">
        <v>311</v>
      </c>
      <c r="J30" s="21" t="s">
        <v>78</v>
      </c>
      <c r="K30" s="21" t="s">
        <v>312</v>
      </c>
      <c r="L30" s="21" t="s">
        <v>293</v>
      </c>
      <c r="M30" s="21" t="s">
        <v>313</v>
      </c>
    </row>
    <row r="31" spans="1:13" ht="30" customHeight="1" x14ac:dyDescent="0.3">
      <c r="A31" s="4" t="s">
        <v>308</v>
      </c>
      <c r="B31" s="4" t="s">
        <v>309</v>
      </c>
      <c r="C31" s="10">
        <f>COUNTIFS(Normalized_Tuples!$E:$E,$A31,Normalized_Tuples!$F:$F,$B31)</f>
        <v>1</v>
      </c>
      <c r="D31" s="4" t="s">
        <v>307</v>
      </c>
      <c r="E31" s="4" t="s">
        <v>288</v>
      </c>
      <c r="F31" s="4" t="s">
        <v>5</v>
      </c>
      <c r="G31" s="4" t="s">
        <v>342</v>
      </c>
      <c r="H31" s="21" t="s">
        <v>310</v>
      </c>
      <c r="I31" s="21" t="s">
        <v>311</v>
      </c>
      <c r="J31" s="21" t="s">
        <v>78</v>
      </c>
      <c r="K31" s="21" t="s">
        <v>312</v>
      </c>
      <c r="L31" s="21" t="s">
        <v>293</v>
      </c>
      <c r="M31" s="21" t="s">
        <v>313</v>
      </c>
    </row>
    <row r="32" spans="1:13" ht="30" customHeight="1" x14ac:dyDescent="0.3">
      <c r="A32" s="4" t="s">
        <v>29</v>
      </c>
      <c r="B32" s="4" t="s">
        <v>27</v>
      </c>
      <c r="C32" s="10">
        <f>COUNTIFS(Normalized_Tuples!$E:$E,$A32,Normalized_Tuples!$F:$F,$B32)</f>
        <v>1</v>
      </c>
      <c r="D32" s="4" t="s">
        <v>124</v>
      </c>
      <c r="E32" s="4" t="s">
        <v>200</v>
      </c>
      <c r="F32" s="4" t="s">
        <v>5</v>
      </c>
      <c r="G32" s="4" t="s">
        <v>331</v>
      </c>
      <c r="H32" s="21" t="s">
        <v>550</v>
      </c>
      <c r="I32" s="21" t="s">
        <v>551</v>
      </c>
      <c r="J32" s="21" t="s">
        <v>152</v>
      </c>
      <c r="K32" s="21" t="s">
        <v>339</v>
      </c>
      <c r="L32" s="21" t="s">
        <v>340</v>
      </c>
      <c r="M32" s="21" t="s">
        <v>341</v>
      </c>
    </row>
    <row r="33" spans="1:13" ht="30" customHeight="1" x14ac:dyDescent="0.3">
      <c r="A33" s="4" t="s">
        <v>29</v>
      </c>
      <c r="B33" s="4" t="s">
        <v>149</v>
      </c>
      <c r="C33" s="10">
        <f>COUNTIFS(Normalized_Tuples!$E:$E,$A33,Normalized_Tuples!$F:$F,$B33)</f>
        <v>1</v>
      </c>
      <c r="D33" s="4" t="s">
        <v>147</v>
      </c>
      <c r="E33" s="4" t="s">
        <v>72</v>
      </c>
      <c r="F33" s="4" t="s">
        <v>5</v>
      </c>
      <c r="G33" s="4" t="s">
        <v>331</v>
      </c>
      <c r="H33" s="21" t="s">
        <v>552</v>
      </c>
      <c r="I33" s="21" t="s">
        <v>553</v>
      </c>
      <c r="J33" s="21" t="s">
        <v>152</v>
      </c>
      <c r="K33" s="21" t="s">
        <v>491</v>
      </c>
      <c r="L33" s="21" t="s">
        <v>492</v>
      </c>
      <c r="M33" s="21" t="s">
        <v>493</v>
      </c>
    </row>
    <row r="34" spans="1:13" ht="30" customHeight="1" x14ac:dyDescent="0.3">
      <c r="A34" s="4" t="s">
        <v>388</v>
      </c>
      <c r="B34" s="4" t="s">
        <v>389</v>
      </c>
      <c r="C34" s="10">
        <f>COUNTIFS(Normalized_Tuples!$E:$E,$A34,Normalized_Tuples!$F:$F,$B34)</f>
        <v>1</v>
      </c>
      <c r="D34" s="4" t="s">
        <v>227</v>
      </c>
      <c r="E34" s="4" t="s">
        <v>200</v>
      </c>
      <c r="F34" s="4" t="s">
        <v>5</v>
      </c>
      <c r="G34" s="4" t="s">
        <v>351</v>
      </c>
      <c r="H34" s="21" t="s">
        <v>390</v>
      </c>
      <c r="I34" s="21" t="s">
        <v>391</v>
      </c>
      <c r="J34" s="21" t="s">
        <v>125</v>
      </c>
      <c r="K34" s="21" t="s">
        <v>392</v>
      </c>
      <c r="L34" s="21" t="s">
        <v>233</v>
      </c>
      <c r="M34" s="21" t="s">
        <v>393</v>
      </c>
    </row>
    <row r="35" spans="1:13" ht="30" customHeight="1" x14ac:dyDescent="0.3">
      <c r="A35" s="4" t="s">
        <v>388</v>
      </c>
      <c r="B35" s="4" t="s">
        <v>394</v>
      </c>
      <c r="C35" s="10">
        <f>COUNTIFS(Normalized_Tuples!$E:$E,$A35,Normalized_Tuples!$F:$F,$B35)</f>
        <v>1</v>
      </c>
      <c r="D35" s="4" t="s">
        <v>227</v>
      </c>
      <c r="E35" s="4" t="s">
        <v>200</v>
      </c>
      <c r="F35" s="4" t="s">
        <v>5</v>
      </c>
      <c r="G35" s="4" t="s">
        <v>351</v>
      </c>
      <c r="H35" s="21" t="s">
        <v>390</v>
      </c>
      <c r="I35" s="21" t="s">
        <v>391</v>
      </c>
      <c r="J35" s="21" t="s">
        <v>125</v>
      </c>
      <c r="K35" s="21" t="s">
        <v>392</v>
      </c>
      <c r="L35" s="21" t="s">
        <v>233</v>
      </c>
      <c r="M35" s="21" t="s">
        <v>393</v>
      </c>
    </row>
    <row r="36" spans="1:13" ht="30" customHeight="1" x14ac:dyDescent="0.3">
      <c r="A36" s="4" t="s">
        <v>388</v>
      </c>
      <c r="B36" s="4" t="s">
        <v>176</v>
      </c>
      <c r="C36" s="10">
        <f>COUNTIFS(Normalized_Tuples!$E:$E,$A36,Normalized_Tuples!$F:$F,$B36)</f>
        <v>1</v>
      </c>
      <c r="D36" s="4" t="s">
        <v>227</v>
      </c>
      <c r="E36" s="4" t="s">
        <v>200</v>
      </c>
      <c r="F36" s="4" t="s">
        <v>5</v>
      </c>
      <c r="G36" s="4" t="s">
        <v>351</v>
      </c>
      <c r="H36" s="21" t="s">
        <v>390</v>
      </c>
      <c r="I36" s="21" t="s">
        <v>391</v>
      </c>
      <c r="J36" s="21" t="s">
        <v>125</v>
      </c>
      <c r="K36" s="21" t="s">
        <v>392</v>
      </c>
      <c r="L36" s="21" t="s">
        <v>233</v>
      </c>
      <c r="M36" s="21" t="s">
        <v>393</v>
      </c>
    </row>
    <row r="37" spans="1:13" ht="30" customHeight="1" x14ac:dyDescent="0.3">
      <c r="A37" s="4" t="s">
        <v>388</v>
      </c>
      <c r="B37" s="4" t="s">
        <v>395</v>
      </c>
      <c r="C37" s="10">
        <f>COUNTIFS(Normalized_Tuples!$E:$E,$A37,Normalized_Tuples!$F:$F,$B37)</f>
        <v>1</v>
      </c>
      <c r="D37" s="4" t="s">
        <v>227</v>
      </c>
      <c r="E37" s="4" t="s">
        <v>200</v>
      </c>
      <c r="F37" s="4" t="s">
        <v>5</v>
      </c>
      <c r="G37" s="4" t="s">
        <v>351</v>
      </c>
      <c r="H37" s="21" t="s">
        <v>390</v>
      </c>
      <c r="I37" s="21" t="s">
        <v>391</v>
      </c>
      <c r="J37" s="21" t="s">
        <v>125</v>
      </c>
      <c r="K37" s="21" t="s">
        <v>392</v>
      </c>
      <c r="L37" s="21" t="s">
        <v>233</v>
      </c>
      <c r="M37" s="21" t="s">
        <v>393</v>
      </c>
    </row>
    <row r="38" spans="1:13" ht="30" customHeight="1" x14ac:dyDescent="0.3">
      <c r="A38" s="4" t="s">
        <v>388</v>
      </c>
      <c r="B38" s="4" t="s">
        <v>396</v>
      </c>
      <c r="C38" s="10">
        <f>COUNTIFS(Normalized_Tuples!$E:$E,$A38,Normalized_Tuples!$F:$F,$B38)</f>
        <v>1</v>
      </c>
      <c r="D38" s="4" t="s">
        <v>227</v>
      </c>
      <c r="E38" s="4" t="s">
        <v>200</v>
      </c>
      <c r="F38" s="4" t="s">
        <v>5</v>
      </c>
      <c r="G38" s="4" t="s">
        <v>351</v>
      </c>
      <c r="H38" s="21" t="s">
        <v>390</v>
      </c>
      <c r="I38" s="21" t="s">
        <v>391</v>
      </c>
      <c r="J38" s="21" t="s">
        <v>125</v>
      </c>
      <c r="K38" s="21" t="s">
        <v>392</v>
      </c>
      <c r="L38" s="21" t="s">
        <v>233</v>
      </c>
      <c r="M38" s="21" t="s">
        <v>393</v>
      </c>
    </row>
    <row r="39" spans="1:13" ht="30" customHeight="1" x14ac:dyDescent="0.3">
      <c r="A39" s="4" t="s">
        <v>31</v>
      </c>
      <c r="B39" s="4" t="s">
        <v>459</v>
      </c>
      <c r="C39" s="10">
        <f>COUNTIFS(Normalized_Tuples!$E:$E,$A39,Normalized_Tuples!$F:$F,$B39)</f>
        <v>1</v>
      </c>
      <c r="D39" s="4" t="s">
        <v>130</v>
      </c>
      <c r="E39" s="4" t="s">
        <v>72</v>
      </c>
      <c r="F39" s="4" t="s">
        <v>5</v>
      </c>
      <c r="G39" s="4" t="s">
        <v>351</v>
      </c>
      <c r="H39" s="21" t="s">
        <v>554</v>
      </c>
      <c r="I39" s="21" t="s">
        <v>555</v>
      </c>
      <c r="J39" s="21" t="s">
        <v>222</v>
      </c>
      <c r="K39" s="21" t="s">
        <v>466</v>
      </c>
      <c r="L39" s="21" t="s">
        <v>137</v>
      </c>
      <c r="M39" s="21" t="s">
        <v>467</v>
      </c>
    </row>
    <row r="40" spans="1:13" ht="30" customHeight="1" x14ac:dyDescent="0.3">
      <c r="A40" s="4" t="s">
        <v>31</v>
      </c>
      <c r="B40" s="4" t="s">
        <v>463</v>
      </c>
      <c r="C40" s="10">
        <f>COUNTIFS(Normalized_Tuples!$E:$E,$A40,Normalized_Tuples!$F:$F,$B40)</f>
        <v>1</v>
      </c>
      <c r="D40" s="4" t="s">
        <v>130</v>
      </c>
      <c r="E40" s="4" t="s">
        <v>72</v>
      </c>
      <c r="F40" s="4" t="s">
        <v>5</v>
      </c>
      <c r="G40" s="4" t="s">
        <v>351</v>
      </c>
      <c r="H40" s="21" t="s">
        <v>554</v>
      </c>
      <c r="I40" s="21" t="s">
        <v>555</v>
      </c>
      <c r="J40" s="21" t="s">
        <v>222</v>
      </c>
      <c r="K40" s="21" t="s">
        <v>466</v>
      </c>
      <c r="L40" s="21" t="s">
        <v>137</v>
      </c>
      <c r="M40" s="21" t="s">
        <v>467</v>
      </c>
    </row>
    <row r="41" spans="1:13" ht="96.6" x14ac:dyDescent="0.3">
      <c r="A41" s="4" t="s">
        <v>31</v>
      </c>
      <c r="B41" s="4" t="s">
        <v>363</v>
      </c>
      <c r="C41" s="10">
        <f>COUNTIFS(Normalized_Tuples!$E:$E,$A41,Normalized_Tuples!$F:$F,$B41)</f>
        <v>1</v>
      </c>
      <c r="D41" s="4" t="s">
        <v>130</v>
      </c>
      <c r="E41" s="4" t="s">
        <v>72</v>
      </c>
      <c r="F41" s="4" t="s">
        <v>5</v>
      </c>
      <c r="G41" s="4" t="s">
        <v>351</v>
      </c>
      <c r="H41" s="21" t="s">
        <v>554</v>
      </c>
      <c r="I41" s="21" t="s">
        <v>555</v>
      </c>
      <c r="J41" s="21" t="s">
        <v>222</v>
      </c>
      <c r="K41" s="21" t="s">
        <v>466</v>
      </c>
      <c r="L41" s="21" t="s">
        <v>137</v>
      </c>
      <c r="M41" s="21" t="s">
        <v>467</v>
      </c>
    </row>
    <row r="42" spans="1:13" ht="69" x14ac:dyDescent="0.3">
      <c r="A42" s="4" t="s">
        <v>31</v>
      </c>
      <c r="B42" s="4" t="s">
        <v>416</v>
      </c>
      <c r="C42" s="10">
        <f>COUNTIFS(Normalized_Tuples!$E:$E,$A42,Normalized_Tuples!$F:$F,$B42)</f>
        <v>1</v>
      </c>
      <c r="D42" s="4" t="s">
        <v>102</v>
      </c>
      <c r="E42" s="4" t="s">
        <v>72</v>
      </c>
      <c r="F42" s="4" t="s">
        <v>5</v>
      </c>
      <c r="G42" s="4" t="s">
        <v>351</v>
      </c>
      <c r="H42" s="21" t="s">
        <v>105</v>
      </c>
      <c r="I42" s="21" t="s">
        <v>106</v>
      </c>
      <c r="J42" s="21" t="s">
        <v>78</v>
      </c>
      <c r="K42" s="21" t="s">
        <v>414</v>
      </c>
      <c r="L42" s="21" t="s">
        <v>108</v>
      </c>
      <c r="M42" s="21" t="s">
        <v>415</v>
      </c>
    </row>
    <row r="43" spans="1:13" ht="69" x14ac:dyDescent="0.3">
      <c r="A43" s="4" t="s">
        <v>31</v>
      </c>
      <c r="B43" s="4" t="s">
        <v>417</v>
      </c>
      <c r="C43" s="10">
        <f>COUNTIFS(Normalized_Tuples!$E:$E,$A43,Normalized_Tuples!$F:$F,$B43)</f>
        <v>1</v>
      </c>
      <c r="D43" s="4" t="s">
        <v>102</v>
      </c>
      <c r="E43" s="4" t="s">
        <v>72</v>
      </c>
      <c r="F43" s="4" t="s">
        <v>5</v>
      </c>
      <c r="G43" s="4" t="s">
        <v>351</v>
      </c>
      <c r="H43" s="21" t="s">
        <v>105</v>
      </c>
      <c r="I43" s="21" t="s">
        <v>106</v>
      </c>
      <c r="J43" s="21" t="s">
        <v>78</v>
      </c>
      <c r="K43" s="21" t="s">
        <v>414</v>
      </c>
      <c r="L43" s="21" t="s">
        <v>108</v>
      </c>
      <c r="M43" s="21" t="s">
        <v>415</v>
      </c>
    </row>
    <row r="44" spans="1:13" ht="69" x14ac:dyDescent="0.3">
      <c r="A44" s="4" t="s">
        <v>31</v>
      </c>
      <c r="B44" s="4" t="s">
        <v>418</v>
      </c>
      <c r="C44" s="10">
        <f>COUNTIFS(Normalized_Tuples!$E:$E,$A44,Normalized_Tuples!$F:$F,$B44)</f>
        <v>1</v>
      </c>
      <c r="D44" s="4" t="s">
        <v>102</v>
      </c>
      <c r="E44" s="4" t="s">
        <v>72</v>
      </c>
      <c r="F44" s="4" t="s">
        <v>5</v>
      </c>
      <c r="G44" s="4" t="s">
        <v>351</v>
      </c>
      <c r="H44" s="21" t="s">
        <v>105</v>
      </c>
      <c r="I44" s="21" t="s">
        <v>106</v>
      </c>
      <c r="J44" s="21" t="s">
        <v>78</v>
      </c>
      <c r="K44" s="21" t="s">
        <v>414</v>
      </c>
      <c r="L44" s="21" t="s">
        <v>108</v>
      </c>
      <c r="M44" s="21" t="s">
        <v>415</v>
      </c>
    </row>
    <row r="45" spans="1:13" ht="69" x14ac:dyDescent="0.3">
      <c r="A45" s="4" t="s">
        <v>31</v>
      </c>
      <c r="B45" s="4" t="s">
        <v>419</v>
      </c>
      <c r="C45" s="10">
        <f>COUNTIFS(Normalized_Tuples!$E:$E,$A45,Normalized_Tuples!$F:$F,$B45)</f>
        <v>1</v>
      </c>
      <c r="D45" s="4" t="s">
        <v>102</v>
      </c>
      <c r="E45" s="4" t="s">
        <v>72</v>
      </c>
      <c r="F45" s="4" t="s">
        <v>5</v>
      </c>
      <c r="G45" s="4" t="s">
        <v>351</v>
      </c>
      <c r="H45" s="21" t="s">
        <v>105</v>
      </c>
      <c r="I45" s="21" t="s">
        <v>106</v>
      </c>
      <c r="J45" s="21" t="s">
        <v>78</v>
      </c>
      <c r="K45" s="21" t="s">
        <v>414</v>
      </c>
      <c r="L45" s="21" t="s">
        <v>108</v>
      </c>
      <c r="M45" s="21" t="s">
        <v>415</v>
      </c>
    </row>
    <row r="46" spans="1:13" ht="69" x14ac:dyDescent="0.3">
      <c r="A46" s="4" t="s">
        <v>31</v>
      </c>
      <c r="B46" s="4" t="s">
        <v>420</v>
      </c>
      <c r="C46" s="10">
        <f>COUNTIFS(Normalized_Tuples!$E:$E,$A46,Normalized_Tuples!$F:$F,$B46)</f>
        <v>1</v>
      </c>
      <c r="D46" s="4" t="s">
        <v>102</v>
      </c>
      <c r="E46" s="4" t="s">
        <v>72</v>
      </c>
      <c r="F46" s="4" t="s">
        <v>5</v>
      </c>
      <c r="G46" s="4" t="s">
        <v>351</v>
      </c>
      <c r="H46" s="21" t="s">
        <v>105</v>
      </c>
      <c r="I46" s="21" t="s">
        <v>106</v>
      </c>
      <c r="J46" s="21" t="s">
        <v>78</v>
      </c>
      <c r="K46" s="21" t="s">
        <v>414</v>
      </c>
      <c r="L46" s="21" t="s">
        <v>108</v>
      </c>
      <c r="M46" s="21" t="s">
        <v>415</v>
      </c>
    </row>
    <row r="47" spans="1:13" ht="69" x14ac:dyDescent="0.3">
      <c r="A47" s="4" t="s">
        <v>31</v>
      </c>
      <c r="B47" s="4" t="s">
        <v>421</v>
      </c>
      <c r="C47" s="10">
        <f>COUNTIFS(Normalized_Tuples!$E:$E,$A47,Normalized_Tuples!$F:$F,$B47)</f>
        <v>1</v>
      </c>
      <c r="D47" s="4" t="s">
        <v>102</v>
      </c>
      <c r="E47" s="4" t="s">
        <v>72</v>
      </c>
      <c r="F47" s="4" t="s">
        <v>5</v>
      </c>
      <c r="G47" s="4" t="s">
        <v>351</v>
      </c>
      <c r="H47" s="21" t="s">
        <v>105</v>
      </c>
      <c r="I47" s="21" t="s">
        <v>106</v>
      </c>
      <c r="J47" s="21" t="s">
        <v>78</v>
      </c>
      <c r="K47" s="21" t="s">
        <v>414</v>
      </c>
      <c r="L47" s="21" t="s">
        <v>108</v>
      </c>
      <c r="M47" s="21" t="s">
        <v>415</v>
      </c>
    </row>
    <row r="48" spans="1:13" ht="69" x14ac:dyDescent="0.3">
      <c r="A48" s="4" t="s">
        <v>31</v>
      </c>
      <c r="B48" s="4" t="s">
        <v>422</v>
      </c>
      <c r="C48" s="10">
        <f>COUNTIFS(Normalized_Tuples!$E:$E,$A48,Normalized_Tuples!$F:$F,$B48)</f>
        <v>1</v>
      </c>
      <c r="D48" s="4" t="s">
        <v>102</v>
      </c>
      <c r="E48" s="4" t="s">
        <v>72</v>
      </c>
      <c r="F48" s="4" t="s">
        <v>5</v>
      </c>
      <c r="G48" s="4" t="s">
        <v>351</v>
      </c>
      <c r="H48" s="21" t="s">
        <v>105</v>
      </c>
      <c r="I48" s="21" t="s">
        <v>106</v>
      </c>
      <c r="J48" s="21" t="s">
        <v>78</v>
      </c>
      <c r="K48" s="21" t="s">
        <v>414</v>
      </c>
      <c r="L48" s="21" t="s">
        <v>108</v>
      </c>
      <c r="M48" s="21" t="s">
        <v>415</v>
      </c>
    </row>
    <row r="49" spans="1:13" ht="69" x14ac:dyDescent="0.3">
      <c r="A49" s="4" t="s">
        <v>31</v>
      </c>
      <c r="B49" s="4" t="s">
        <v>408</v>
      </c>
      <c r="C49" s="10">
        <f>COUNTIFS(Normalized_Tuples!$E:$E,$A49,Normalized_Tuples!$F:$F,$B49)</f>
        <v>1</v>
      </c>
      <c r="D49" s="4" t="s">
        <v>93</v>
      </c>
      <c r="E49" s="4" t="s">
        <v>72</v>
      </c>
      <c r="F49" s="4" t="s">
        <v>5</v>
      </c>
      <c r="G49" s="4" t="s">
        <v>351</v>
      </c>
      <c r="H49" s="21" t="s">
        <v>96</v>
      </c>
      <c r="I49" s="21" t="s">
        <v>97</v>
      </c>
      <c r="J49" s="21" t="s">
        <v>78</v>
      </c>
      <c r="K49" s="21" t="s">
        <v>406</v>
      </c>
      <c r="L49" s="21" t="s">
        <v>99</v>
      </c>
      <c r="M49" s="21" t="s">
        <v>407</v>
      </c>
    </row>
    <row r="50" spans="1:13" ht="69" x14ac:dyDescent="0.3">
      <c r="A50" s="4" t="s">
        <v>409</v>
      </c>
      <c r="B50" s="4" t="s">
        <v>32</v>
      </c>
      <c r="C50" s="10">
        <f>COUNTIFS(Normalized_Tuples!$E:$E,$A50,Normalized_Tuples!$F:$F,$B50)</f>
        <v>1</v>
      </c>
      <c r="D50" s="4" t="s">
        <v>93</v>
      </c>
      <c r="E50" s="4" t="s">
        <v>72</v>
      </c>
      <c r="F50" s="4" t="s">
        <v>5</v>
      </c>
      <c r="G50" s="4" t="s">
        <v>351</v>
      </c>
      <c r="H50" s="21" t="s">
        <v>96</v>
      </c>
      <c r="I50" s="21" t="s">
        <v>97</v>
      </c>
      <c r="J50" s="21" t="s">
        <v>78</v>
      </c>
      <c r="K50" s="21" t="s">
        <v>410</v>
      </c>
      <c r="L50" s="21" t="s">
        <v>99</v>
      </c>
      <c r="M50" s="21" t="s">
        <v>411</v>
      </c>
    </row>
    <row r="51" spans="1:13" ht="82.8" x14ac:dyDescent="0.3">
      <c r="A51" s="4" t="s">
        <v>409</v>
      </c>
      <c r="B51" s="4" t="s">
        <v>459</v>
      </c>
      <c r="C51" s="10">
        <f>COUNTIFS(Normalized_Tuples!$E:$E,$A51,Normalized_Tuples!$F:$F,$B51)</f>
        <v>1</v>
      </c>
      <c r="D51" s="4" t="s">
        <v>130</v>
      </c>
      <c r="E51" s="4" t="s">
        <v>72</v>
      </c>
      <c r="F51" s="4" t="s">
        <v>5</v>
      </c>
      <c r="G51" s="4" t="s">
        <v>351</v>
      </c>
      <c r="H51" s="21" t="s">
        <v>556</v>
      </c>
      <c r="I51" s="21" t="s">
        <v>557</v>
      </c>
      <c r="J51" s="21" t="s">
        <v>222</v>
      </c>
      <c r="K51" s="21" t="s">
        <v>470</v>
      </c>
      <c r="L51" s="21" t="s">
        <v>471</v>
      </c>
      <c r="M51" s="21" t="s">
        <v>472</v>
      </c>
    </row>
    <row r="52" spans="1:13" ht="82.8" x14ac:dyDescent="0.3">
      <c r="A52" s="4" t="s">
        <v>409</v>
      </c>
      <c r="B52" s="4" t="s">
        <v>463</v>
      </c>
      <c r="C52" s="10">
        <f>COUNTIFS(Normalized_Tuples!$E:$E,$A52,Normalized_Tuples!$F:$F,$B52)</f>
        <v>1</v>
      </c>
      <c r="D52" s="4" t="s">
        <v>130</v>
      </c>
      <c r="E52" s="4" t="s">
        <v>72</v>
      </c>
      <c r="F52" s="4" t="s">
        <v>5</v>
      </c>
      <c r="G52" s="4" t="s">
        <v>351</v>
      </c>
      <c r="H52" s="21" t="s">
        <v>556</v>
      </c>
      <c r="I52" s="21" t="s">
        <v>557</v>
      </c>
      <c r="J52" s="21" t="s">
        <v>222</v>
      </c>
      <c r="K52" s="21" t="s">
        <v>470</v>
      </c>
      <c r="L52" s="21" t="s">
        <v>471</v>
      </c>
      <c r="M52" s="21" t="s">
        <v>472</v>
      </c>
    </row>
    <row r="53" spans="1:13" ht="82.8" x14ac:dyDescent="0.3">
      <c r="A53" s="4" t="s">
        <v>409</v>
      </c>
      <c r="B53" s="4" t="s">
        <v>363</v>
      </c>
      <c r="C53" s="10">
        <f>COUNTIFS(Normalized_Tuples!$E:$E,$A53,Normalized_Tuples!$F:$F,$B53)</f>
        <v>1</v>
      </c>
      <c r="D53" s="4" t="s">
        <v>130</v>
      </c>
      <c r="E53" s="4" t="s">
        <v>72</v>
      </c>
      <c r="F53" s="4" t="s">
        <v>5</v>
      </c>
      <c r="G53" s="4" t="s">
        <v>351</v>
      </c>
      <c r="H53" s="21" t="s">
        <v>556</v>
      </c>
      <c r="I53" s="21" t="s">
        <v>557</v>
      </c>
      <c r="J53" s="21" t="s">
        <v>222</v>
      </c>
      <c r="K53" s="21" t="s">
        <v>470</v>
      </c>
      <c r="L53" s="21" t="s">
        <v>471</v>
      </c>
      <c r="M53" s="21" t="s">
        <v>472</v>
      </c>
    </row>
    <row r="54" spans="1:13" ht="69" x14ac:dyDescent="0.3">
      <c r="A54" s="4" t="s">
        <v>409</v>
      </c>
      <c r="B54" s="4" t="s">
        <v>408</v>
      </c>
      <c r="C54" s="10">
        <f>COUNTIFS(Normalized_Tuples!$E:$E,$A54,Normalized_Tuples!$F:$F,$B54)</f>
        <v>1</v>
      </c>
      <c r="D54" s="4" t="s">
        <v>93</v>
      </c>
      <c r="E54" s="4" t="s">
        <v>72</v>
      </c>
      <c r="F54" s="4" t="s">
        <v>5</v>
      </c>
      <c r="G54" s="4" t="s">
        <v>351</v>
      </c>
      <c r="H54" s="21" t="s">
        <v>96</v>
      </c>
      <c r="I54" s="21" t="s">
        <v>97</v>
      </c>
      <c r="J54" s="21" t="s">
        <v>78</v>
      </c>
      <c r="K54" s="21" t="s">
        <v>410</v>
      </c>
      <c r="L54" s="21" t="s">
        <v>99</v>
      </c>
      <c r="M54" s="21" t="s">
        <v>411</v>
      </c>
    </row>
    <row r="55" spans="1:13" ht="69" x14ac:dyDescent="0.3">
      <c r="A55" s="4" t="s">
        <v>33</v>
      </c>
      <c r="B55" s="4" t="s">
        <v>416</v>
      </c>
      <c r="C55" s="10">
        <f>COUNTIFS(Normalized_Tuples!$E:$E,$A55,Normalized_Tuples!$F:$F,$B55)</f>
        <v>1</v>
      </c>
      <c r="D55" s="4" t="s">
        <v>102</v>
      </c>
      <c r="E55" s="4" t="s">
        <v>72</v>
      </c>
      <c r="F55" s="4" t="s">
        <v>5</v>
      </c>
      <c r="G55" s="4" t="s">
        <v>351</v>
      </c>
      <c r="H55" s="21" t="s">
        <v>105</v>
      </c>
      <c r="I55" s="21" t="s">
        <v>106</v>
      </c>
      <c r="J55" s="21" t="s">
        <v>78</v>
      </c>
      <c r="K55" s="21" t="s">
        <v>423</v>
      </c>
      <c r="L55" s="21" t="s">
        <v>108</v>
      </c>
      <c r="M55" s="21" t="s">
        <v>424</v>
      </c>
    </row>
    <row r="56" spans="1:13" ht="69" x14ac:dyDescent="0.3">
      <c r="A56" s="4" t="s">
        <v>33</v>
      </c>
      <c r="B56" s="4" t="s">
        <v>417</v>
      </c>
      <c r="C56" s="10">
        <f>COUNTIFS(Normalized_Tuples!$E:$E,$A56,Normalized_Tuples!$F:$F,$B56)</f>
        <v>1</v>
      </c>
      <c r="D56" s="4" t="s">
        <v>102</v>
      </c>
      <c r="E56" s="4" t="s">
        <v>72</v>
      </c>
      <c r="F56" s="4" t="s">
        <v>5</v>
      </c>
      <c r="G56" s="4" t="s">
        <v>351</v>
      </c>
      <c r="H56" s="21" t="s">
        <v>105</v>
      </c>
      <c r="I56" s="21" t="s">
        <v>106</v>
      </c>
      <c r="J56" s="21" t="s">
        <v>78</v>
      </c>
      <c r="K56" s="21" t="s">
        <v>423</v>
      </c>
      <c r="L56" s="21" t="s">
        <v>108</v>
      </c>
      <c r="M56" s="21" t="s">
        <v>424</v>
      </c>
    </row>
    <row r="57" spans="1:13" ht="69" x14ac:dyDescent="0.3">
      <c r="A57" s="4" t="s">
        <v>33</v>
      </c>
      <c r="B57" s="4" t="s">
        <v>418</v>
      </c>
      <c r="C57" s="10">
        <f>COUNTIFS(Normalized_Tuples!$E:$E,$A57,Normalized_Tuples!$F:$F,$B57)</f>
        <v>1</v>
      </c>
      <c r="D57" s="4" t="s">
        <v>102</v>
      </c>
      <c r="E57" s="4" t="s">
        <v>72</v>
      </c>
      <c r="F57" s="4" t="s">
        <v>5</v>
      </c>
      <c r="G57" s="4" t="s">
        <v>351</v>
      </c>
      <c r="H57" s="21" t="s">
        <v>105</v>
      </c>
      <c r="I57" s="21" t="s">
        <v>106</v>
      </c>
      <c r="J57" s="21" t="s">
        <v>78</v>
      </c>
      <c r="K57" s="21" t="s">
        <v>423</v>
      </c>
      <c r="L57" s="21" t="s">
        <v>108</v>
      </c>
      <c r="M57" s="21" t="s">
        <v>424</v>
      </c>
    </row>
    <row r="58" spans="1:13" ht="69" x14ac:dyDescent="0.3">
      <c r="A58" s="4" t="s">
        <v>33</v>
      </c>
      <c r="B58" s="4" t="s">
        <v>419</v>
      </c>
      <c r="C58" s="10">
        <f>COUNTIFS(Normalized_Tuples!$E:$E,$A58,Normalized_Tuples!$F:$F,$B58)</f>
        <v>1</v>
      </c>
      <c r="D58" s="4" t="s">
        <v>102</v>
      </c>
      <c r="E58" s="4" t="s">
        <v>72</v>
      </c>
      <c r="F58" s="4" t="s">
        <v>5</v>
      </c>
      <c r="G58" s="4" t="s">
        <v>351</v>
      </c>
      <c r="H58" s="21" t="s">
        <v>105</v>
      </c>
      <c r="I58" s="21" t="s">
        <v>106</v>
      </c>
      <c r="J58" s="21" t="s">
        <v>78</v>
      </c>
      <c r="K58" s="21" t="s">
        <v>423</v>
      </c>
      <c r="L58" s="21" t="s">
        <v>108</v>
      </c>
      <c r="M58" s="21" t="s">
        <v>424</v>
      </c>
    </row>
    <row r="59" spans="1:13" ht="69" x14ac:dyDescent="0.3">
      <c r="A59" s="4" t="s">
        <v>33</v>
      </c>
      <c r="B59" s="4" t="s">
        <v>420</v>
      </c>
      <c r="C59" s="10">
        <f>COUNTIFS(Normalized_Tuples!$E:$E,$A59,Normalized_Tuples!$F:$F,$B59)</f>
        <v>1</v>
      </c>
      <c r="D59" s="4" t="s">
        <v>102</v>
      </c>
      <c r="E59" s="4" t="s">
        <v>72</v>
      </c>
      <c r="F59" s="4" t="s">
        <v>5</v>
      </c>
      <c r="G59" s="4" t="s">
        <v>351</v>
      </c>
      <c r="H59" s="21" t="s">
        <v>105</v>
      </c>
      <c r="I59" s="21" t="s">
        <v>106</v>
      </c>
      <c r="J59" s="21" t="s">
        <v>78</v>
      </c>
      <c r="K59" s="21" t="s">
        <v>423</v>
      </c>
      <c r="L59" s="21" t="s">
        <v>108</v>
      </c>
      <c r="M59" s="21" t="s">
        <v>424</v>
      </c>
    </row>
    <row r="60" spans="1:13" ht="69" x14ac:dyDescent="0.3">
      <c r="A60" s="4" t="s">
        <v>33</v>
      </c>
      <c r="B60" s="4" t="s">
        <v>421</v>
      </c>
      <c r="C60" s="10">
        <f>COUNTIFS(Normalized_Tuples!$E:$E,$A60,Normalized_Tuples!$F:$F,$B60)</f>
        <v>1</v>
      </c>
      <c r="D60" s="4" t="s">
        <v>102</v>
      </c>
      <c r="E60" s="4" t="s">
        <v>72</v>
      </c>
      <c r="F60" s="4" t="s">
        <v>5</v>
      </c>
      <c r="G60" s="4" t="s">
        <v>351</v>
      </c>
      <c r="H60" s="21" t="s">
        <v>105</v>
      </c>
      <c r="I60" s="21" t="s">
        <v>106</v>
      </c>
      <c r="J60" s="21" t="s">
        <v>78</v>
      </c>
      <c r="K60" s="21" t="s">
        <v>423</v>
      </c>
      <c r="L60" s="21" t="s">
        <v>108</v>
      </c>
      <c r="M60" s="21" t="s">
        <v>424</v>
      </c>
    </row>
    <row r="61" spans="1:13" ht="69" x14ac:dyDescent="0.3">
      <c r="A61" s="4" t="s">
        <v>33</v>
      </c>
      <c r="B61" s="4" t="s">
        <v>422</v>
      </c>
      <c r="C61" s="10">
        <f>COUNTIFS(Normalized_Tuples!$E:$E,$A61,Normalized_Tuples!$F:$F,$B61)</f>
        <v>1</v>
      </c>
      <c r="D61" s="4" t="s">
        <v>102</v>
      </c>
      <c r="E61" s="4" t="s">
        <v>72</v>
      </c>
      <c r="F61" s="4" t="s">
        <v>5</v>
      </c>
      <c r="G61" s="4" t="s">
        <v>351</v>
      </c>
      <c r="H61" s="21" t="s">
        <v>105</v>
      </c>
      <c r="I61" s="21" t="s">
        <v>106</v>
      </c>
      <c r="J61" s="21" t="s">
        <v>78</v>
      </c>
      <c r="K61" s="21" t="s">
        <v>423</v>
      </c>
      <c r="L61" s="21" t="s">
        <v>108</v>
      </c>
      <c r="M61" s="21" t="s">
        <v>424</v>
      </c>
    </row>
    <row r="62" spans="1:13" ht="69" x14ac:dyDescent="0.3">
      <c r="A62" s="4" t="s">
        <v>33</v>
      </c>
      <c r="B62" s="4" t="s">
        <v>408</v>
      </c>
      <c r="C62" s="10">
        <f>COUNTIFS(Normalized_Tuples!$E:$E,$A62,Normalized_Tuples!$F:$F,$B62)</f>
        <v>1</v>
      </c>
      <c r="D62" s="4" t="s">
        <v>93</v>
      </c>
      <c r="E62" s="4" t="s">
        <v>72</v>
      </c>
      <c r="F62" s="4" t="s">
        <v>5</v>
      </c>
      <c r="G62" s="4" t="s">
        <v>351</v>
      </c>
      <c r="H62" s="21" t="s">
        <v>96</v>
      </c>
      <c r="I62" s="21" t="s">
        <v>97</v>
      </c>
      <c r="J62" s="21" t="s">
        <v>125</v>
      </c>
      <c r="K62" s="21" t="s">
        <v>412</v>
      </c>
      <c r="L62" s="21" t="s">
        <v>99</v>
      </c>
      <c r="M62" s="21" t="s">
        <v>413</v>
      </c>
    </row>
    <row r="63" spans="1:13" ht="69" x14ac:dyDescent="0.3">
      <c r="A63" s="4" t="s">
        <v>141</v>
      </c>
      <c r="B63" s="4" t="s">
        <v>479</v>
      </c>
      <c r="C63" s="10">
        <f>COUNTIFS(Normalized_Tuples!$E:$E,$A63,Normalized_Tuples!$F:$F,$B63)</f>
        <v>1</v>
      </c>
      <c r="D63" s="4" t="s">
        <v>140</v>
      </c>
      <c r="E63" s="4" t="s">
        <v>72</v>
      </c>
      <c r="F63" s="4" t="s">
        <v>5</v>
      </c>
      <c r="G63" s="4" t="s">
        <v>359</v>
      </c>
      <c r="H63" s="21" t="s">
        <v>123</v>
      </c>
      <c r="I63" s="21" t="s">
        <v>124</v>
      </c>
      <c r="J63" s="21" t="s">
        <v>125</v>
      </c>
      <c r="K63" s="21" t="s">
        <v>143</v>
      </c>
      <c r="L63" s="21" t="s">
        <v>144</v>
      </c>
      <c r="M63" s="21" t="s">
        <v>145</v>
      </c>
    </row>
    <row r="64" spans="1:13" ht="69" x14ac:dyDescent="0.3">
      <c r="A64" s="4" t="s">
        <v>141</v>
      </c>
      <c r="B64" s="4" t="s">
        <v>438</v>
      </c>
      <c r="C64" s="10">
        <f>COUNTIFS(Normalized_Tuples!$E:$E,$A64,Normalized_Tuples!$F:$F,$B64)</f>
        <v>1</v>
      </c>
      <c r="D64" s="4" t="s">
        <v>140</v>
      </c>
      <c r="E64" s="4" t="s">
        <v>72</v>
      </c>
      <c r="F64" s="4" t="s">
        <v>5</v>
      </c>
      <c r="G64" s="4" t="s">
        <v>359</v>
      </c>
      <c r="H64" s="21" t="s">
        <v>123</v>
      </c>
      <c r="I64" s="21" t="s">
        <v>124</v>
      </c>
      <c r="J64" s="21" t="s">
        <v>125</v>
      </c>
      <c r="K64" s="21" t="s">
        <v>143</v>
      </c>
      <c r="L64" s="21" t="s">
        <v>144</v>
      </c>
      <c r="M64" s="21" t="s">
        <v>145</v>
      </c>
    </row>
    <row r="65" spans="1:13" ht="55.2" x14ac:dyDescent="0.3">
      <c r="A65" s="4" t="s">
        <v>121</v>
      </c>
      <c r="B65" s="4" t="s">
        <v>437</v>
      </c>
      <c r="C65" s="10">
        <f>COUNTIFS(Normalized_Tuples!$E:$E,$A65,Normalized_Tuples!$F:$F,$B65)</f>
        <v>1</v>
      </c>
      <c r="D65" s="4" t="s">
        <v>120</v>
      </c>
      <c r="E65" s="4" t="s">
        <v>72</v>
      </c>
      <c r="F65" s="4" t="s">
        <v>5</v>
      </c>
      <c r="G65" s="4" t="s">
        <v>359</v>
      </c>
      <c r="H65" s="21" t="s">
        <v>123</v>
      </c>
      <c r="I65" s="21" t="s">
        <v>124</v>
      </c>
      <c r="J65" s="21" t="s">
        <v>125</v>
      </c>
      <c r="K65" s="21" t="s">
        <v>126</v>
      </c>
      <c r="L65" s="21" t="s">
        <v>127</v>
      </c>
      <c r="M65" s="21" t="s">
        <v>128</v>
      </c>
    </row>
    <row r="66" spans="1:13" ht="55.2" x14ac:dyDescent="0.3">
      <c r="A66" s="4" t="s">
        <v>121</v>
      </c>
      <c r="B66" s="4" t="s">
        <v>438</v>
      </c>
      <c r="C66" s="10">
        <f>COUNTIFS(Normalized_Tuples!$E:$E,$A66,Normalized_Tuples!$F:$F,$B66)</f>
        <v>1</v>
      </c>
      <c r="D66" s="4" t="s">
        <v>120</v>
      </c>
      <c r="E66" s="4" t="s">
        <v>72</v>
      </c>
      <c r="F66" s="4" t="s">
        <v>5</v>
      </c>
      <c r="G66" s="4" t="s">
        <v>359</v>
      </c>
      <c r="H66" s="21" t="s">
        <v>123</v>
      </c>
      <c r="I66" s="21" t="s">
        <v>124</v>
      </c>
      <c r="J66" s="21" t="s">
        <v>125</v>
      </c>
      <c r="K66" s="21" t="s">
        <v>126</v>
      </c>
      <c r="L66" s="21" t="s">
        <v>127</v>
      </c>
      <c r="M66" s="21" t="s">
        <v>128</v>
      </c>
    </row>
    <row r="67" spans="1:13" ht="82.8" x14ac:dyDescent="0.3">
      <c r="A67" s="4" t="s">
        <v>74</v>
      </c>
      <c r="B67" s="4" t="s">
        <v>358</v>
      </c>
      <c r="C67" s="10">
        <f>COUNTIFS(Normalized_Tuples!$E:$E,$A67,Normalized_Tuples!$F:$F,$B67)</f>
        <v>1</v>
      </c>
      <c r="D67" s="4" t="s">
        <v>73</v>
      </c>
      <c r="E67" s="4" t="s">
        <v>72</v>
      </c>
      <c r="F67" s="4" t="s">
        <v>5</v>
      </c>
      <c r="G67" s="4" t="s">
        <v>359</v>
      </c>
      <c r="H67" s="21" t="s">
        <v>76</v>
      </c>
      <c r="I67" s="21" t="s">
        <v>77</v>
      </c>
      <c r="J67" s="21" t="s">
        <v>78</v>
      </c>
      <c r="K67" s="21" t="s">
        <v>79</v>
      </c>
      <c r="L67" s="21" t="s">
        <v>80</v>
      </c>
      <c r="M67" s="21" t="s">
        <v>81</v>
      </c>
    </row>
    <row r="68" spans="1:13" ht="82.8" x14ac:dyDescent="0.3">
      <c r="A68" s="4" t="s">
        <v>74</v>
      </c>
      <c r="B68" s="4" t="s">
        <v>360</v>
      </c>
      <c r="C68" s="10">
        <f>COUNTIFS(Normalized_Tuples!$E:$E,$A68,Normalized_Tuples!$F:$F,$B68)</f>
        <v>1</v>
      </c>
      <c r="D68" s="4" t="s">
        <v>73</v>
      </c>
      <c r="E68" s="4" t="s">
        <v>72</v>
      </c>
      <c r="F68" s="4" t="s">
        <v>5</v>
      </c>
      <c r="G68" s="4" t="s">
        <v>359</v>
      </c>
      <c r="H68" s="21" t="s">
        <v>76</v>
      </c>
      <c r="I68" s="21" t="s">
        <v>77</v>
      </c>
      <c r="J68" s="21" t="s">
        <v>78</v>
      </c>
      <c r="K68" s="21" t="s">
        <v>79</v>
      </c>
      <c r="L68" s="21" t="s">
        <v>80</v>
      </c>
      <c r="M68" s="21" t="s">
        <v>81</v>
      </c>
    </row>
    <row r="69" spans="1:13" ht="82.8" x14ac:dyDescent="0.3">
      <c r="A69" s="4" t="s">
        <v>74</v>
      </c>
      <c r="B69" s="4" t="s">
        <v>361</v>
      </c>
      <c r="C69" s="10">
        <f>COUNTIFS(Normalized_Tuples!$E:$E,$A69,Normalized_Tuples!$F:$F,$B69)</f>
        <v>1</v>
      </c>
      <c r="D69" s="4" t="s">
        <v>73</v>
      </c>
      <c r="E69" s="4" t="s">
        <v>72</v>
      </c>
      <c r="F69" s="4" t="s">
        <v>5</v>
      </c>
      <c r="G69" s="4" t="s">
        <v>359</v>
      </c>
      <c r="H69" s="21" t="s">
        <v>76</v>
      </c>
      <c r="I69" s="21" t="s">
        <v>77</v>
      </c>
      <c r="J69" s="21" t="s">
        <v>78</v>
      </c>
      <c r="K69" s="21" t="s">
        <v>79</v>
      </c>
      <c r="L69" s="21" t="s">
        <v>80</v>
      </c>
      <c r="M69" s="21" t="s">
        <v>81</v>
      </c>
    </row>
    <row r="70" spans="1:13" ht="82.8" x14ac:dyDescent="0.3">
      <c r="A70" s="4" t="s">
        <v>74</v>
      </c>
      <c r="B70" s="4" t="s">
        <v>362</v>
      </c>
      <c r="C70" s="10">
        <f>COUNTIFS(Normalized_Tuples!$E:$E,$A70,Normalized_Tuples!$F:$F,$B70)</f>
        <v>1</v>
      </c>
      <c r="D70" s="4" t="s">
        <v>73</v>
      </c>
      <c r="E70" s="4" t="s">
        <v>72</v>
      </c>
      <c r="F70" s="4" t="s">
        <v>5</v>
      </c>
      <c r="G70" s="4" t="s">
        <v>359</v>
      </c>
      <c r="H70" s="21" t="s">
        <v>76</v>
      </c>
      <c r="I70" s="21" t="s">
        <v>77</v>
      </c>
      <c r="J70" s="21" t="s">
        <v>78</v>
      </c>
      <c r="K70" s="21" t="s">
        <v>79</v>
      </c>
      <c r="L70" s="21" t="s">
        <v>80</v>
      </c>
      <c r="M70" s="21" t="s">
        <v>81</v>
      </c>
    </row>
    <row r="71" spans="1:13" ht="82.8" x14ac:dyDescent="0.3">
      <c r="A71" s="4" t="s">
        <v>473</v>
      </c>
      <c r="B71" s="4" t="s">
        <v>459</v>
      </c>
      <c r="C71" s="10">
        <f>COUNTIFS(Normalized_Tuples!$E:$E,$A71,Normalized_Tuples!$F:$F,$B71)</f>
        <v>1</v>
      </c>
      <c r="D71" s="4" t="s">
        <v>130</v>
      </c>
      <c r="E71" s="4" t="s">
        <v>72</v>
      </c>
      <c r="F71" s="4" t="s">
        <v>5</v>
      </c>
      <c r="G71" s="4" t="s">
        <v>351</v>
      </c>
      <c r="H71" s="21" t="s">
        <v>194</v>
      </c>
      <c r="I71" s="21" t="s">
        <v>195</v>
      </c>
      <c r="J71" s="21" t="s">
        <v>222</v>
      </c>
      <c r="K71" s="21" t="s">
        <v>476</v>
      </c>
      <c r="L71" s="21" t="s">
        <v>477</v>
      </c>
      <c r="M71" s="21" t="s">
        <v>478</v>
      </c>
    </row>
    <row r="72" spans="1:13" ht="82.8" x14ac:dyDescent="0.3">
      <c r="A72" s="4" t="s">
        <v>473</v>
      </c>
      <c r="B72" s="4" t="s">
        <v>463</v>
      </c>
      <c r="C72" s="10">
        <f>COUNTIFS(Normalized_Tuples!$E:$E,$A72,Normalized_Tuples!$F:$F,$B72)</f>
        <v>1</v>
      </c>
      <c r="D72" s="4" t="s">
        <v>130</v>
      </c>
      <c r="E72" s="4" t="s">
        <v>72</v>
      </c>
      <c r="F72" s="4" t="s">
        <v>5</v>
      </c>
      <c r="G72" s="4" t="s">
        <v>351</v>
      </c>
      <c r="H72" s="21" t="s">
        <v>194</v>
      </c>
      <c r="I72" s="21" t="s">
        <v>195</v>
      </c>
      <c r="J72" s="21" t="s">
        <v>222</v>
      </c>
      <c r="K72" s="21" t="s">
        <v>476</v>
      </c>
      <c r="L72" s="21" t="s">
        <v>477</v>
      </c>
      <c r="M72" s="21" t="s">
        <v>478</v>
      </c>
    </row>
    <row r="73" spans="1:13" ht="82.8" x14ac:dyDescent="0.3">
      <c r="A73" s="4" t="s">
        <v>473</v>
      </c>
      <c r="B73" s="4" t="s">
        <v>363</v>
      </c>
      <c r="C73" s="10">
        <f>COUNTIFS(Normalized_Tuples!$E:$E,$A73,Normalized_Tuples!$F:$F,$B73)</f>
        <v>1</v>
      </c>
      <c r="D73" s="4" t="s">
        <v>130</v>
      </c>
      <c r="E73" s="4" t="s">
        <v>72</v>
      </c>
      <c r="F73" s="4" t="s">
        <v>5</v>
      </c>
      <c r="G73" s="4" t="s">
        <v>351</v>
      </c>
      <c r="H73" s="21" t="s">
        <v>194</v>
      </c>
      <c r="I73" s="21" t="s">
        <v>195</v>
      </c>
      <c r="J73" s="21" t="s">
        <v>222</v>
      </c>
      <c r="K73" s="21" t="s">
        <v>476</v>
      </c>
      <c r="L73" s="21" t="s">
        <v>477</v>
      </c>
      <c r="M73" s="21" t="s">
        <v>478</v>
      </c>
    </row>
    <row r="74" spans="1:13" ht="69" x14ac:dyDescent="0.3">
      <c r="A74" s="4" t="s">
        <v>427</v>
      </c>
      <c r="B74" s="4" t="s">
        <v>302</v>
      </c>
      <c r="C74" s="10">
        <f>COUNTIFS(Normalized_Tuples!$E:$E,$A74,Normalized_Tuples!$F:$F,$B74)</f>
        <v>1</v>
      </c>
      <c r="D74" s="4" t="s">
        <v>300</v>
      </c>
      <c r="E74" s="4" t="s">
        <v>288</v>
      </c>
      <c r="F74" s="4" t="s">
        <v>5</v>
      </c>
      <c r="G74" s="4" t="s">
        <v>331</v>
      </c>
      <c r="H74" s="21" t="s">
        <v>428</v>
      </c>
      <c r="I74" s="21" t="s">
        <v>429</v>
      </c>
      <c r="J74" s="21" t="s">
        <v>125</v>
      </c>
      <c r="K74" s="21" t="s">
        <v>430</v>
      </c>
      <c r="L74" s="21" t="s">
        <v>304</v>
      </c>
      <c r="M74" s="21" t="s">
        <v>431</v>
      </c>
    </row>
    <row r="75" spans="1:13" ht="69" x14ac:dyDescent="0.3">
      <c r="A75" s="4" t="s">
        <v>432</v>
      </c>
      <c r="B75" s="4" t="s">
        <v>302</v>
      </c>
      <c r="C75" s="10">
        <f>COUNTIFS(Normalized_Tuples!$E:$E,$A75,Normalized_Tuples!$F:$F,$B75)</f>
        <v>1</v>
      </c>
      <c r="D75" s="4" t="s">
        <v>300</v>
      </c>
      <c r="E75" s="4" t="s">
        <v>288</v>
      </c>
      <c r="F75" s="4" t="s">
        <v>5</v>
      </c>
      <c r="G75" s="4" t="s">
        <v>331</v>
      </c>
      <c r="H75" s="21" t="s">
        <v>433</v>
      </c>
      <c r="I75" s="21" t="s">
        <v>434</v>
      </c>
      <c r="J75" s="21" t="s">
        <v>125</v>
      </c>
      <c r="K75" s="21" t="s">
        <v>435</v>
      </c>
      <c r="L75" s="21" t="s">
        <v>304</v>
      </c>
      <c r="M75" s="21" t="s">
        <v>436</v>
      </c>
    </row>
    <row r="76" spans="1:13" ht="82.8" x14ac:dyDescent="0.3">
      <c r="A76" s="4" t="s">
        <v>439</v>
      </c>
      <c r="B76" s="4" t="s">
        <v>263</v>
      </c>
      <c r="C76" s="10">
        <f>COUNTIFS(Normalized_Tuples!$E:$E,$A76,Normalized_Tuples!$F:$F,$B76)</f>
        <v>1</v>
      </c>
      <c r="D76" s="4" t="s">
        <v>236</v>
      </c>
      <c r="E76" s="4" t="s">
        <v>200</v>
      </c>
      <c r="F76" s="4" t="s">
        <v>5</v>
      </c>
      <c r="G76" s="4" t="s">
        <v>351</v>
      </c>
      <c r="H76" s="21" t="s">
        <v>440</v>
      </c>
      <c r="I76" s="21" t="s">
        <v>441</v>
      </c>
      <c r="J76" s="21" t="s">
        <v>78</v>
      </c>
      <c r="K76" s="21" t="s">
        <v>442</v>
      </c>
      <c r="L76" s="21" t="s">
        <v>242</v>
      </c>
      <c r="M76" s="21" t="s">
        <v>443</v>
      </c>
    </row>
    <row r="77" spans="1:13" ht="82.8" x14ac:dyDescent="0.3">
      <c r="A77" s="4" t="s">
        <v>439</v>
      </c>
      <c r="B77" s="4" t="s">
        <v>444</v>
      </c>
      <c r="C77" s="10">
        <f>COUNTIFS(Normalized_Tuples!$E:$E,$A77,Normalized_Tuples!$F:$F,$B77)</f>
        <v>1</v>
      </c>
      <c r="D77" s="4" t="s">
        <v>236</v>
      </c>
      <c r="E77" s="4" t="s">
        <v>200</v>
      </c>
      <c r="F77" s="4" t="s">
        <v>5</v>
      </c>
      <c r="G77" s="4" t="s">
        <v>351</v>
      </c>
      <c r="H77" s="21" t="s">
        <v>440</v>
      </c>
      <c r="I77" s="21" t="s">
        <v>441</v>
      </c>
      <c r="J77" s="21" t="s">
        <v>78</v>
      </c>
      <c r="K77" s="21" t="s">
        <v>442</v>
      </c>
      <c r="L77" s="21" t="s">
        <v>242</v>
      </c>
      <c r="M77" s="21" t="s">
        <v>443</v>
      </c>
    </row>
    <row r="78" spans="1:13" ht="82.8" x14ac:dyDescent="0.3">
      <c r="A78" s="4" t="s">
        <v>445</v>
      </c>
      <c r="B78" s="4" t="s">
        <v>263</v>
      </c>
      <c r="C78" s="10">
        <f>COUNTIFS(Normalized_Tuples!$E:$E,$A78,Normalized_Tuples!$F:$F,$B78)</f>
        <v>1</v>
      </c>
      <c r="D78" s="4" t="s">
        <v>236</v>
      </c>
      <c r="E78" s="4" t="s">
        <v>200</v>
      </c>
      <c r="F78" s="4" t="s">
        <v>5</v>
      </c>
      <c r="G78" s="4" t="s">
        <v>351</v>
      </c>
      <c r="H78" s="21" t="s">
        <v>446</v>
      </c>
      <c r="I78" s="21" t="s">
        <v>447</v>
      </c>
      <c r="J78" s="21" t="s">
        <v>78</v>
      </c>
      <c r="K78" s="21" t="s">
        <v>448</v>
      </c>
      <c r="L78" s="21" t="s">
        <v>242</v>
      </c>
      <c r="M78" s="21" t="s">
        <v>449</v>
      </c>
    </row>
    <row r="79" spans="1:13" ht="82.8" x14ac:dyDescent="0.3">
      <c r="A79" s="4" t="s">
        <v>445</v>
      </c>
      <c r="B79" s="4" t="s">
        <v>444</v>
      </c>
      <c r="C79" s="10">
        <f>COUNTIFS(Normalized_Tuples!$E:$E,$A79,Normalized_Tuples!$F:$F,$B79)</f>
        <v>1</v>
      </c>
      <c r="D79" s="4" t="s">
        <v>236</v>
      </c>
      <c r="E79" s="4" t="s">
        <v>200</v>
      </c>
      <c r="F79" s="4" t="s">
        <v>5</v>
      </c>
      <c r="G79" s="4" t="s">
        <v>351</v>
      </c>
      <c r="H79" s="21" t="s">
        <v>446</v>
      </c>
      <c r="I79" s="21" t="s">
        <v>447</v>
      </c>
      <c r="J79" s="21" t="s">
        <v>78</v>
      </c>
      <c r="K79" s="21" t="s">
        <v>448</v>
      </c>
      <c r="L79" s="21" t="s">
        <v>242</v>
      </c>
      <c r="M79" s="21" t="s">
        <v>449</v>
      </c>
    </row>
    <row r="80" spans="1:13" ht="82.8" x14ac:dyDescent="0.3">
      <c r="A80" s="4" t="s">
        <v>343</v>
      </c>
      <c r="B80" s="4" t="s">
        <v>263</v>
      </c>
      <c r="C80" s="10">
        <f>COUNTIFS(Normalized_Tuples!$E:$E,$A80,Normalized_Tuples!$F:$F,$B80)</f>
        <v>1</v>
      </c>
      <c r="D80" s="4" t="s">
        <v>261</v>
      </c>
      <c r="E80" s="4" t="s">
        <v>260</v>
      </c>
      <c r="F80" s="4" t="s">
        <v>5</v>
      </c>
      <c r="G80" s="4" t="s">
        <v>331</v>
      </c>
      <c r="H80" s="21" t="s">
        <v>264</v>
      </c>
      <c r="I80" s="21" t="s">
        <v>265</v>
      </c>
      <c r="J80" s="21" t="s">
        <v>152</v>
      </c>
      <c r="K80" s="21" t="s">
        <v>346</v>
      </c>
      <c r="L80" s="21" t="s">
        <v>268</v>
      </c>
      <c r="M80" s="21" t="s">
        <v>347</v>
      </c>
    </row>
    <row r="81" spans="1:13" ht="96.6" x14ac:dyDescent="0.3">
      <c r="A81" s="4" t="s">
        <v>218</v>
      </c>
      <c r="B81" s="4" t="s">
        <v>35</v>
      </c>
      <c r="C81" s="10">
        <f>COUNTIFS(Normalized_Tuples!$E:$E,$A81,Normalized_Tuples!$F:$F,$B81)</f>
        <v>1</v>
      </c>
      <c r="D81" s="4" t="s">
        <v>217</v>
      </c>
      <c r="E81" s="4" t="s">
        <v>200</v>
      </c>
      <c r="F81" s="4" t="s">
        <v>5</v>
      </c>
      <c r="G81" s="4" t="s">
        <v>359</v>
      </c>
      <c r="H81" s="21" t="s">
        <v>220</v>
      </c>
      <c r="I81" s="21" t="s">
        <v>221</v>
      </c>
      <c r="J81" s="21" t="s">
        <v>222</v>
      </c>
      <c r="K81" s="21" t="s">
        <v>223</v>
      </c>
      <c r="L81" s="21" t="s">
        <v>224</v>
      </c>
      <c r="M81" s="21" t="s">
        <v>225</v>
      </c>
    </row>
    <row r="82" spans="1:13" ht="96.6" x14ac:dyDescent="0.3">
      <c r="A82" s="4" t="s">
        <v>218</v>
      </c>
      <c r="B82" s="4" t="s">
        <v>387</v>
      </c>
      <c r="C82" s="10">
        <f>COUNTIFS(Normalized_Tuples!$E:$E,$A82,Normalized_Tuples!$F:$F,$B82)</f>
        <v>1</v>
      </c>
      <c r="D82" s="4" t="s">
        <v>217</v>
      </c>
      <c r="E82" s="4" t="s">
        <v>200</v>
      </c>
      <c r="F82" s="4" t="s">
        <v>5</v>
      </c>
      <c r="G82" s="4" t="s">
        <v>359</v>
      </c>
      <c r="H82" s="21" t="s">
        <v>220</v>
      </c>
      <c r="I82" s="21" t="s">
        <v>221</v>
      </c>
      <c r="J82" s="21" t="s">
        <v>222</v>
      </c>
      <c r="K82" s="21" t="s">
        <v>223</v>
      </c>
      <c r="L82" s="21" t="s">
        <v>224</v>
      </c>
      <c r="M82" s="21" t="s">
        <v>225</v>
      </c>
    </row>
    <row r="83" spans="1:13" ht="82.8" x14ac:dyDescent="0.3">
      <c r="A83" s="4" t="s">
        <v>34</v>
      </c>
      <c r="B83" s="4" t="s">
        <v>20</v>
      </c>
      <c r="C83" s="10">
        <f>COUNTIFS(Normalized_Tuples!$E:$E,$A83,Normalized_Tuples!$F:$F,$B83)</f>
        <v>1</v>
      </c>
      <c r="D83" s="4" t="s">
        <v>271</v>
      </c>
      <c r="E83" s="4" t="s">
        <v>260</v>
      </c>
      <c r="F83" s="4" t="s">
        <v>5</v>
      </c>
      <c r="G83" s="4" t="s">
        <v>351</v>
      </c>
      <c r="H83" s="21" t="s">
        <v>274</v>
      </c>
      <c r="I83" s="21" t="s">
        <v>275</v>
      </c>
      <c r="J83" s="21" t="s">
        <v>222</v>
      </c>
      <c r="K83" s="21" t="s">
        <v>324</v>
      </c>
      <c r="L83" s="21" t="s">
        <v>277</v>
      </c>
      <c r="M83" s="21" t="s">
        <v>325</v>
      </c>
    </row>
    <row r="84" spans="1:13" ht="69" x14ac:dyDescent="0.3">
      <c r="A84" s="4" t="s">
        <v>365</v>
      </c>
      <c r="B84" s="4" t="s">
        <v>176</v>
      </c>
      <c r="C84" s="10">
        <f>COUNTIFS(Normalized_Tuples!$E:$E,$A84,Normalized_Tuples!$F:$F,$B84)</f>
        <v>1</v>
      </c>
      <c r="D84" s="4" t="s">
        <v>209</v>
      </c>
      <c r="E84" s="4" t="s">
        <v>200</v>
      </c>
      <c r="F84" s="4" t="s">
        <v>5</v>
      </c>
      <c r="G84" s="4" t="s">
        <v>331</v>
      </c>
      <c r="H84" s="21" t="s">
        <v>366</v>
      </c>
      <c r="I84" s="21" t="s">
        <v>367</v>
      </c>
      <c r="J84" s="21" t="s">
        <v>78</v>
      </c>
      <c r="K84" s="21" t="s">
        <v>368</v>
      </c>
      <c r="L84" s="21" t="s">
        <v>369</v>
      </c>
      <c r="M84" s="21" t="s">
        <v>370</v>
      </c>
    </row>
    <row r="85" spans="1:13" ht="55.2" x14ac:dyDescent="0.3">
      <c r="A85" s="4" t="s">
        <v>375</v>
      </c>
      <c r="B85" s="4" t="s">
        <v>376</v>
      </c>
      <c r="C85" s="10">
        <f>COUNTIFS(Normalized_Tuples!$E:$E,$A85,Normalized_Tuples!$F:$F,$B85)</f>
        <v>1</v>
      </c>
      <c r="D85" s="4" t="s">
        <v>83</v>
      </c>
      <c r="E85" s="4" t="s">
        <v>72</v>
      </c>
      <c r="F85" s="4" t="s">
        <v>5</v>
      </c>
      <c r="G85" s="4" t="s">
        <v>351</v>
      </c>
      <c r="H85" s="21" t="s">
        <v>366</v>
      </c>
      <c r="I85" s="21" t="s">
        <v>367</v>
      </c>
      <c r="J85" s="21" t="s">
        <v>78</v>
      </c>
      <c r="K85" s="21" t="s">
        <v>377</v>
      </c>
      <c r="L85" s="21" t="s">
        <v>180</v>
      </c>
      <c r="M85" s="21" t="s">
        <v>378</v>
      </c>
    </row>
    <row r="86" spans="1:13" ht="55.2" x14ac:dyDescent="0.3">
      <c r="A86" s="4" t="s">
        <v>375</v>
      </c>
      <c r="B86" s="4" t="s">
        <v>176</v>
      </c>
      <c r="C86" s="10">
        <f>COUNTIFS(Normalized_Tuples!$E:$E,$A86,Normalized_Tuples!$F:$F,$B86)</f>
        <v>1</v>
      </c>
      <c r="D86" s="4" t="s">
        <v>83</v>
      </c>
      <c r="E86" s="4" t="s">
        <v>72</v>
      </c>
      <c r="F86" s="4" t="s">
        <v>5</v>
      </c>
      <c r="G86" s="4" t="s">
        <v>351</v>
      </c>
      <c r="H86" s="21" t="s">
        <v>366</v>
      </c>
      <c r="I86" s="21" t="s">
        <v>367</v>
      </c>
      <c r="J86" s="21" t="s">
        <v>78</v>
      </c>
      <c r="K86" s="21" t="s">
        <v>377</v>
      </c>
      <c r="L86" s="21" t="s">
        <v>180</v>
      </c>
      <c r="M86" s="21" t="s">
        <v>378</v>
      </c>
    </row>
    <row r="87" spans="1:13" ht="55.2" x14ac:dyDescent="0.3">
      <c r="A87" s="4" t="s">
        <v>375</v>
      </c>
      <c r="B87" s="4" t="s">
        <v>379</v>
      </c>
      <c r="C87" s="10">
        <f>COUNTIFS(Normalized_Tuples!$E:$E,$A87,Normalized_Tuples!$F:$F,$B87)</f>
        <v>1</v>
      </c>
      <c r="D87" s="4" t="s">
        <v>83</v>
      </c>
      <c r="E87" s="4" t="s">
        <v>72</v>
      </c>
      <c r="F87" s="4" t="s">
        <v>5</v>
      </c>
      <c r="G87" s="4" t="s">
        <v>351</v>
      </c>
      <c r="H87" s="21" t="s">
        <v>366</v>
      </c>
      <c r="I87" s="21" t="s">
        <v>367</v>
      </c>
      <c r="J87" s="21" t="s">
        <v>78</v>
      </c>
      <c r="K87" s="21" t="s">
        <v>377</v>
      </c>
      <c r="L87" s="21" t="s">
        <v>180</v>
      </c>
      <c r="M87" s="21" t="s">
        <v>378</v>
      </c>
    </row>
    <row r="88" spans="1:13" ht="69" x14ac:dyDescent="0.3">
      <c r="A88" s="4" t="s">
        <v>380</v>
      </c>
      <c r="B88" s="4" t="s">
        <v>376</v>
      </c>
      <c r="C88" s="10">
        <f>COUNTIFS(Normalized_Tuples!$E:$E,$A88,Normalized_Tuples!$F:$F,$B88)</f>
        <v>1</v>
      </c>
      <c r="D88" s="4" t="s">
        <v>83</v>
      </c>
      <c r="E88" s="4" t="s">
        <v>72</v>
      </c>
      <c r="F88" s="4" t="s">
        <v>5</v>
      </c>
      <c r="G88" s="4" t="s">
        <v>351</v>
      </c>
      <c r="H88" s="21" t="s">
        <v>381</v>
      </c>
      <c r="I88" s="21" t="s">
        <v>382</v>
      </c>
      <c r="J88" s="21" t="s">
        <v>125</v>
      </c>
      <c r="K88" s="21" t="s">
        <v>383</v>
      </c>
      <c r="L88" s="21" t="s">
        <v>369</v>
      </c>
      <c r="M88" s="21" t="s">
        <v>384</v>
      </c>
    </row>
    <row r="89" spans="1:13" ht="69" x14ac:dyDescent="0.3">
      <c r="A89" s="4" t="s">
        <v>380</v>
      </c>
      <c r="B89" s="4" t="s">
        <v>176</v>
      </c>
      <c r="C89" s="10">
        <f>COUNTIFS(Normalized_Tuples!$E:$E,$A89,Normalized_Tuples!$F:$F,$B89)</f>
        <v>1</v>
      </c>
      <c r="D89" s="4" t="s">
        <v>83</v>
      </c>
      <c r="E89" s="4" t="s">
        <v>72</v>
      </c>
      <c r="F89" s="4" t="s">
        <v>5</v>
      </c>
      <c r="G89" s="4" t="s">
        <v>351</v>
      </c>
      <c r="H89" s="21" t="s">
        <v>381</v>
      </c>
      <c r="I89" s="21" t="s">
        <v>382</v>
      </c>
      <c r="J89" s="21" t="s">
        <v>125</v>
      </c>
      <c r="K89" s="21" t="s">
        <v>383</v>
      </c>
      <c r="L89" s="21" t="s">
        <v>369</v>
      </c>
      <c r="M89" s="21" t="s">
        <v>384</v>
      </c>
    </row>
    <row r="90" spans="1:13" ht="69" x14ac:dyDescent="0.3">
      <c r="A90" s="4" t="s">
        <v>380</v>
      </c>
      <c r="B90" s="4" t="s">
        <v>379</v>
      </c>
      <c r="C90" s="10">
        <f>COUNTIFS(Normalized_Tuples!$E:$E,$A90,Normalized_Tuples!$F:$F,$B90)</f>
        <v>1</v>
      </c>
      <c r="D90" s="4" t="s">
        <v>83</v>
      </c>
      <c r="E90" s="4" t="s">
        <v>72</v>
      </c>
      <c r="F90" s="4" t="s">
        <v>5</v>
      </c>
      <c r="G90" s="4" t="s">
        <v>351</v>
      </c>
      <c r="H90" s="21" t="s">
        <v>381</v>
      </c>
      <c r="I90" s="21" t="s">
        <v>382</v>
      </c>
      <c r="J90" s="21" t="s">
        <v>125</v>
      </c>
      <c r="K90" s="21" t="s">
        <v>383</v>
      </c>
      <c r="L90" s="21" t="s">
        <v>369</v>
      </c>
      <c r="M90" s="21" t="s">
        <v>384</v>
      </c>
    </row>
    <row r="91" spans="1:13" ht="69" x14ac:dyDescent="0.3">
      <c r="A91" s="4" t="s">
        <v>397</v>
      </c>
      <c r="B91" s="4" t="s">
        <v>389</v>
      </c>
      <c r="C91" s="10">
        <f>COUNTIFS(Normalized_Tuples!$E:$E,$A91,Normalized_Tuples!$F:$F,$B91)</f>
        <v>1</v>
      </c>
      <c r="D91" s="4" t="s">
        <v>227</v>
      </c>
      <c r="E91" s="4" t="s">
        <v>200</v>
      </c>
      <c r="F91" s="4" t="s">
        <v>5</v>
      </c>
      <c r="G91" s="4" t="s">
        <v>351</v>
      </c>
      <c r="H91" s="21" t="s">
        <v>398</v>
      </c>
      <c r="I91" s="21" t="s">
        <v>399</v>
      </c>
      <c r="J91" s="21" t="s">
        <v>125</v>
      </c>
      <c r="K91" s="21" t="s">
        <v>400</v>
      </c>
      <c r="L91" s="21" t="s">
        <v>233</v>
      </c>
      <c r="M91" s="21" t="s">
        <v>401</v>
      </c>
    </row>
    <row r="92" spans="1:13" ht="69" x14ac:dyDescent="0.3">
      <c r="A92" s="4" t="s">
        <v>397</v>
      </c>
      <c r="B92" s="4" t="s">
        <v>394</v>
      </c>
      <c r="C92" s="10">
        <f>COUNTIFS(Normalized_Tuples!$E:$E,$A92,Normalized_Tuples!$F:$F,$B92)</f>
        <v>1</v>
      </c>
      <c r="D92" s="4" t="s">
        <v>227</v>
      </c>
      <c r="E92" s="4" t="s">
        <v>200</v>
      </c>
      <c r="F92" s="4" t="s">
        <v>5</v>
      </c>
      <c r="G92" s="4" t="s">
        <v>351</v>
      </c>
      <c r="H92" s="21" t="s">
        <v>398</v>
      </c>
      <c r="I92" s="21" t="s">
        <v>399</v>
      </c>
      <c r="J92" s="21" t="s">
        <v>125</v>
      </c>
      <c r="K92" s="21" t="s">
        <v>400</v>
      </c>
      <c r="L92" s="21" t="s">
        <v>233</v>
      </c>
      <c r="M92" s="21" t="s">
        <v>401</v>
      </c>
    </row>
    <row r="93" spans="1:13" ht="69" x14ac:dyDescent="0.3">
      <c r="A93" s="4" t="s">
        <v>397</v>
      </c>
      <c r="B93" s="4" t="s">
        <v>176</v>
      </c>
      <c r="C93" s="10">
        <f>COUNTIFS(Normalized_Tuples!$E:$E,$A93,Normalized_Tuples!$F:$F,$B93)</f>
        <v>1</v>
      </c>
      <c r="D93" s="4" t="s">
        <v>227</v>
      </c>
      <c r="E93" s="4" t="s">
        <v>200</v>
      </c>
      <c r="F93" s="4" t="s">
        <v>5</v>
      </c>
      <c r="G93" s="4" t="s">
        <v>351</v>
      </c>
      <c r="H93" s="21" t="s">
        <v>398</v>
      </c>
      <c r="I93" s="21" t="s">
        <v>399</v>
      </c>
      <c r="J93" s="21" t="s">
        <v>125</v>
      </c>
      <c r="K93" s="21" t="s">
        <v>400</v>
      </c>
      <c r="L93" s="21" t="s">
        <v>233</v>
      </c>
      <c r="M93" s="21" t="s">
        <v>401</v>
      </c>
    </row>
    <row r="94" spans="1:13" ht="69" x14ac:dyDescent="0.3">
      <c r="A94" s="4" t="s">
        <v>397</v>
      </c>
      <c r="B94" s="4" t="s">
        <v>395</v>
      </c>
      <c r="C94" s="10">
        <f>COUNTIFS(Normalized_Tuples!$E:$E,$A94,Normalized_Tuples!$F:$F,$B94)</f>
        <v>1</v>
      </c>
      <c r="D94" s="4" t="s">
        <v>227</v>
      </c>
      <c r="E94" s="4" t="s">
        <v>200</v>
      </c>
      <c r="F94" s="4" t="s">
        <v>5</v>
      </c>
      <c r="G94" s="4" t="s">
        <v>351</v>
      </c>
      <c r="H94" s="21" t="s">
        <v>398</v>
      </c>
      <c r="I94" s="21" t="s">
        <v>399</v>
      </c>
      <c r="J94" s="21" t="s">
        <v>125</v>
      </c>
      <c r="K94" s="21" t="s">
        <v>400</v>
      </c>
      <c r="L94" s="21" t="s">
        <v>233</v>
      </c>
      <c r="M94" s="21" t="s">
        <v>401</v>
      </c>
    </row>
    <row r="95" spans="1:13" ht="69" x14ac:dyDescent="0.3">
      <c r="A95" s="4" t="s">
        <v>397</v>
      </c>
      <c r="B95" s="4" t="s">
        <v>396</v>
      </c>
      <c r="C95" s="10">
        <f>COUNTIFS(Normalized_Tuples!$E:$E,$A95,Normalized_Tuples!$F:$F,$B95)</f>
        <v>1</v>
      </c>
      <c r="D95" s="4" t="s">
        <v>227</v>
      </c>
      <c r="E95" s="4" t="s">
        <v>200</v>
      </c>
      <c r="F95" s="4" t="s">
        <v>5</v>
      </c>
      <c r="G95" s="4" t="s">
        <v>351</v>
      </c>
      <c r="H95" s="21" t="s">
        <v>398</v>
      </c>
      <c r="I95" s="21" t="s">
        <v>399</v>
      </c>
      <c r="J95" s="21" t="s">
        <v>125</v>
      </c>
      <c r="K95" s="21" t="s">
        <v>400</v>
      </c>
      <c r="L95" s="21" t="s">
        <v>233</v>
      </c>
      <c r="M95" s="21" t="s">
        <v>401</v>
      </c>
    </row>
    <row r="96" spans="1:13" ht="69" x14ac:dyDescent="0.3">
      <c r="A96" s="4" t="s">
        <v>402</v>
      </c>
      <c r="B96" s="4" t="s">
        <v>389</v>
      </c>
      <c r="C96" s="10">
        <f>COUNTIFS(Normalized_Tuples!$E:$E,$A96,Normalized_Tuples!$F:$F,$B96)</f>
        <v>1</v>
      </c>
      <c r="D96" s="4" t="s">
        <v>227</v>
      </c>
      <c r="E96" s="4" t="s">
        <v>200</v>
      </c>
      <c r="F96" s="4" t="s">
        <v>5</v>
      </c>
      <c r="G96" s="4" t="s">
        <v>351</v>
      </c>
      <c r="H96" s="21" t="s">
        <v>390</v>
      </c>
      <c r="I96" s="21" t="s">
        <v>391</v>
      </c>
      <c r="J96" s="21" t="s">
        <v>125</v>
      </c>
      <c r="K96" s="21" t="s">
        <v>403</v>
      </c>
      <c r="L96" s="21" t="s">
        <v>404</v>
      </c>
      <c r="M96" s="21" t="s">
        <v>405</v>
      </c>
    </row>
    <row r="97" spans="1:13" ht="69" x14ac:dyDescent="0.3">
      <c r="A97" s="4" t="s">
        <v>402</v>
      </c>
      <c r="B97" s="4" t="s">
        <v>394</v>
      </c>
      <c r="C97" s="10">
        <f>COUNTIFS(Normalized_Tuples!$E:$E,$A97,Normalized_Tuples!$F:$F,$B97)</f>
        <v>1</v>
      </c>
      <c r="D97" s="4" t="s">
        <v>227</v>
      </c>
      <c r="E97" s="4" t="s">
        <v>200</v>
      </c>
      <c r="F97" s="4" t="s">
        <v>5</v>
      </c>
      <c r="G97" s="4" t="s">
        <v>351</v>
      </c>
      <c r="H97" s="21" t="s">
        <v>390</v>
      </c>
      <c r="I97" s="21" t="s">
        <v>391</v>
      </c>
      <c r="J97" s="21" t="s">
        <v>125</v>
      </c>
      <c r="K97" s="21" t="s">
        <v>403</v>
      </c>
      <c r="L97" s="21" t="s">
        <v>404</v>
      </c>
      <c r="M97" s="21" t="s">
        <v>405</v>
      </c>
    </row>
    <row r="98" spans="1:13" ht="69" x14ac:dyDescent="0.3">
      <c r="A98" s="4" t="s">
        <v>402</v>
      </c>
      <c r="B98" s="4" t="s">
        <v>176</v>
      </c>
      <c r="C98" s="10">
        <f>COUNTIFS(Normalized_Tuples!$E:$E,$A98,Normalized_Tuples!$F:$F,$B98)</f>
        <v>1</v>
      </c>
      <c r="D98" s="4" t="s">
        <v>227</v>
      </c>
      <c r="E98" s="4" t="s">
        <v>200</v>
      </c>
      <c r="F98" s="4" t="s">
        <v>5</v>
      </c>
      <c r="G98" s="4" t="s">
        <v>351</v>
      </c>
      <c r="H98" s="21" t="s">
        <v>390</v>
      </c>
      <c r="I98" s="21" t="s">
        <v>391</v>
      </c>
      <c r="J98" s="21" t="s">
        <v>125</v>
      </c>
      <c r="K98" s="21" t="s">
        <v>403</v>
      </c>
      <c r="L98" s="21" t="s">
        <v>404</v>
      </c>
      <c r="M98" s="21" t="s">
        <v>405</v>
      </c>
    </row>
    <row r="99" spans="1:13" ht="69" x14ac:dyDescent="0.3">
      <c r="A99" s="4" t="s">
        <v>402</v>
      </c>
      <c r="B99" s="4" t="s">
        <v>395</v>
      </c>
      <c r="C99" s="10">
        <f>COUNTIFS(Normalized_Tuples!$E:$E,$A99,Normalized_Tuples!$F:$F,$B99)</f>
        <v>1</v>
      </c>
      <c r="D99" s="4" t="s">
        <v>227</v>
      </c>
      <c r="E99" s="4" t="s">
        <v>200</v>
      </c>
      <c r="F99" s="4" t="s">
        <v>5</v>
      </c>
      <c r="G99" s="4" t="s">
        <v>351</v>
      </c>
      <c r="H99" s="21" t="s">
        <v>390</v>
      </c>
      <c r="I99" s="21" t="s">
        <v>391</v>
      </c>
      <c r="J99" s="21" t="s">
        <v>125</v>
      </c>
      <c r="K99" s="21" t="s">
        <v>403</v>
      </c>
      <c r="L99" s="21" t="s">
        <v>404</v>
      </c>
      <c r="M99" s="21" t="s">
        <v>405</v>
      </c>
    </row>
    <row r="100" spans="1:13" ht="69" x14ac:dyDescent="0.3">
      <c r="A100" s="4" t="s">
        <v>402</v>
      </c>
      <c r="B100" s="4" t="s">
        <v>396</v>
      </c>
      <c r="C100" s="10">
        <f>COUNTIFS(Normalized_Tuples!$E:$E,$A100,Normalized_Tuples!$F:$F,$B100)</f>
        <v>1</v>
      </c>
      <c r="D100" s="4" t="s">
        <v>227</v>
      </c>
      <c r="E100" s="4" t="s">
        <v>200</v>
      </c>
      <c r="F100" s="4" t="s">
        <v>5</v>
      </c>
      <c r="G100" s="4" t="s">
        <v>351</v>
      </c>
      <c r="H100" s="21" t="s">
        <v>390</v>
      </c>
      <c r="I100" s="21" t="s">
        <v>391</v>
      </c>
      <c r="J100" s="21" t="s">
        <v>125</v>
      </c>
      <c r="K100" s="21" t="s">
        <v>403</v>
      </c>
      <c r="L100" s="21" t="s">
        <v>404</v>
      </c>
      <c r="M100" s="21" t="s">
        <v>405</v>
      </c>
    </row>
    <row r="101" spans="1:13" ht="82.8" x14ac:dyDescent="0.3">
      <c r="A101" s="4" t="s">
        <v>348</v>
      </c>
      <c r="B101" s="4" t="s">
        <v>35</v>
      </c>
      <c r="C101" s="10">
        <f>COUNTIFS(Normalized_Tuples!$E:$E,$A101,Normalized_Tuples!$F:$F,$B101)</f>
        <v>1</v>
      </c>
      <c r="D101" s="4" t="s">
        <v>271</v>
      </c>
      <c r="E101" s="4" t="s">
        <v>260</v>
      </c>
      <c r="F101" s="4" t="s">
        <v>5</v>
      </c>
      <c r="G101" s="4" t="s">
        <v>351</v>
      </c>
      <c r="H101" s="21" t="s">
        <v>274</v>
      </c>
      <c r="I101" s="21" t="s">
        <v>275</v>
      </c>
      <c r="J101" s="21" t="s">
        <v>222</v>
      </c>
      <c r="K101" s="21" t="s">
        <v>354</v>
      </c>
      <c r="L101" s="21" t="s">
        <v>277</v>
      </c>
      <c r="M101" s="21" t="s">
        <v>350</v>
      </c>
    </row>
    <row r="102" spans="1:13" ht="69" x14ac:dyDescent="0.3">
      <c r="A102" s="4" t="s">
        <v>348</v>
      </c>
      <c r="B102" s="4" t="s">
        <v>30</v>
      </c>
      <c r="C102" s="10">
        <f>COUNTIFS(Normalized_Tuples!$E:$E,$A102,Normalized_Tuples!$F:$F,$B102)</f>
        <v>1</v>
      </c>
      <c r="D102" s="4" t="s">
        <v>280</v>
      </c>
      <c r="E102" s="4" t="s">
        <v>260</v>
      </c>
      <c r="F102" s="4" t="s">
        <v>5</v>
      </c>
      <c r="G102" s="4" t="s">
        <v>331</v>
      </c>
      <c r="H102" s="21" t="s">
        <v>282</v>
      </c>
      <c r="I102" s="21" t="s">
        <v>283</v>
      </c>
      <c r="J102" s="21" t="s">
        <v>222</v>
      </c>
      <c r="K102" s="21" t="s">
        <v>357</v>
      </c>
      <c r="L102" s="21" t="s">
        <v>285</v>
      </c>
      <c r="M102" s="21" t="s">
        <v>350</v>
      </c>
    </row>
    <row r="103" spans="1:13" ht="82.8" x14ac:dyDescent="0.3">
      <c r="A103" s="4" t="s">
        <v>348</v>
      </c>
      <c r="B103" s="4" t="s">
        <v>263</v>
      </c>
      <c r="C103" s="10">
        <f>COUNTIFS(Normalized_Tuples!$E:$E,$A103,Normalized_Tuples!$F:$F,$B103)</f>
        <v>1</v>
      </c>
      <c r="D103" s="4" t="s">
        <v>261</v>
      </c>
      <c r="E103" s="4" t="s">
        <v>260</v>
      </c>
      <c r="F103" s="4" t="s">
        <v>5</v>
      </c>
      <c r="G103" s="4" t="s">
        <v>331</v>
      </c>
      <c r="H103" s="21" t="s">
        <v>264</v>
      </c>
      <c r="I103" s="21" t="s">
        <v>265</v>
      </c>
      <c r="J103" s="21" t="s">
        <v>222</v>
      </c>
      <c r="K103" s="21" t="s">
        <v>349</v>
      </c>
      <c r="L103" s="21" t="s">
        <v>268</v>
      </c>
      <c r="M103" s="21" t="s">
        <v>350</v>
      </c>
    </row>
    <row r="104" spans="1:13" ht="82.8" x14ac:dyDescent="0.3">
      <c r="A104" s="4" t="s">
        <v>348</v>
      </c>
      <c r="B104" s="4" t="s">
        <v>20</v>
      </c>
      <c r="C104" s="10">
        <f>COUNTIFS(Normalized_Tuples!$E:$E,$A104,Normalized_Tuples!$F:$F,$B104)</f>
        <v>1</v>
      </c>
      <c r="D104" s="4" t="s">
        <v>271</v>
      </c>
      <c r="E104" s="4" t="s">
        <v>260</v>
      </c>
      <c r="F104" s="4" t="s">
        <v>5</v>
      </c>
      <c r="G104" s="4" t="s">
        <v>351</v>
      </c>
      <c r="H104" s="21" t="s">
        <v>274</v>
      </c>
      <c r="I104" s="21" t="s">
        <v>275</v>
      </c>
      <c r="J104" s="21" t="s">
        <v>222</v>
      </c>
      <c r="K104" s="21" t="s">
        <v>354</v>
      </c>
      <c r="L104" s="21" t="s">
        <v>277</v>
      </c>
      <c r="M104" s="21" t="s">
        <v>350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0"/>
  <sheetViews>
    <sheetView workbookViewId="0"/>
  </sheetViews>
  <sheetFormatPr defaultRowHeight="14.4" x14ac:dyDescent="0.3"/>
  <cols>
    <col min="1" max="1" width="18" customWidth="1"/>
    <col min="2" max="2" width="34" customWidth="1"/>
    <col min="3" max="3" width="12" customWidth="1"/>
    <col min="4" max="4" width="42" customWidth="1"/>
    <col min="5" max="6" width="18" customWidth="1"/>
    <col min="7" max="7" width="28" customWidth="1"/>
    <col min="8" max="8" width="42" customWidth="1"/>
    <col min="9" max="9" width="22" customWidth="1"/>
    <col min="10" max="10" width="52" customWidth="1"/>
    <col min="11" max="11" width="70" customWidth="1"/>
    <col min="12" max="12" width="56" customWidth="1"/>
  </cols>
  <sheetData>
    <row r="1" spans="1:12" ht="22.35" customHeight="1" x14ac:dyDescent="0.3">
      <c r="A1" s="28" t="s">
        <v>558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3" spans="1:12" ht="25.65" customHeight="1" x14ac:dyDescent="0.3">
      <c r="A3" s="22" t="s">
        <v>326</v>
      </c>
      <c r="B3" s="22" t="s">
        <v>58</v>
      </c>
      <c r="C3" s="22" t="s">
        <v>559</v>
      </c>
      <c r="D3" s="22" t="s">
        <v>560</v>
      </c>
      <c r="E3" s="22" t="s">
        <v>510</v>
      </c>
      <c r="F3" s="22" t="s">
        <v>561</v>
      </c>
      <c r="G3" s="22" t="s">
        <v>65</v>
      </c>
      <c r="H3" s="22" t="s">
        <v>66</v>
      </c>
      <c r="I3" s="22" t="s">
        <v>67</v>
      </c>
      <c r="J3" s="22" t="s">
        <v>68</v>
      </c>
      <c r="K3" s="22" t="s">
        <v>69</v>
      </c>
      <c r="L3" s="22" t="s">
        <v>70</v>
      </c>
    </row>
    <row r="4" spans="1:12" ht="24" customHeight="1" x14ac:dyDescent="0.3">
      <c r="A4" s="20" t="s">
        <v>12</v>
      </c>
      <c r="B4" s="20" t="s">
        <v>245</v>
      </c>
      <c r="C4" s="20">
        <v>1</v>
      </c>
      <c r="D4" s="20" t="s">
        <v>13</v>
      </c>
      <c r="E4" s="20" t="s">
        <v>200</v>
      </c>
      <c r="F4" s="20" t="s">
        <v>244</v>
      </c>
      <c r="G4" s="20" t="s">
        <v>450</v>
      </c>
      <c r="H4" s="20" t="s">
        <v>451</v>
      </c>
      <c r="I4" s="20" t="s">
        <v>452</v>
      </c>
      <c r="J4" s="20" t="s">
        <v>453</v>
      </c>
      <c r="K4" s="20" t="s">
        <v>454</v>
      </c>
      <c r="L4" s="20" t="s">
        <v>455</v>
      </c>
    </row>
    <row r="5" spans="1:12" ht="24" customHeight="1" x14ac:dyDescent="0.3">
      <c r="A5" s="20" t="s">
        <v>12</v>
      </c>
      <c r="B5" s="20" t="s">
        <v>183</v>
      </c>
      <c r="C5" s="20">
        <v>1</v>
      </c>
      <c r="D5" s="20" t="s">
        <v>13</v>
      </c>
      <c r="E5" s="20" t="s">
        <v>164</v>
      </c>
      <c r="F5" s="20" t="s">
        <v>182</v>
      </c>
      <c r="G5" s="20" t="s">
        <v>450</v>
      </c>
      <c r="H5" s="20" t="s">
        <v>451</v>
      </c>
      <c r="I5" s="20" t="s">
        <v>452</v>
      </c>
      <c r="J5" s="20" t="s">
        <v>453</v>
      </c>
      <c r="K5" s="20" t="s">
        <v>454</v>
      </c>
      <c r="L5" s="20" t="s">
        <v>455</v>
      </c>
    </row>
    <row r="6" spans="1:12" ht="24" customHeight="1" x14ac:dyDescent="0.3">
      <c r="A6" s="20" t="s">
        <v>458</v>
      </c>
      <c r="B6" s="20" t="s">
        <v>130</v>
      </c>
      <c r="C6" s="20">
        <v>3</v>
      </c>
      <c r="D6" s="20" t="s">
        <v>562</v>
      </c>
      <c r="E6" s="20" t="s">
        <v>72</v>
      </c>
      <c r="F6" s="20" t="s">
        <v>129</v>
      </c>
      <c r="G6" s="20" t="s">
        <v>428</v>
      </c>
      <c r="H6" s="20" t="s">
        <v>429</v>
      </c>
      <c r="I6" s="20" t="s">
        <v>125</v>
      </c>
      <c r="J6" s="20" t="s">
        <v>460</v>
      </c>
      <c r="K6" s="20" t="s">
        <v>461</v>
      </c>
      <c r="L6" s="20" t="s">
        <v>462</v>
      </c>
    </row>
    <row r="7" spans="1:12" ht="24" customHeight="1" x14ac:dyDescent="0.3">
      <c r="A7" s="20" t="s">
        <v>166</v>
      </c>
      <c r="B7" s="20" t="s">
        <v>165</v>
      </c>
      <c r="C7" s="20">
        <v>2</v>
      </c>
      <c r="D7" s="20" t="s">
        <v>563</v>
      </c>
      <c r="E7" s="20" t="s">
        <v>164</v>
      </c>
      <c r="F7" s="20" t="s">
        <v>163</v>
      </c>
      <c r="G7" s="20" t="s">
        <v>168</v>
      </c>
      <c r="H7" s="20" t="s">
        <v>169</v>
      </c>
      <c r="I7" s="20" t="s">
        <v>78</v>
      </c>
      <c r="J7" s="20" t="s">
        <v>170</v>
      </c>
      <c r="K7" s="20" t="s">
        <v>171</v>
      </c>
      <c r="L7" s="20" t="s">
        <v>172</v>
      </c>
    </row>
    <row r="8" spans="1:12" ht="24" customHeight="1" x14ac:dyDescent="0.3">
      <c r="A8" s="20" t="s">
        <v>499</v>
      </c>
      <c r="B8" s="20" t="s">
        <v>192</v>
      </c>
      <c r="C8" s="20">
        <v>1</v>
      </c>
      <c r="D8" s="20" t="s">
        <v>20</v>
      </c>
      <c r="E8" s="20" t="s">
        <v>164</v>
      </c>
      <c r="F8" s="20" t="s">
        <v>191</v>
      </c>
      <c r="G8" s="20" t="s">
        <v>428</v>
      </c>
      <c r="H8" s="20" t="s">
        <v>429</v>
      </c>
      <c r="I8" s="20" t="s">
        <v>125</v>
      </c>
      <c r="J8" s="20" t="s">
        <v>500</v>
      </c>
      <c r="K8" s="20" t="s">
        <v>501</v>
      </c>
      <c r="L8" s="20" t="s">
        <v>502</v>
      </c>
    </row>
    <row r="9" spans="1:12" ht="24" customHeight="1" x14ac:dyDescent="0.3">
      <c r="A9" s="20" t="s">
        <v>15</v>
      </c>
      <c r="B9" s="20" t="s">
        <v>245</v>
      </c>
      <c r="C9" s="20">
        <v>1</v>
      </c>
      <c r="D9" s="20" t="s">
        <v>13</v>
      </c>
      <c r="E9" s="20" t="s">
        <v>200</v>
      </c>
      <c r="F9" s="20" t="s">
        <v>244</v>
      </c>
      <c r="G9" s="20" t="s">
        <v>317</v>
      </c>
      <c r="H9" s="20" t="s">
        <v>318</v>
      </c>
      <c r="I9" s="20" t="s">
        <v>78</v>
      </c>
      <c r="J9" s="20" t="s">
        <v>319</v>
      </c>
      <c r="K9" s="20" t="s">
        <v>320</v>
      </c>
      <c r="L9" s="20" t="s">
        <v>321</v>
      </c>
    </row>
    <row r="10" spans="1:12" ht="24" customHeight="1" x14ac:dyDescent="0.3">
      <c r="A10" s="20" t="s">
        <v>15</v>
      </c>
      <c r="B10" s="20" t="s">
        <v>183</v>
      </c>
      <c r="C10" s="20">
        <v>1</v>
      </c>
      <c r="D10" s="20" t="s">
        <v>13</v>
      </c>
      <c r="E10" s="20" t="s">
        <v>164</v>
      </c>
      <c r="F10" s="20" t="s">
        <v>182</v>
      </c>
      <c r="G10" s="20" t="s">
        <v>317</v>
      </c>
      <c r="H10" s="20" t="s">
        <v>318</v>
      </c>
      <c r="I10" s="20" t="s">
        <v>78</v>
      </c>
      <c r="J10" s="20" t="s">
        <v>319</v>
      </c>
      <c r="K10" s="20" t="s">
        <v>320</v>
      </c>
      <c r="L10" s="20" t="s">
        <v>321</v>
      </c>
    </row>
    <row r="11" spans="1:12" ht="24" customHeight="1" x14ac:dyDescent="0.3">
      <c r="A11" s="20" t="s">
        <v>15</v>
      </c>
      <c r="B11" s="20" t="s">
        <v>315</v>
      </c>
      <c r="C11" s="20">
        <v>3</v>
      </c>
      <c r="D11" s="20" t="s">
        <v>564</v>
      </c>
      <c r="E11" s="20" t="s">
        <v>288</v>
      </c>
      <c r="F11" s="20" t="s">
        <v>314</v>
      </c>
      <c r="G11" s="20" t="s">
        <v>317</v>
      </c>
      <c r="H11" s="20" t="s">
        <v>318</v>
      </c>
      <c r="I11" s="20" t="s">
        <v>78</v>
      </c>
      <c r="J11" s="20" t="s">
        <v>319</v>
      </c>
      <c r="K11" s="20" t="s">
        <v>320</v>
      </c>
      <c r="L11" s="20" t="s">
        <v>321</v>
      </c>
    </row>
    <row r="12" spans="1:12" ht="24" customHeight="1" x14ac:dyDescent="0.3">
      <c r="A12" s="20" t="s">
        <v>17</v>
      </c>
      <c r="B12" s="20" t="s">
        <v>245</v>
      </c>
      <c r="C12" s="20">
        <v>1</v>
      </c>
      <c r="D12" s="20" t="s">
        <v>13</v>
      </c>
      <c r="E12" s="20" t="s">
        <v>200</v>
      </c>
      <c r="F12" s="20" t="s">
        <v>244</v>
      </c>
      <c r="G12" s="20" t="s">
        <v>317</v>
      </c>
      <c r="H12" s="20" t="s">
        <v>318</v>
      </c>
      <c r="I12" s="20" t="s">
        <v>78</v>
      </c>
      <c r="J12" s="20" t="s">
        <v>456</v>
      </c>
      <c r="K12" s="20" t="s">
        <v>320</v>
      </c>
      <c r="L12" s="20" t="s">
        <v>457</v>
      </c>
    </row>
    <row r="13" spans="1:12" ht="24" customHeight="1" x14ac:dyDescent="0.3">
      <c r="A13" s="20" t="s">
        <v>17</v>
      </c>
      <c r="B13" s="20" t="s">
        <v>183</v>
      </c>
      <c r="C13" s="20">
        <v>1</v>
      </c>
      <c r="D13" s="20" t="s">
        <v>13</v>
      </c>
      <c r="E13" s="20" t="s">
        <v>164</v>
      </c>
      <c r="F13" s="20" t="s">
        <v>182</v>
      </c>
      <c r="G13" s="20" t="s">
        <v>317</v>
      </c>
      <c r="H13" s="20" t="s">
        <v>318</v>
      </c>
      <c r="I13" s="20" t="s">
        <v>78</v>
      </c>
      <c r="J13" s="20" t="s">
        <v>456</v>
      </c>
      <c r="K13" s="20" t="s">
        <v>320</v>
      </c>
      <c r="L13" s="20" t="s">
        <v>457</v>
      </c>
    </row>
    <row r="14" spans="1:12" ht="24" customHeight="1" x14ac:dyDescent="0.3">
      <c r="A14" s="20" t="s">
        <v>19</v>
      </c>
      <c r="B14" s="20" t="s">
        <v>192</v>
      </c>
      <c r="C14" s="20">
        <v>1</v>
      </c>
      <c r="D14" s="20" t="s">
        <v>20</v>
      </c>
      <c r="E14" s="20" t="s">
        <v>164</v>
      </c>
      <c r="F14" s="20" t="s">
        <v>191</v>
      </c>
      <c r="G14" s="20" t="s">
        <v>428</v>
      </c>
      <c r="H14" s="20" t="s">
        <v>429</v>
      </c>
      <c r="I14" s="20" t="s">
        <v>78</v>
      </c>
      <c r="J14" s="20" t="s">
        <v>503</v>
      </c>
      <c r="K14" s="20" t="s">
        <v>197</v>
      </c>
      <c r="L14" s="20" t="s">
        <v>504</v>
      </c>
    </row>
    <row r="15" spans="1:12" ht="24" customHeight="1" x14ac:dyDescent="0.3">
      <c r="A15" s="20" t="s">
        <v>19</v>
      </c>
      <c r="B15" s="20" t="s">
        <v>254</v>
      </c>
      <c r="C15" s="20">
        <v>2</v>
      </c>
      <c r="D15" s="20" t="s">
        <v>565</v>
      </c>
      <c r="E15" s="20" t="s">
        <v>200</v>
      </c>
      <c r="F15" s="20" t="s">
        <v>253</v>
      </c>
      <c r="G15" s="20" t="s">
        <v>428</v>
      </c>
      <c r="H15" s="20" t="s">
        <v>429</v>
      </c>
      <c r="I15" s="20" t="s">
        <v>78</v>
      </c>
      <c r="J15" s="20" t="s">
        <v>503</v>
      </c>
      <c r="K15" s="20" t="s">
        <v>197</v>
      </c>
      <c r="L15" s="20" t="s">
        <v>504</v>
      </c>
    </row>
    <row r="16" spans="1:12" ht="24" customHeight="1" x14ac:dyDescent="0.3">
      <c r="A16" s="20" t="s">
        <v>22</v>
      </c>
      <c r="B16" s="20" t="s">
        <v>192</v>
      </c>
      <c r="C16" s="20">
        <v>1</v>
      </c>
      <c r="D16" s="20" t="s">
        <v>20</v>
      </c>
      <c r="E16" s="20" t="s">
        <v>164</v>
      </c>
      <c r="F16" s="20" t="s">
        <v>191</v>
      </c>
      <c r="G16" s="20" t="s">
        <v>433</v>
      </c>
      <c r="H16" s="20" t="s">
        <v>434</v>
      </c>
      <c r="I16" s="20" t="s">
        <v>78</v>
      </c>
      <c r="J16" s="20" t="s">
        <v>505</v>
      </c>
      <c r="K16" s="20" t="s">
        <v>197</v>
      </c>
      <c r="L16" s="20" t="s">
        <v>506</v>
      </c>
    </row>
    <row r="17" spans="1:12" ht="24" customHeight="1" x14ac:dyDescent="0.3">
      <c r="A17" s="20" t="s">
        <v>22</v>
      </c>
      <c r="B17" s="20" t="s">
        <v>254</v>
      </c>
      <c r="C17" s="20">
        <v>2</v>
      </c>
      <c r="D17" s="20" t="s">
        <v>565</v>
      </c>
      <c r="E17" s="20" t="s">
        <v>200</v>
      </c>
      <c r="F17" s="20" t="s">
        <v>253</v>
      </c>
      <c r="G17" s="20" t="s">
        <v>433</v>
      </c>
      <c r="H17" s="20" t="s">
        <v>434</v>
      </c>
      <c r="I17" s="20" t="s">
        <v>78</v>
      </c>
      <c r="J17" s="20" t="s">
        <v>505</v>
      </c>
      <c r="K17" s="20" t="s">
        <v>197</v>
      </c>
      <c r="L17" s="20" t="s">
        <v>506</v>
      </c>
    </row>
    <row r="18" spans="1:12" ht="24" customHeight="1" x14ac:dyDescent="0.3">
      <c r="A18" s="20" t="s">
        <v>330</v>
      </c>
      <c r="B18" s="20" t="s">
        <v>124</v>
      </c>
      <c r="C18" s="20">
        <v>1</v>
      </c>
      <c r="D18" s="20" t="s">
        <v>27</v>
      </c>
      <c r="E18" s="20" t="s">
        <v>200</v>
      </c>
      <c r="F18" s="20" t="s">
        <v>199</v>
      </c>
      <c r="G18" s="20" t="s">
        <v>332</v>
      </c>
      <c r="H18" s="20" t="s">
        <v>333</v>
      </c>
      <c r="I18" s="20" t="s">
        <v>152</v>
      </c>
      <c r="J18" s="20" t="s">
        <v>334</v>
      </c>
      <c r="K18" s="20" t="s">
        <v>335</v>
      </c>
      <c r="L18" s="20" t="s">
        <v>336</v>
      </c>
    </row>
    <row r="19" spans="1:12" ht="24" customHeight="1" x14ac:dyDescent="0.3">
      <c r="A19" s="20" t="s">
        <v>24</v>
      </c>
      <c r="B19" s="20" t="s">
        <v>247</v>
      </c>
      <c r="C19" s="20">
        <v>2</v>
      </c>
      <c r="D19" s="20" t="s">
        <v>248</v>
      </c>
      <c r="E19" s="20" t="s">
        <v>200</v>
      </c>
      <c r="F19" s="20" t="s">
        <v>246</v>
      </c>
      <c r="G19" s="20" t="s">
        <v>494</v>
      </c>
      <c r="H19" s="20" t="s">
        <v>495</v>
      </c>
      <c r="I19" s="20" t="s">
        <v>152</v>
      </c>
      <c r="J19" s="20" t="s">
        <v>251</v>
      </c>
      <c r="K19" s="20" t="s">
        <v>161</v>
      </c>
      <c r="L19" s="20" t="s">
        <v>252</v>
      </c>
    </row>
    <row r="20" spans="1:12" ht="24" customHeight="1" x14ac:dyDescent="0.3">
      <c r="A20" s="20" t="s">
        <v>24</v>
      </c>
      <c r="B20" s="20" t="s">
        <v>157</v>
      </c>
      <c r="C20" s="20">
        <v>1</v>
      </c>
      <c r="D20" s="20" t="s">
        <v>25</v>
      </c>
      <c r="E20" s="20" t="s">
        <v>72</v>
      </c>
      <c r="F20" s="20" t="s">
        <v>156</v>
      </c>
      <c r="G20" s="20" t="s">
        <v>497</v>
      </c>
      <c r="H20" s="20" t="s">
        <v>498</v>
      </c>
      <c r="I20" s="20" t="s">
        <v>152</v>
      </c>
      <c r="J20" s="20" t="s">
        <v>160</v>
      </c>
      <c r="K20" s="20" t="s">
        <v>161</v>
      </c>
      <c r="L20" s="20" t="s">
        <v>162</v>
      </c>
    </row>
    <row r="21" spans="1:12" ht="24" customHeight="1" x14ac:dyDescent="0.3">
      <c r="A21" s="20" t="s">
        <v>112</v>
      </c>
      <c r="B21" s="20" t="s">
        <v>111</v>
      </c>
      <c r="C21" s="20">
        <v>2</v>
      </c>
      <c r="D21" s="20" t="s">
        <v>113</v>
      </c>
      <c r="E21" s="20" t="s">
        <v>72</v>
      </c>
      <c r="F21" s="20" t="s">
        <v>110</v>
      </c>
      <c r="G21" s="20" t="s">
        <v>114</v>
      </c>
      <c r="H21" s="20" t="s">
        <v>115</v>
      </c>
      <c r="I21" s="20" t="s">
        <v>78</v>
      </c>
      <c r="J21" s="20" t="s">
        <v>116</v>
      </c>
      <c r="K21" s="20" t="s">
        <v>117</v>
      </c>
      <c r="L21" s="20" t="s">
        <v>118</v>
      </c>
    </row>
    <row r="22" spans="1:12" ht="24" customHeight="1" x14ac:dyDescent="0.3">
      <c r="A22" s="20" t="s">
        <v>483</v>
      </c>
      <c r="B22" s="20" t="s">
        <v>147</v>
      </c>
      <c r="C22" s="20">
        <v>1</v>
      </c>
      <c r="D22" s="20" t="s">
        <v>149</v>
      </c>
      <c r="E22" s="20" t="s">
        <v>72</v>
      </c>
      <c r="F22" s="20" t="s">
        <v>146</v>
      </c>
      <c r="G22" s="20" t="s">
        <v>484</v>
      </c>
      <c r="H22" s="20" t="s">
        <v>485</v>
      </c>
      <c r="I22" s="20" t="s">
        <v>152</v>
      </c>
      <c r="J22" s="20" t="s">
        <v>486</v>
      </c>
      <c r="K22" s="20" t="s">
        <v>487</v>
      </c>
      <c r="L22" s="20" t="s">
        <v>488</v>
      </c>
    </row>
    <row r="23" spans="1:12" ht="24" customHeight="1" x14ac:dyDescent="0.3">
      <c r="A23" s="20" t="s">
        <v>26</v>
      </c>
      <c r="B23" s="20" t="s">
        <v>124</v>
      </c>
      <c r="C23" s="20">
        <v>1</v>
      </c>
      <c r="D23" s="20" t="s">
        <v>27</v>
      </c>
      <c r="E23" s="20" t="s">
        <v>200</v>
      </c>
      <c r="F23" s="20" t="s">
        <v>199</v>
      </c>
      <c r="G23" s="20" t="s">
        <v>290</v>
      </c>
      <c r="H23" s="20" t="s">
        <v>291</v>
      </c>
      <c r="I23" s="20" t="s">
        <v>78</v>
      </c>
      <c r="J23" s="20" t="s">
        <v>292</v>
      </c>
      <c r="K23" s="20" t="s">
        <v>293</v>
      </c>
      <c r="L23" s="20" t="s">
        <v>294</v>
      </c>
    </row>
    <row r="24" spans="1:12" ht="24" customHeight="1" x14ac:dyDescent="0.3">
      <c r="A24" s="20" t="s">
        <v>26</v>
      </c>
      <c r="B24" s="20" t="s">
        <v>289</v>
      </c>
      <c r="C24" s="20">
        <v>1</v>
      </c>
      <c r="D24" s="20" t="s">
        <v>27</v>
      </c>
      <c r="E24" s="20" t="s">
        <v>288</v>
      </c>
      <c r="F24" s="20" t="s">
        <v>287</v>
      </c>
      <c r="G24" s="20" t="s">
        <v>290</v>
      </c>
      <c r="H24" s="20" t="s">
        <v>291</v>
      </c>
      <c r="I24" s="20" t="s">
        <v>78</v>
      </c>
      <c r="J24" s="20" t="s">
        <v>292</v>
      </c>
      <c r="K24" s="20" t="s">
        <v>293</v>
      </c>
      <c r="L24" s="20" t="s">
        <v>294</v>
      </c>
    </row>
    <row r="25" spans="1:12" ht="24" customHeight="1" x14ac:dyDescent="0.3">
      <c r="A25" s="20" t="s">
        <v>308</v>
      </c>
      <c r="B25" s="20" t="s">
        <v>124</v>
      </c>
      <c r="C25" s="20">
        <v>1</v>
      </c>
      <c r="D25" s="20" t="s">
        <v>27</v>
      </c>
      <c r="E25" s="20" t="s">
        <v>200</v>
      </c>
      <c r="F25" s="20" t="s">
        <v>199</v>
      </c>
      <c r="G25" s="20" t="s">
        <v>310</v>
      </c>
      <c r="H25" s="20" t="s">
        <v>311</v>
      </c>
      <c r="I25" s="20" t="s">
        <v>78</v>
      </c>
      <c r="J25" s="20" t="s">
        <v>312</v>
      </c>
      <c r="K25" s="20" t="s">
        <v>293</v>
      </c>
      <c r="L25" s="20" t="s">
        <v>313</v>
      </c>
    </row>
    <row r="26" spans="1:12" ht="24" customHeight="1" x14ac:dyDescent="0.3">
      <c r="A26" s="20" t="s">
        <v>308</v>
      </c>
      <c r="B26" s="20" t="s">
        <v>307</v>
      </c>
      <c r="C26" s="20">
        <v>1</v>
      </c>
      <c r="D26" s="20" t="s">
        <v>309</v>
      </c>
      <c r="E26" s="20" t="s">
        <v>288</v>
      </c>
      <c r="F26" s="20" t="s">
        <v>306</v>
      </c>
      <c r="G26" s="20" t="s">
        <v>310</v>
      </c>
      <c r="H26" s="20" t="s">
        <v>311</v>
      </c>
      <c r="I26" s="20" t="s">
        <v>78</v>
      </c>
      <c r="J26" s="20" t="s">
        <v>312</v>
      </c>
      <c r="K26" s="20" t="s">
        <v>293</v>
      </c>
      <c r="L26" s="20" t="s">
        <v>313</v>
      </c>
    </row>
    <row r="27" spans="1:12" ht="24" customHeight="1" x14ac:dyDescent="0.3">
      <c r="A27" s="20" t="s">
        <v>29</v>
      </c>
      <c r="B27" s="20" t="s">
        <v>124</v>
      </c>
      <c r="C27" s="20">
        <v>1</v>
      </c>
      <c r="D27" s="20" t="s">
        <v>27</v>
      </c>
      <c r="E27" s="20" t="s">
        <v>200</v>
      </c>
      <c r="F27" s="20" t="s">
        <v>199</v>
      </c>
      <c r="G27" s="20" t="s">
        <v>337</v>
      </c>
      <c r="H27" s="20" t="s">
        <v>338</v>
      </c>
      <c r="I27" s="20" t="s">
        <v>152</v>
      </c>
      <c r="J27" s="20" t="s">
        <v>339</v>
      </c>
      <c r="K27" s="20" t="s">
        <v>340</v>
      </c>
      <c r="L27" s="20" t="s">
        <v>341</v>
      </c>
    </row>
    <row r="28" spans="1:12" ht="24" customHeight="1" x14ac:dyDescent="0.3">
      <c r="A28" s="20" t="s">
        <v>29</v>
      </c>
      <c r="B28" s="20" t="s">
        <v>280</v>
      </c>
      <c r="C28" s="20">
        <v>1</v>
      </c>
      <c r="D28" s="20" t="s">
        <v>30</v>
      </c>
      <c r="E28" s="20" t="s">
        <v>260</v>
      </c>
      <c r="F28" s="20" t="s">
        <v>279</v>
      </c>
      <c r="G28" s="20" t="s">
        <v>355</v>
      </c>
      <c r="H28" s="20" t="s">
        <v>356</v>
      </c>
      <c r="I28" s="20" t="s">
        <v>152</v>
      </c>
      <c r="J28" s="20" t="s">
        <v>297</v>
      </c>
      <c r="K28" s="20" t="s">
        <v>285</v>
      </c>
      <c r="L28" s="20" t="s">
        <v>298</v>
      </c>
    </row>
    <row r="29" spans="1:12" ht="24" customHeight="1" x14ac:dyDescent="0.3">
      <c r="A29" s="20" t="s">
        <v>29</v>
      </c>
      <c r="B29" s="20" t="s">
        <v>296</v>
      </c>
      <c r="C29" s="20">
        <v>1</v>
      </c>
      <c r="D29" s="20" t="s">
        <v>30</v>
      </c>
      <c r="E29" s="20" t="s">
        <v>288</v>
      </c>
      <c r="F29" s="20" t="s">
        <v>295</v>
      </c>
      <c r="G29" s="20" t="s">
        <v>355</v>
      </c>
      <c r="H29" s="20" t="s">
        <v>356</v>
      </c>
      <c r="I29" s="20" t="s">
        <v>152</v>
      </c>
      <c r="J29" s="20" t="s">
        <v>297</v>
      </c>
      <c r="K29" s="20" t="s">
        <v>285</v>
      </c>
      <c r="L29" s="20" t="s">
        <v>298</v>
      </c>
    </row>
    <row r="30" spans="1:12" ht="24" customHeight="1" x14ac:dyDescent="0.3">
      <c r="A30" s="20" t="s">
        <v>29</v>
      </c>
      <c r="B30" s="20" t="s">
        <v>147</v>
      </c>
      <c r="C30" s="20">
        <v>1</v>
      </c>
      <c r="D30" s="20" t="s">
        <v>149</v>
      </c>
      <c r="E30" s="20" t="s">
        <v>72</v>
      </c>
      <c r="F30" s="20" t="s">
        <v>146</v>
      </c>
      <c r="G30" s="20" t="s">
        <v>489</v>
      </c>
      <c r="H30" s="20" t="s">
        <v>490</v>
      </c>
      <c r="I30" s="20" t="s">
        <v>152</v>
      </c>
      <c r="J30" s="20" t="s">
        <v>491</v>
      </c>
      <c r="K30" s="20" t="s">
        <v>492</v>
      </c>
      <c r="L30" s="20" t="s">
        <v>493</v>
      </c>
    </row>
    <row r="31" spans="1:12" ht="24" customHeight="1" x14ac:dyDescent="0.3">
      <c r="A31" s="20" t="s">
        <v>388</v>
      </c>
      <c r="B31" s="20" t="s">
        <v>227</v>
      </c>
      <c r="C31" s="20">
        <v>5</v>
      </c>
      <c r="D31" s="20" t="s">
        <v>566</v>
      </c>
      <c r="E31" s="20" t="s">
        <v>200</v>
      </c>
      <c r="F31" s="20" t="s">
        <v>226</v>
      </c>
      <c r="G31" s="20" t="s">
        <v>390</v>
      </c>
      <c r="H31" s="20" t="s">
        <v>391</v>
      </c>
      <c r="I31" s="20" t="s">
        <v>125</v>
      </c>
      <c r="J31" s="20" t="s">
        <v>392</v>
      </c>
      <c r="K31" s="20" t="s">
        <v>233</v>
      </c>
      <c r="L31" s="20" t="s">
        <v>393</v>
      </c>
    </row>
    <row r="32" spans="1:12" ht="24" customHeight="1" x14ac:dyDescent="0.3">
      <c r="A32" s="20" t="s">
        <v>31</v>
      </c>
      <c r="B32" s="20" t="s">
        <v>93</v>
      </c>
      <c r="C32" s="20">
        <v>2</v>
      </c>
      <c r="D32" s="20" t="s">
        <v>95</v>
      </c>
      <c r="E32" s="20" t="s">
        <v>72</v>
      </c>
      <c r="F32" s="20" t="s">
        <v>92</v>
      </c>
      <c r="G32" s="20" t="s">
        <v>96</v>
      </c>
      <c r="H32" s="20" t="s">
        <v>97</v>
      </c>
      <c r="I32" s="20" t="s">
        <v>78</v>
      </c>
      <c r="J32" s="20" t="s">
        <v>406</v>
      </c>
      <c r="K32" s="20" t="s">
        <v>99</v>
      </c>
      <c r="L32" s="20" t="s">
        <v>407</v>
      </c>
    </row>
    <row r="33" spans="1:12" ht="24" customHeight="1" x14ac:dyDescent="0.3">
      <c r="A33" s="20" t="s">
        <v>31</v>
      </c>
      <c r="B33" s="20" t="s">
        <v>102</v>
      </c>
      <c r="C33" s="20">
        <v>8</v>
      </c>
      <c r="D33" s="20" t="s">
        <v>567</v>
      </c>
      <c r="E33" s="20" t="s">
        <v>72</v>
      </c>
      <c r="F33" s="20" t="s">
        <v>101</v>
      </c>
      <c r="G33" s="20" t="s">
        <v>105</v>
      </c>
      <c r="H33" s="20" t="s">
        <v>106</v>
      </c>
      <c r="I33" s="20" t="s">
        <v>78</v>
      </c>
      <c r="J33" s="20" t="s">
        <v>414</v>
      </c>
      <c r="K33" s="20" t="s">
        <v>108</v>
      </c>
      <c r="L33" s="20" t="s">
        <v>415</v>
      </c>
    </row>
    <row r="34" spans="1:12" ht="24" customHeight="1" x14ac:dyDescent="0.3">
      <c r="A34" s="20" t="s">
        <v>31</v>
      </c>
      <c r="B34" s="20" t="s">
        <v>130</v>
      </c>
      <c r="C34" s="20">
        <v>3</v>
      </c>
      <c r="D34" s="20" t="s">
        <v>562</v>
      </c>
      <c r="E34" s="20" t="s">
        <v>72</v>
      </c>
      <c r="F34" s="20" t="s">
        <v>129</v>
      </c>
      <c r="G34" s="20" t="s">
        <v>464</v>
      </c>
      <c r="H34" s="20" t="s">
        <v>465</v>
      </c>
      <c r="I34" s="20" t="s">
        <v>222</v>
      </c>
      <c r="J34" s="20" t="s">
        <v>466</v>
      </c>
      <c r="K34" s="20" t="s">
        <v>137</v>
      </c>
      <c r="L34" s="20" t="s">
        <v>467</v>
      </c>
    </row>
    <row r="35" spans="1:12" ht="24" customHeight="1" x14ac:dyDescent="0.3">
      <c r="A35" s="20" t="s">
        <v>409</v>
      </c>
      <c r="B35" s="20" t="s">
        <v>93</v>
      </c>
      <c r="C35" s="20">
        <v>2</v>
      </c>
      <c r="D35" s="20" t="s">
        <v>95</v>
      </c>
      <c r="E35" s="20" t="s">
        <v>72</v>
      </c>
      <c r="F35" s="20" t="s">
        <v>92</v>
      </c>
      <c r="G35" s="20" t="s">
        <v>96</v>
      </c>
      <c r="H35" s="20" t="s">
        <v>97</v>
      </c>
      <c r="I35" s="20" t="s">
        <v>78</v>
      </c>
      <c r="J35" s="20" t="s">
        <v>410</v>
      </c>
      <c r="K35" s="20" t="s">
        <v>99</v>
      </c>
      <c r="L35" s="20" t="s">
        <v>411</v>
      </c>
    </row>
    <row r="36" spans="1:12" ht="24" customHeight="1" x14ac:dyDescent="0.3">
      <c r="A36" s="20" t="s">
        <v>409</v>
      </c>
      <c r="B36" s="20" t="s">
        <v>130</v>
      </c>
      <c r="C36" s="20">
        <v>3</v>
      </c>
      <c r="D36" s="20" t="s">
        <v>562</v>
      </c>
      <c r="E36" s="20" t="s">
        <v>72</v>
      </c>
      <c r="F36" s="20" t="s">
        <v>129</v>
      </c>
      <c r="G36" s="20" t="s">
        <v>468</v>
      </c>
      <c r="H36" s="20" t="s">
        <v>469</v>
      </c>
      <c r="I36" s="20" t="s">
        <v>222</v>
      </c>
      <c r="J36" s="20" t="s">
        <v>470</v>
      </c>
      <c r="K36" s="20" t="s">
        <v>471</v>
      </c>
      <c r="L36" s="20" t="s">
        <v>472</v>
      </c>
    </row>
    <row r="37" spans="1:12" ht="24" customHeight="1" x14ac:dyDescent="0.3">
      <c r="A37" s="20" t="s">
        <v>33</v>
      </c>
      <c r="B37" s="20" t="s">
        <v>93</v>
      </c>
      <c r="C37" s="20">
        <v>2</v>
      </c>
      <c r="D37" s="20" t="s">
        <v>95</v>
      </c>
      <c r="E37" s="20" t="s">
        <v>72</v>
      </c>
      <c r="F37" s="20" t="s">
        <v>92</v>
      </c>
      <c r="G37" s="20" t="s">
        <v>96</v>
      </c>
      <c r="H37" s="20" t="s">
        <v>97</v>
      </c>
      <c r="I37" s="20" t="s">
        <v>125</v>
      </c>
      <c r="J37" s="20" t="s">
        <v>412</v>
      </c>
      <c r="K37" s="20" t="s">
        <v>99</v>
      </c>
      <c r="L37" s="20" t="s">
        <v>413</v>
      </c>
    </row>
    <row r="38" spans="1:12" ht="24" customHeight="1" x14ac:dyDescent="0.3">
      <c r="A38" s="20" t="s">
        <v>33</v>
      </c>
      <c r="B38" s="20" t="s">
        <v>102</v>
      </c>
      <c r="C38" s="20">
        <v>8</v>
      </c>
      <c r="D38" s="20" t="s">
        <v>567</v>
      </c>
      <c r="E38" s="20" t="s">
        <v>72</v>
      </c>
      <c r="F38" s="20" t="s">
        <v>101</v>
      </c>
      <c r="G38" s="20" t="s">
        <v>105</v>
      </c>
      <c r="H38" s="20" t="s">
        <v>106</v>
      </c>
      <c r="I38" s="20" t="s">
        <v>78</v>
      </c>
      <c r="J38" s="20" t="s">
        <v>423</v>
      </c>
      <c r="K38" s="20" t="s">
        <v>108</v>
      </c>
      <c r="L38" s="20" t="s">
        <v>424</v>
      </c>
    </row>
    <row r="39" spans="1:12" ht="24" customHeight="1" x14ac:dyDescent="0.3">
      <c r="A39" s="20" t="s">
        <v>141</v>
      </c>
      <c r="B39" s="20" t="s">
        <v>140</v>
      </c>
      <c r="C39" s="20">
        <v>2</v>
      </c>
      <c r="D39" s="20" t="s">
        <v>568</v>
      </c>
      <c r="E39" s="20" t="s">
        <v>72</v>
      </c>
      <c r="F39" s="20" t="s">
        <v>139</v>
      </c>
      <c r="G39" s="20" t="s">
        <v>123</v>
      </c>
      <c r="H39" s="20" t="s">
        <v>124</v>
      </c>
      <c r="I39" s="20" t="s">
        <v>125</v>
      </c>
      <c r="J39" s="20" t="s">
        <v>143</v>
      </c>
      <c r="K39" s="20" t="s">
        <v>144</v>
      </c>
      <c r="L39" s="20" t="s">
        <v>145</v>
      </c>
    </row>
    <row r="40" spans="1:12" ht="24" customHeight="1" x14ac:dyDescent="0.3">
      <c r="A40" s="20" t="s">
        <v>121</v>
      </c>
      <c r="B40" s="20" t="s">
        <v>120</v>
      </c>
      <c r="C40" s="20">
        <v>2</v>
      </c>
      <c r="D40" s="20" t="s">
        <v>122</v>
      </c>
      <c r="E40" s="20" t="s">
        <v>72</v>
      </c>
      <c r="F40" s="20" t="s">
        <v>119</v>
      </c>
      <c r="G40" s="20" t="s">
        <v>123</v>
      </c>
      <c r="H40" s="20" t="s">
        <v>124</v>
      </c>
      <c r="I40" s="20" t="s">
        <v>125</v>
      </c>
      <c r="J40" s="20" t="s">
        <v>126</v>
      </c>
      <c r="K40" s="20" t="s">
        <v>127</v>
      </c>
      <c r="L40" s="20" t="s">
        <v>128</v>
      </c>
    </row>
    <row r="41" spans="1:12" ht="24" customHeight="1" x14ac:dyDescent="0.3">
      <c r="A41" s="20" t="s">
        <v>74</v>
      </c>
      <c r="B41" s="20" t="s">
        <v>73</v>
      </c>
      <c r="C41" s="20">
        <v>4</v>
      </c>
      <c r="D41" s="20" t="s">
        <v>569</v>
      </c>
      <c r="E41" s="20" t="s">
        <v>72</v>
      </c>
      <c r="F41" s="20" t="s">
        <v>71</v>
      </c>
      <c r="G41" s="20" t="s">
        <v>76</v>
      </c>
      <c r="H41" s="20" t="s">
        <v>77</v>
      </c>
      <c r="I41" s="20" t="s">
        <v>78</v>
      </c>
      <c r="J41" s="20" t="s">
        <v>79</v>
      </c>
      <c r="K41" s="20" t="s">
        <v>80</v>
      </c>
      <c r="L41" s="20" t="s">
        <v>81</v>
      </c>
    </row>
    <row r="42" spans="1:12" ht="24" customHeight="1" x14ac:dyDescent="0.3">
      <c r="A42" s="20" t="s">
        <v>473</v>
      </c>
      <c r="B42" s="20" t="s">
        <v>130</v>
      </c>
      <c r="C42" s="20">
        <v>3</v>
      </c>
      <c r="D42" s="20" t="s">
        <v>562</v>
      </c>
      <c r="E42" s="20" t="s">
        <v>72</v>
      </c>
      <c r="F42" s="20" t="s">
        <v>129</v>
      </c>
      <c r="G42" s="20" t="s">
        <v>474</v>
      </c>
      <c r="H42" s="20" t="s">
        <v>475</v>
      </c>
      <c r="I42" s="20" t="s">
        <v>222</v>
      </c>
      <c r="J42" s="20" t="s">
        <v>476</v>
      </c>
      <c r="K42" s="20" t="s">
        <v>477</v>
      </c>
      <c r="L42" s="20" t="s">
        <v>478</v>
      </c>
    </row>
    <row r="43" spans="1:12" ht="24" customHeight="1" x14ac:dyDescent="0.3">
      <c r="A43" s="20" t="s">
        <v>427</v>
      </c>
      <c r="B43" s="20" t="s">
        <v>300</v>
      </c>
      <c r="C43" s="20">
        <v>1</v>
      </c>
      <c r="D43" s="20" t="s">
        <v>302</v>
      </c>
      <c r="E43" s="20" t="s">
        <v>288</v>
      </c>
      <c r="F43" s="20" t="s">
        <v>299</v>
      </c>
      <c r="G43" s="20" t="s">
        <v>428</v>
      </c>
      <c r="H43" s="20" t="s">
        <v>429</v>
      </c>
      <c r="I43" s="20" t="s">
        <v>125</v>
      </c>
      <c r="J43" s="20" t="s">
        <v>430</v>
      </c>
      <c r="K43" s="20" t="s">
        <v>304</v>
      </c>
      <c r="L43" s="20" t="s">
        <v>431</v>
      </c>
    </row>
    <row r="44" spans="1:12" ht="24" customHeight="1" x14ac:dyDescent="0.3">
      <c r="A44" s="20" t="s">
        <v>432</v>
      </c>
      <c r="B44" s="20" t="s">
        <v>300</v>
      </c>
      <c r="C44" s="20">
        <v>1</v>
      </c>
      <c r="D44" s="20" t="s">
        <v>302</v>
      </c>
      <c r="E44" s="20" t="s">
        <v>288</v>
      </c>
      <c r="F44" s="20" t="s">
        <v>299</v>
      </c>
      <c r="G44" s="20" t="s">
        <v>433</v>
      </c>
      <c r="H44" s="20" t="s">
        <v>434</v>
      </c>
      <c r="I44" s="20" t="s">
        <v>125</v>
      </c>
      <c r="J44" s="20" t="s">
        <v>435</v>
      </c>
      <c r="K44" s="20" t="s">
        <v>304</v>
      </c>
      <c r="L44" s="20" t="s">
        <v>436</v>
      </c>
    </row>
    <row r="45" spans="1:12" ht="24" customHeight="1" x14ac:dyDescent="0.3">
      <c r="A45" s="20" t="s">
        <v>439</v>
      </c>
      <c r="B45" s="20" t="s">
        <v>236</v>
      </c>
      <c r="C45" s="20">
        <v>2</v>
      </c>
      <c r="D45" s="20" t="s">
        <v>238</v>
      </c>
      <c r="E45" s="20" t="s">
        <v>200</v>
      </c>
      <c r="F45" s="20" t="s">
        <v>235</v>
      </c>
      <c r="G45" s="20" t="s">
        <v>440</v>
      </c>
      <c r="H45" s="20" t="s">
        <v>441</v>
      </c>
      <c r="I45" s="20" t="s">
        <v>78</v>
      </c>
      <c r="J45" s="20" t="s">
        <v>442</v>
      </c>
      <c r="K45" s="20" t="s">
        <v>242</v>
      </c>
      <c r="L45" s="20" t="s">
        <v>443</v>
      </c>
    </row>
    <row r="46" spans="1:12" ht="24" customHeight="1" x14ac:dyDescent="0.3">
      <c r="A46" s="20" t="s">
        <v>445</v>
      </c>
      <c r="B46" s="20" t="s">
        <v>236</v>
      </c>
      <c r="C46" s="20">
        <v>2</v>
      </c>
      <c r="D46" s="20" t="s">
        <v>238</v>
      </c>
      <c r="E46" s="20" t="s">
        <v>200</v>
      </c>
      <c r="F46" s="20" t="s">
        <v>235</v>
      </c>
      <c r="G46" s="20" t="s">
        <v>446</v>
      </c>
      <c r="H46" s="20" t="s">
        <v>447</v>
      </c>
      <c r="I46" s="20" t="s">
        <v>78</v>
      </c>
      <c r="J46" s="20" t="s">
        <v>448</v>
      </c>
      <c r="K46" s="20" t="s">
        <v>242</v>
      </c>
      <c r="L46" s="20" t="s">
        <v>449</v>
      </c>
    </row>
    <row r="47" spans="1:12" ht="24" customHeight="1" x14ac:dyDescent="0.3">
      <c r="A47" s="20" t="s">
        <v>343</v>
      </c>
      <c r="B47" s="20" t="s">
        <v>261</v>
      </c>
      <c r="C47" s="20">
        <v>1</v>
      </c>
      <c r="D47" s="20" t="s">
        <v>263</v>
      </c>
      <c r="E47" s="20" t="s">
        <v>260</v>
      </c>
      <c r="F47" s="20" t="s">
        <v>259</v>
      </c>
      <c r="G47" s="20" t="s">
        <v>344</v>
      </c>
      <c r="H47" s="20" t="s">
        <v>345</v>
      </c>
      <c r="I47" s="20" t="s">
        <v>152</v>
      </c>
      <c r="J47" s="20" t="s">
        <v>346</v>
      </c>
      <c r="K47" s="20" t="s">
        <v>268</v>
      </c>
      <c r="L47" s="20" t="s">
        <v>347</v>
      </c>
    </row>
    <row r="48" spans="1:12" ht="24" customHeight="1" x14ac:dyDescent="0.3">
      <c r="A48" s="20" t="s">
        <v>218</v>
      </c>
      <c r="B48" s="20" t="s">
        <v>217</v>
      </c>
      <c r="C48" s="20">
        <v>2</v>
      </c>
      <c r="D48" s="20" t="s">
        <v>219</v>
      </c>
      <c r="E48" s="20" t="s">
        <v>200</v>
      </c>
      <c r="F48" s="20" t="s">
        <v>216</v>
      </c>
      <c r="G48" s="20" t="s">
        <v>385</v>
      </c>
      <c r="H48" s="20" t="s">
        <v>386</v>
      </c>
      <c r="I48" s="20" t="s">
        <v>222</v>
      </c>
      <c r="J48" s="20" t="s">
        <v>223</v>
      </c>
      <c r="K48" s="20" t="s">
        <v>224</v>
      </c>
      <c r="L48" s="20" t="s">
        <v>225</v>
      </c>
    </row>
    <row r="49" spans="1:12" ht="24" customHeight="1" x14ac:dyDescent="0.3">
      <c r="A49" s="20" t="s">
        <v>34</v>
      </c>
      <c r="B49" s="20" t="s">
        <v>271</v>
      </c>
      <c r="C49" s="20">
        <v>2</v>
      </c>
      <c r="D49" s="20" t="s">
        <v>273</v>
      </c>
      <c r="E49" s="20" t="s">
        <v>260</v>
      </c>
      <c r="F49" s="20" t="s">
        <v>270</v>
      </c>
      <c r="G49" s="20" t="s">
        <v>352</v>
      </c>
      <c r="H49" s="20" t="s">
        <v>353</v>
      </c>
      <c r="I49" s="20" t="s">
        <v>222</v>
      </c>
      <c r="J49" s="20" t="s">
        <v>324</v>
      </c>
      <c r="K49" s="20" t="s">
        <v>277</v>
      </c>
      <c r="L49" s="20" t="s">
        <v>325</v>
      </c>
    </row>
    <row r="50" spans="1:12" ht="24" customHeight="1" x14ac:dyDescent="0.3">
      <c r="A50" s="20" t="s">
        <v>34</v>
      </c>
      <c r="B50" s="20" t="s">
        <v>323</v>
      </c>
      <c r="C50" s="20">
        <v>1</v>
      </c>
      <c r="D50" s="20" t="s">
        <v>35</v>
      </c>
      <c r="E50" s="20" t="s">
        <v>288</v>
      </c>
      <c r="F50" s="20" t="s">
        <v>322</v>
      </c>
      <c r="G50" s="20" t="s">
        <v>352</v>
      </c>
      <c r="H50" s="20" t="s">
        <v>353</v>
      </c>
      <c r="I50" s="20" t="s">
        <v>222</v>
      </c>
      <c r="J50" s="20" t="s">
        <v>324</v>
      </c>
      <c r="K50" s="20" t="s">
        <v>277</v>
      </c>
      <c r="L50" s="20" t="s">
        <v>325</v>
      </c>
    </row>
    <row r="51" spans="1:12" ht="24" customHeight="1" x14ac:dyDescent="0.3">
      <c r="A51" s="20" t="s">
        <v>365</v>
      </c>
      <c r="B51" s="20" t="s">
        <v>209</v>
      </c>
      <c r="C51" s="20">
        <v>1</v>
      </c>
      <c r="D51" s="20" t="s">
        <v>176</v>
      </c>
      <c r="E51" s="20" t="s">
        <v>200</v>
      </c>
      <c r="F51" s="20" t="s">
        <v>208</v>
      </c>
      <c r="G51" s="20" t="s">
        <v>366</v>
      </c>
      <c r="H51" s="20" t="s">
        <v>367</v>
      </c>
      <c r="I51" s="20" t="s">
        <v>78</v>
      </c>
      <c r="J51" s="20" t="s">
        <v>368</v>
      </c>
      <c r="K51" s="20" t="s">
        <v>369</v>
      </c>
      <c r="L51" s="20" t="s">
        <v>370</v>
      </c>
    </row>
    <row r="52" spans="1:12" ht="24" customHeight="1" x14ac:dyDescent="0.3">
      <c r="A52" s="20" t="s">
        <v>175</v>
      </c>
      <c r="B52" s="20" t="s">
        <v>209</v>
      </c>
      <c r="C52" s="20">
        <v>1</v>
      </c>
      <c r="D52" s="20" t="s">
        <v>176</v>
      </c>
      <c r="E52" s="20" t="s">
        <v>200</v>
      </c>
      <c r="F52" s="20" t="s">
        <v>208</v>
      </c>
      <c r="G52" s="20" t="s">
        <v>371</v>
      </c>
      <c r="H52" s="20" t="s">
        <v>372</v>
      </c>
      <c r="I52" s="20" t="s">
        <v>152</v>
      </c>
      <c r="J52" s="20" t="s">
        <v>373</v>
      </c>
      <c r="K52" s="20" t="s">
        <v>180</v>
      </c>
      <c r="L52" s="20" t="s">
        <v>374</v>
      </c>
    </row>
    <row r="53" spans="1:12" ht="24" customHeight="1" x14ac:dyDescent="0.3">
      <c r="A53" s="20" t="s">
        <v>175</v>
      </c>
      <c r="B53" s="20" t="s">
        <v>174</v>
      </c>
      <c r="C53" s="20">
        <v>1</v>
      </c>
      <c r="D53" s="20" t="s">
        <v>176</v>
      </c>
      <c r="E53" s="20" t="s">
        <v>164</v>
      </c>
      <c r="F53" s="20" t="s">
        <v>173</v>
      </c>
      <c r="G53" s="20" t="s">
        <v>177</v>
      </c>
      <c r="H53" s="20" t="s">
        <v>178</v>
      </c>
      <c r="I53" s="20" t="s">
        <v>78</v>
      </c>
      <c r="J53" s="20" t="s">
        <v>179</v>
      </c>
      <c r="K53" s="20" t="s">
        <v>180</v>
      </c>
      <c r="L53" s="20" t="s">
        <v>181</v>
      </c>
    </row>
    <row r="54" spans="1:12" ht="24" customHeight="1" x14ac:dyDescent="0.3">
      <c r="A54" s="20" t="s">
        <v>375</v>
      </c>
      <c r="B54" s="20" t="s">
        <v>83</v>
      </c>
      <c r="C54" s="20">
        <v>3</v>
      </c>
      <c r="D54" s="20" t="s">
        <v>570</v>
      </c>
      <c r="E54" s="20" t="s">
        <v>72</v>
      </c>
      <c r="F54" s="20" t="s">
        <v>82</v>
      </c>
      <c r="G54" s="20" t="s">
        <v>366</v>
      </c>
      <c r="H54" s="20" t="s">
        <v>367</v>
      </c>
      <c r="I54" s="20" t="s">
        <v>78</v>
      </c>
      <c r="J54" s="20" t="s">
        <v>377</v>
      </c>
      <c r="K54" s="20" t="s">
        <v>180</v>
      </c>
      <c r="L54" s="20" t="s">
        <v>378</v>
      </c>
    </row>
    <row r="55" spans="1:12" ht="24" customHeight="1" x14ac:dyDescent="0.3">
      <c r="A55" s="20" t="s">
        <v>380</v>
      </c>
      <c r="B55" s="20" t="s">
        <v>83</v>
      </c>
      <c r="C55" s="20">
        <v>3</v>
      </c>
      <c r="D55" s="20" t="s">
        <v>570</v>
      </c>
      <c r="E55" s="20" t="s">
        <v>72</v>
      </c>
      <c r="F55" s="20" t="s">
        <v>82</v>
      </c>
      <c r="G55" s="20" t="s">
        <v>381</v>
      </c>
      <c r="H55" s="20" t="s">
        <v>382</v>
      </c>
      <c r="I55" s="20" t="s">
        <v>125</v>
      </c>
      <c r="J55" s="20" t="s">
        <v>383</v>
      </c>
      <c r="K55" s="20" t="s">
        <v>369</v>
      </c>
      <c r="L55" s="20" t="s">
        <v>384</v>
      </c>
    </row>
    <row r="56" spans="1:12" ht="24" customHeight="1" x14ac:dyDescent="0.3">
      <c r="A56" s="20" t="s">
        <v>397</v>
      </c>
      <c r="B56" s="20" t="s">
        <v>227</v>
      </c>
      <c r="C56" s="20">
        <v>5</v>
      </c>
      <c r="D56" s="20" t="s">
        <v>566</v>
      </c>
      <c r="E56" s="20" t="s">
        <v>200</v>
      </c>
      <c r="F56" s="20" t="s">
        <v>226</v>
      </c>
      <c r="G56" s="20" t="s">
        <v>398</v>
      </c>
      <c r="H56" s="20" t="s">
        <v>399</v>
      </c>
      <c r="I56" s="20" t="s">
        <v>125</v>
      </c>
      <c r="J56" s="20" t="s">
        <v>400</v>
      </c>
      <c r="K56" s="20" t="s">
        <v>233</v>
      </c>
      <c r="L56" s="20" t="s">
        <v>401</v>
      </c>
    </row>
    <row r="57" spans="1:12" ht="24" customHeight="1" x14ac:dyDescent="0.3">
      <c r="A57" s="20" t="s">
        <v>402</v>
      </c>
      <c r="B57" s="20" t="s">
        <v>227</v>
      </c>
      <c r="C57" s="20">
        <v>5</v>
      </c>
      <c r="D57" s="20" t="s">
        <v>566</v>
      </c>
      <c r="E57" s="20" t="s">
        <v>200</v>
      </c>
      <c r="F57" s="20" t="s">
        <v>226</v>
      </c>
      <c r="G57" s="20" t="s">
        <v>390</v>
      </c>
      <c r="H57" s="20" t="s">
        <v>391</v>
      </c>
      <c r="I57" s="20" t="s">
        <v>125</v>
      </c>
      <c r="J57" s="20" t="s">
        <v>403</v>
      </c>
      <c r="K57" s="20" t="s">
        <v>404</v>
      </c>
      <c r="L57" s="20" t="s">
        <v>405</v>
      </c>
    </row>
    <row r="58" spans="1:12" ht="24" customHeight="1" x14ac:dyDescent="0.3">
      <c r="A58" s="20" t="s">
        <v>348</v>
      </c>
      <c r="B58" s="20" t="s">
        <v>261</v>
      </c>
      <c r="C58" s="20">
        <v>1</v>
      </c>
      <c r="D58" s="20" t="s">
        <v>263</v>
      </c>
      <c r="E58" s="20" t="s">
        <v>260</v>
      </c>
      <c r="F58" s="20" t="s">
        <v>259</v>
      </c>
      <c r="G58" s="20" t="s">
        <v>344</v>
      </c>
      <c r="H58" s="20" t="s">
        <v>345</v>
      </c>
      <c r="I58" s="20" t="s">
        <v>222</v>
      </c>
      <c r="J58" s="20" t="s">
        <v>349</v>
      </c>
      <c r="K58" s="20" t="s">
        <v>268</v>
      </c>
      <c r="L58" s="20" t="s">
        <v>350</v>
      </c>
    </row>
    <row r="59" spans="1:12" ht="24" customHeight="1" x14ac:dyDescent="0.3">
      <c r="A59" s="20" t="s">
        <v>348</v>
      </c>
      <c r="B59" s="20" t="s">
        <v>271</v>
      </c>
      <c r="C59" s="20">
        <v>2</v>
      </c>
      <c r="D59" s="20" t="s">
        <v>273</v>
      </c>
      <c r="E59" s="20" t="s">
        <v>260</v>
      </c>
      <c r="F59" s="20" t="s">
        <v>270</v>
      </c>
      <c r="G59" s="20" t="s">
        <v>352</v>
      </c>
      <c r="H59" s="20" t="s">
        <v>353</v>
      </c>
      <c r="I59" s="20" t="s">
        <v>222</v>
      </c>
      <c r="J59" s="20" t="s">
        <v>354</v>
      </c>
      <c r="K59" s="20" t="s">
        <v>277</v>
      </c>
      <c r="L59" s="20" t="s">
        <v>350</v>
      </c>
    </row>
    <row r="60" spans="1:12" ht="24" customHeight="1" x14ac:dyDescent="0.3">
      <c r="A60" s="20" t="s">
        <v>348</v>
      </c>
      <c r="B60" s="20" t="s">
        <v>280</v>
      </c>
      <c r="C60" s="20">
        <v>1</v>
      </c>
      <c r="D60" s="20" t="s">
        <v>30</v>
      </c>
      <c r="E60" s="20" t="s">
        <v>260</v>
      </c>
      <c r="F60" s="20" t="s">
        <v>279</v>
      </c>
      <c r="G60" s="20" t="s">
        <v>355</v>
      </c>
      <c r="H60" s="20" t="s">
        <v>356</v>
      </c>
      <c r="I60" s="20" t="s">
        <v>222</v>
      </c>
      <c r="J60" s="20" t="s">
        <v>357</v>
      </c>
      <c r="K60" s="20" t="s">
        <v>285</v>
      </c>
      <c r="L60" s="20" t="s">
        <v>350</v>
      </c>
    </row>
  </sheetData>
  <mergeCells count="1">
    <mergeCell ref="A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0"/>
  <sheetViews>
    <sheetView workbookViewId="0"/>
  </sheetViews>
  <sheetFormatPr defaultRowHeight="14.4" x14ac:dyDescent="0.3"/>
  <cols>
    <col min="1" max="1" width="90" customWidth="1"/>
    <col min="2" max="2" width="20" customWidth="1"/>
    <col min="3" max="3" width="70" customWidth="1"/>
  </cols>
  <sheetData>
    <row r="1" spans="1:3" ht="22.35" customHeight="1" x14ac:dyDescent="0.3">
      <c r="A1" s="28" t="s">
        <v>571</v>
      </c>
      <c r="B1" s="26"/>
      <c r="C1" s="26"/>
    </row>
    <row r="3" spans="1:3" ht="24" customHeight="1" x14ac:dyDescent="0.3">
      <c r="A3" s="22" t="s">
        <v>572</v>
      </c>
      <c r="B3" s="22" t="s">
        <v>573</v>
      </c>
      <c r="C3" s="22" t="s">
        <v>574</v>
      </c>
    </row>
    <row r="4" spans="1:3" ht="30.45" customHeight="1" x14ac:dyDescent="0.3">
      <c r="A4" s="20" t="s">
        <v>575</v>
      </c>
      <c r="B4" s="20" t="s">
        <v>576</v>
      </c>
      <c r="C4" s="20" t="s">
        <v>577</v>
      </c>
    </row>
    <row r="5" spans="1:3" ht="30.45" customHeight="1" x14ac:dyDescent="0.3">
      <c r="A5" s="20" t="s">
        <v>578</v>
      </c>
      <c r="B5" s="20" t="s">
        <v>576</v>
      </c>
      <c r="C5" s="20" t="s">
        <v>579</v>
      </c>
    </row>
    <row r="6" spans="1:3" ht="30.45" customHeight="1" x14ac:dyDescent="0.3">
      <c r="A6" s="20" t="s">
        <v>580</v>
      </c>
      <c r="B6" s="20" t="s">
        <v>576</v>
      </c>
      <c r="C6" s="20" t="s">
        <v>581</v>
      </c>
    </row>
    <row r="7" spans="1:3" ht="30.45" customHeight="1" x14ac:dyDescent="0.3">
      <c r="A7" s="20" t="s">
        <v>582</v>
      </c>
      <c r="B7" s="20" t="s">
        <v>576</v>
      </c>
      <c r="C7" s="20" t="s">
        <v>583</v>
      </c>
    </row>
    <row r="8" spans="1:3" ht="30.45" customHeight="1" x14ac:dyDescent="0.3">
      <c r="A8" s="20" t="s">
        <v>584</v>
      </c>
      <c r="B8" s="20" t="s">
        <v>576</v>
      </c>
      <c r="C8" s="20" t="s">
        <v>585</v>
      </c>
    </row>
    <row r="9" spans="1:3" ht="30.45" customHeight="1" x14ac:dyDescent="0.3">
      <c r="A9" s="20" t="s">
        <v>586</v>
      </c>
      <c r="B9" s="20" t="s">
        <v>587</v>
      </c>
      <c r="C9" s="20" t="s">
        <v>588</v>
      </c>
    </row>
    <row r="10" spans="1:3" ht="30.45" customHeight="1" x14ac:dyDescent="0.3">
      <c r="A10" s="20" t="s">
        <v>589</v>
      </c>
      <c r="B10" s="20" t="s">
        <v>590</v>
      </c>
      <c r="C10" s="20" t="s">
        <v>591</v>
      </c>
    </row>
    <row r="11" spans="1:3" ht="30.45" customHeight="1" x14ac:dyDescent="0.3">
      <c r="A11" s="20" t="s">
        <v>592</v>
      </c>
      <c r="B11" s="20" t="s">
        <v>593</v>
      </c>
      <c r="C11" s="20" t="s">
        <v>594</v>
      </c>
    </row>
    <row r="12" spans="1:3" ht="30.45" customHeight="1" x14ac:dyDescent="0.3">
      <c r="A12" s="20" t="s">
        <v>595</v>
      </c>
      <c r="B12" s="20" t="s">
        <v>596</v>
      </c>
      <c r="C12" s="20" t="s">
        <v>597</v>
      </c>
    </row>
    <row r="13" spans="1:3" ht="30.45" customHeight="1" x14ac:dyDescent="0.3">
      <c r="A13" s="20" t="s">
        <v>598</v>
      </c>
      <c r="B13" s="20" t="s">
        <v>596</v>
      </c>
      <c r="C13" s="20" t="s">
        <v>599</v>
      </c>
    </row>
    <row r="14" spans="1:3" ht="30.45" customHeight="1" x14ac:dyDescent="0.3">
      <c r="A14" s="20" t="s">
        <v>600</v>
      </c>
      <c r="B14" s="20" t="s">
        <v>601</v>
      </c>
      <c r="C14" s="20" t="s">
        <v>602</v>
      </c>
    </row>
    <row r="15" spans="1:3" ht="30.45" customHeight="1" x14ac:dyDescent="0.3">
      <c r="A15" s="20" t="s">
        <v>603</v>
      </c>
      <c r="B15" s="20" t="s">
        <v>604</v>
      </c>
      <c r="C15" s="20" t="s">
        <v>605</v>
      </c>
    </row>
    <row r="16" spans="1:3" ht="30.45" customHeight="1" x14ac:dyDescent="0.3">
      <c r="A16" s="20" t="s">
        <v>606</v>
      </c>
      <c r="B16" s="20" t="s">
        <v>604</v>
      </c>
      <c r="C16" s="20" t="s">
        <v>607</v>
      </c>
    </row>
    <row r="17" spans="1:3" ht="30.45" customHeight="1" x14ac:dyDescent="0.3">
      <c r="A17" s="20" t="s">
        <v>608</v>
      </c>
      <c r="B17" s="20" t="s">
        <v>604</v>
      </c>
      <c r="C17" s="20" t="s">
        <v>609</v>
      </c>
    </row>
    <row r="18" spans="1:3" ht="30.45" customHeight="1" x14ac:dyDescent="0.3">
      <c r="A18" s="20" t="s">
        <v>610</v>
      </c>
      <c r="B18" s="20" t="s">
        <v>611</v>
      </c>
      <c r="C18" s="20" t="s">
        <v>612</v>
      </c>
    </row>
    <row r="19" spans="1:3" ht="30.45" customHeight="1" x14ac:dyDescent="0.3">
      <c r="A19" s="20" t="s">
        <v>613</v>
      </c>
      <c r="B19" s="20" t="s">
        <v>614</v>
      </c>
      <c r="C19" s="20" t="s">
        <v>615</v>
      </c>
    </row>
    <row r="20" spans="1:3" ht="30.45" customHeight="1" x14ac:dyDescent="0.3">
      <c r="A20" s="20" t="s">
        <v>616</v>
      </c>
      <c r="B20" s="20" t="s">
        <v>614</v>
      </c>
      <c r="C20" s="20" t="s">
        <v>617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Action_Item_Overlap</vt:lpstr>
      <vt:lpstr>Normalized_Tuples</vt:lpstr>
      <vt:lpstr>Pair_Summary</vt:lpstr>
      <vt:lpstr>HIPAA_45CFR_Mapping</vt:lpstr>
      <vt:lpstr>Source_Register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Slason</dc:creator>
  <cp:lastModifiedBy>Matt Slason</cp:lastModifiedBy>
  <dcterms:created xsi:type="dcterms:W3CDTF">2026-03-20T16:04:21Z</dcterms:created>
  <dcterms:modified xsi:type="dcterms:W3CDTF">2026-03-20T16:04:23Z</dcterms:modified>
</cp:coreProperties>
</file>